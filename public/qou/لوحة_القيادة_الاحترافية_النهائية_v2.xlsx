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قوائم_النطاقات" sheetId="1" r:id="rId1"/>
    <sheet name="البيانات_الأساسية" sheetId="2" state="hidden" r:id="rId2"/>
    <sheet name="ملخص_الفروع" sheetId="3" r:id="rId3"/>
    <sheet name="لوحة_القيادة" sheetId="4" r:id="rId4"/>
  </sheets>
  <calcPr calcId="124519" fullCalcOnLoad="1"/>
</workbook>
</file>

<file path=xl/sharedStrings.xml><?xml version="1.0" encoding="utf-8"?>
<sst xmlns="http://schemas.openxmlformats.org/spreadsheetml/2006/main" count="1623" uniqueCount="745">
  <si>
    <t>الكل</t>
  </si>
  <si>
    <t>الإدارة العامة - القدس</t>
  </si>
  <si>
    <t>البرنامج الدولي</t>
  </si>
  <si>
    <t>العلاقات العامة</t>
  </si>
  <si>
    <t>دائرة التخطيط والجودة</t>
  </si>
  <si>
    <t>شؤون الطلبة</t>
  </si>
  <si>
    <t>عمادة الدراسات العليا والبحث العلمي_compressed (1)</t>
  </si>
  <si>
    <t>عمادة القبول والتسجيل والامتحانات_compressed (1)</t>
  </si>
  <si>
    <t>فرع الخليل</t>
  </si>
  <si>
    <t>فرع القدس</t>
  </si>
  <si>
    <t>فرع بيت لحم</t>
  </si>
  <si>
    <t>فرع جنين</t>
  </si>
  <si>
    <t>فرع دورا</t>
  </si>
  <si>
    <t>فرع رام الله والبيرة</t>
  </si>
  <si>
    <t>فرع سلفيت</t>
  </si>
  <si>
    <t>فرع طوباس</t>
  </si>
  <si>
    <t>فرع طولكرم</t>
  </si>
  <si>
    <t>فرع قلقيلية</t>
  </si>
  <si>
    <t>فرع نابلس</t>
  </si>
  <si>
    <t>فـــرع يــطـــا</t>
  </si>
  <si>
    <t>مركز التعليم الرقمي</t>
  </si>
  <si>
    <t>مركز التعليم المستمر وخدمة المجتمع</t>
  </si>
  <si>
    <t xml:space="preserve">مركز تكنولوجيا المعلومات 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</si>
  <si>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</si>
  <si>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</si>
  <si>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</si>
  <si>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</si>
  <si>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</si>
  <si>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</si>
  <si>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</si>
  <si>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</si>
  <si>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</si>
  <si>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</si>
  <si>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</si>
  <si>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</si>
  <si>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الفرع</t>
  </si>
  <si>
    <t>اسم الموظف</t>
  </si>
  <si>
    <t>إجمالي الدقائق</t>
  </si>
  <si>
    <t>إجمالي حالات التأخير</t>
  </si>
  <si>
    <t>إجمالي الساعات</t>
  </si>
  <si>
    <t>متوسط دقائق التأخير</t>
  </si>
  <si>
    <t>الأشهر المسجلة</t>
  </si>
  <si>
    <t>Match_Flag</t>
  </si>
  <si>
    <t>Running_Count</t>
  </si>
  <si>
    <t>دقائق_01</t>
  </si>
  <si>
    <t>دقائق_02</t>
  </si>
  <si>
    <t>دقائق_03</t>
  </si>
  <si>
    <t>دقائق_04</t>
  </si>
  <si>
    <t>دقائق_05</t>
  </si>
  <si>
    <t>دقائق_06</t>
  </si>
  <si>
    <t>دقائق_07</t>
  </si>
  <si>
    <t>دقائق_08</t>
  </si>
  <si>
    <t>دقائق_09</t>
  </si>
  <si>
    <t>دقائق_10</t>
  </si>
  <si>
    <t>دقائق_11</t>
  </si>
  <si>
    <t>دقائق_12</t>
  </si>
  <si>
    <t>حالات_01</t>
  </si>
  <si>
    <t>حالات_02</t>
  </si>
  <si>
    <t>حالات_03</t>
  </si>
  <si>
    <t>حالات_04</t>
  </si>
  <si>
    <t>حالات_05</t>
  </si>
  <si>
    <t>حالات_06</t>
  </si>
  <si>
    <t>حالات_07</t>
  </si>
  <si>
    <t>حالات_08</t>
  </si>
  <si>
    <t>حالات_09</t>
  </si>
  <si>
    <t>حالات_10</t>
  </si>
  <si>
    <t>حالات_11</t>
  </si>
  <si>
    <t>حالات_12</t>
  </si>
  <si>
    <t>كلي_الأحد</t>
  </si>
  <si>
    <t>كلي_الاثنين</t>
  </si>
  <si>
    <t>كلي_الثلاثاء</t>
  </si>
  <si>
    <t>كلي_الأربعاء</t>
  </si>
  <si>
    <t>كلي_الخميس</t>
  </si>
  <si>
    <t>كلي_الجمعة</t>
  </si>
  <si>
    <t>كلي_السبت</t>
  </si>
  <si>
    <t>يوم_الأحد_01</t>
  </si>
  <si>
    <t>يوم_الأحد_02</t>
  </si>
  <si>
    <t>يوم_الأحد_03</t>
  </si>
  <si>
    <t>يوم_الأحد_04</t>
  </si>
  <si>
    <t>يوم_الأحد_05</t>
  </si>
  <si>
    <t>يوم_الأحد_06</t>
  </si>
  <si>
    <t>يوم_الأحد_07</t>
  </si>
  <si>
    <t>يوم_الأحد_08</t>
  </si>
  <si>
    <t>يوم_الأحد_09</t>
  </si>
  <si>
    <t>يوم_الأحد_10</t>
  </si>
  <si>
    <t>يوم_الأحد_11</t>
  </si>
  <si>
    <t>يوم_الأحد_12</t>
  </si>
  <si>
    <t>يوم_الاثنين_01</t>
  </si>
  <si>
    <t>يوم_الاثنين_02</t>
  </si>
  <si>
    <t>يوم_الاثنين_03</t>
  </si>
  <si>
    <t>يوم_الاثنين_04</t>
  </si>
  <si>
    <t>يوم_الاثنين_05</t>
  </si>
  <si>
    <t>يوم_الاثنين_06</t>
  </si>
  <si>
    <t>يوم_الاثنين_07</t>
  </si>
  <si>
    <t>يوم_الاثنين_08</t>
  </si>
  <si>
    <t>يوم_الاثنين_09</t>
  </si>
  <si>
    <t>يوم_الاثنين_10</t>
  </si>
  <si>
    <t>يوم_الاثنين_11</t>
  </si>
  <si>
    <t>يوم_الاثنين_12</t>
  </si>
  <si>
    <t>يوم_الثلاثاء_01</t>
  </si>
  <si>
    <t>يوم_الثلاثاء_02</t>
  </si>
  <si>
    <t>يوم_الثلاثاء_03</t>
  </si>
  <si>
    <t>يوم_الثلاثاء_04</t>
  </si>
  <si>
    <t>يوم_الثلاثاء_05</t>
  </si>
  <si>
    <t>يوم_الثلاثاء_06</t>
  </si>
  <si>
    <t>يوم_الثلاثاء_07</t>
  </si>
  <si>
    <t>يوم_الثلاثاء_08</t>
  </si>
  <si>
    <t>يوم_الثلاثاء_09</t>
  </si>
  <si>
    <t>يوم_الثلاثاء_10</t>
  </si>
  <si>
    <t>يوم_الثلاثاء_11</t>
  </si>
  <si>
    <t>يوم_الثلاثاء_12</t>
  </si>
  <si>
    <t>يوم_الأربعاء_01</t>
  </si>
  <si>
    <t>يوم_الأربعاء_02</t>
  </si>
  <si>
    <t>يوم_الأربعاء_03</t>
  </si>
  <si>
    <t>يوم_الأربعاء_04</t>
  </si>
  <si>
    <t>يوم_الأربعاء_05</t>
  </si>
  <si>
    <t>يوم_الأربعاء_06</t>
  </si>
  <si>
    <t>يوم_الأربعاء_07</t>
  </si>
  <si>
    <t>يوم_الأربعاء_08</t>
  </si>
  <si>
    <t>يوم_الأربعاء_09</t>
  </si>
  <si>
    <t>يوم_الأربعاء_10</t>
  </si>
  <si>
    <t>يوم_الأربعاء_11</t>
  </si>
  <si>
    <t>يوم_الأربعاء_12</t>
  </si>
  <si>
    <t>يوم_الخميس_01</t>
  </si>
  <si>
    <t>يوم_الخميس_02</t>
  </si>
  <si>
    <t>يوم_الخميس_03</t>
  </si>
  <si>
    <t>يوم_الخميس_04</t>
  </si>
  <si>
    <t>يوم_الخميس_05</t>
  </si>
  <si>
    <t>يوم_الخميس_06</t>
  </si>
  <si>
    <t>يوم_الخميس_07</t>
  </si>
  <si>
    <t>يوم_الخميس_08</t>
  </si>
  <si>
    <t>يوم_الخميس_09</t>
  </si>
  <si>
    <t>يوم_الخميس_10</t>
  </si>
  <si>
    <t>يوم_الخميس_11</t>
  </si>
  <si>
    <t>يوم_الخميس_12</t>
  </si>
  <si>
    <t>يوم_الجمعة_01</t>
  </si>
  <si>
    <t>يوم_الجمعة_02</t>
  </si>
  <si>
    <t>يوم_الجمعة_03</t>
  </si>
  <si>
    <t>يوم_الجمعة_04</t>
  </si>
  <si>
    <t>يوم_الجمعة_05</t>
  </si>
  <si>
    <t>يوم_الجمعة_06</t>
  </si>
  <si>
    <t>يوم_الجمعة_07</t>
  </si>
  <si>
    <t>يوم_الجمعة_08</t>
  </si>
  <si>
    <t>يوم_الجمعة_09</t>
  </si>
  <si>
    <t>يوم_الجمعة_10</t>
  </si>
  <si>
    <t>يوم_الجمعة_11</t>
  </si>
  <si>
    <t>يوم_الجمعة_12</t>
  </si>
  <si>
    <t>يوم_السبت_01</t>
  </si>
  <si>
    <t>يوم_السبت_02</t>
  </si>
  <si>
    <t>يوم_السبت_03</t>
  </si>
  <si>
    <t>يوم_السبت_04</t>
  </si>
  <si>
    <t>يوم_السبت_05</t>
  </si>
  <si>
    <t>يوم_السبت_06</t>
  </si>
  <si>
    <t>يوم_السبت_07</t>
  </si>
  <si>
    <t>يوم_السبت_08</t>
  </si>
  <si>
    <t>يوم_السبت_09</t>
  </si>
  <si>
    <t>يوم_السبت_10</t>
  </si>
  <si>
    <t>يوم_السبت_11</t>
  </si>
  <si>
    <t>يوم_السبت_12</t>
  </si>
  <si>
    <t>عز الدين محمد مصطفى أبو نزهة</t>
  </si>
  <si>
    <t>01، 02، 03، 04، 05، 06، 07</t>
  </si>
  <si>
    <t>محمد رزق رشيد دارأحمد</t>
  </si>
  <si>
    <t>رامي نجيب محمود خليل</t>
  </si>
  <si>
    <t>ابراهيم محمد ابراهيم ابو تركي</t>
  </si>
  <si>
    <t>احمد ابراهيم محمد دلال</t>
  </si>
  <si>
    <t>فؤاد محمد مصطفى صالح</t>
  </si>
  <si>
    <t>باسمة احمد محمد ابوعواد</t>
  </si>
  <si>
    <t>حسن فايز حسن قصراوي</t>
  </si>
  <si>
    <t>احمد حسني حسن سلمان</t>
  </si>
  <si>
    <t>ميسون محمد موسى حموده</t>
  </si>
  <si>
    <t>01، 02، 03، 04، 05، 06</t>
  </si>
  <si>
    <t>جهاد تحسين أحمد طقاطقة</t>
  </si>
  <si>
    <t>كميل غالب محمد زيد</t>
  </si>
  <si>
    <t>يوسف ابراهيم يوسف الرفاعي</t>
  </si>
  <si>
    <t>محمد سليمان ابراهيم الخليل</t>
  </si>
  <si>
    <t>عبد العزيز عصام عبد العزيز خليل</t>
  </si>
  <si>
    <t>01، 02، 04، 05، 06</t>
  </si>
  <si>
    <t>ثائر عيسى محمد وشاحي</t>
  </si>
  <si>
    <t>سنية جهاد علي صادق</t>
  </si>
  <si>
    <t>نبيل عاطف خليل أبو حمدان</t>
  </si>
  <si>
    <t>امجد عبد الله يونس شومان</t>
  </si>
  <si>
    <t>خليل زيدان خليل ترجمان</t>
  </si>
  <si>
    <t>عبيدة اسعد عثمان اسعد</t>
  </si>
  <si>
    <t>01، 05، 06، 07</t>
  </si>
  <si>
    <t>محمد بكر سعد الدين كالوتي</t>
  </si>
  <si>
    <t>اماني جمعة عبد الخالق عبد الهادي</t>
  </si>
  <si>
    <t>02، 03، 04، 05، 06، 07</t>
  </si>
  <si>
    <t>صبا زهير حسن فرحانه</t>
  </si>
  <si>
    <t>سمير سامي فتحي عسراوي</t>
  </si>
  <si>
    <t>01، 02، 03، 04، 06، 07</t>
  </si>
  <si>
    <t>فادي فكري حسني قرط</t>
  </si>
  <si>
    <t>نادر سليمان عوض أبو حسين</t>
  </si>
  <si>
    <t>رواء نظمي عبد الرحمن حمدالله</t>
  </si>
  <si>
    <t>عمر حافظ محمد عبد الجليل</t>
  </si>
  <si>
    <t>مجاهد مشهور خليل خزيميه</t>
  </si>
  <si>
    <t>محمد سالم عبد المجيد عجارمة</t>
  </si>
  <si>
    <t>سمير محمود أسعد أبو علي</t>
  </si>
  <si>
    <t>يوسف خيري ابراهيم عسكر</t>
  </si>
  <si>
    <t>بهاء احمد عبد الرحيم الخطيب</t>
  </si>
  <si>
    <t>ياسر عبد الباقي عبد الحميد مرار</t>
  </si>
  <si>
    <t>وسيم فرحان نايف يوسف</t>
  </si>
  <si>
    <t>01، 03، 05، 06، 07</t>
  </si>
  <si>
    <t>محمد ثمين محمد جرار</t>
  </si>
  <si>
    <t>هديل خالد شفيق بدران</t>
  </si>
  <si>
    <t>عبدالرحمن خليل لطفي دارالشيخ</t>
  </si>
  <si>
    <t>محمد عبداللطيف فريد ابوسفاقة</t>
  </si>
  <si>
    <t>علي رفيق إبراهيم السمان</t>
  </si>
  <si>
    <t>رنا انطون حنا مصلح</t>
  </si>
  <si>
    <t>01، 02، 04، 05</t>
  </si>
  <si>
    <t>عصام احمد قاسم ابو فرحة</t>
  </si>
  <si>
    <t>01، 02، 03، 04، 05</t>
  </si>
  <si>
    <t>نسرين عزمي علي القاضي</t>
  </si>
  <si>
    <t>محمد سعدي عبد الرحمن ابو ساكور</t>
  </si>
  <si>
    <t>نضال أنور محمد عليان</t>
  </si>
  <si>
    <t>نرمين ميلاد منصور عواد</t>
  </si>
  <si>
    <t>أحمد حامد شاكر خواجة</t>
  </si>
  <si>
    <t>عائدة خميس جميل عيسى</t>
  </si>
  <si>
    <t>يامن عمر محمد عساف</t>
  </si>
  <si>
    <t>بلال محمد حسين مشارقة</t>
  </si>
  <si>
    <t>02، 03، 06، 07</t>
  </si>
  <si>
    <t>بهادر شاهر محمد رزق الله</t>
  </si>
  <si>
    <t>احمد عبد المجيد عبد العزيز سعادة</t>
  </si>
  <si>
    <t>وسام محمد بكر ابو فرحة</t>
  </si>
  <si>
    <t>وسيم وائل علي نظيف</t>
  </si>
  <si>
    <t>مها أحمد صالح حثناوي</t>
  </si>
  <si>
    <t>محمد سليم عاهد عبدالرازق</t>
  </si>
  <si>
    <t>وديع سامي محمد مسيمي</t>
  </si>
  <si>
    <t>ليث محمد يحيى ابو نمرة</t>
  </si>
  <si>
    <t>معتز حسين صالح "علي قرعوش"</t>
  </si>
  <si>
    <t>محمد عفيف محمد دقة</t>
  </si>
  <si>
    <t>هبة مروان باسم بربار</t>
  </si>
  <si>
    <t>عهد غازي محمود واوي</t>
  </si>
  <si>
    <t>01، 04، 06</t>
  </si>
  <si>
    <t>محمد باسم سعيد سعادة</t>
  </si>
  <si>
    <t>علاءالدين جودت مسعود محمود</t>
  </si>
  <si>
    <t>إبراهيم محمد علي بدحة</t>
  </si>
  <si>
    <t>فلة عبد المنعم ياسين اغبر</t>
  </si>
  <si>
    <t>سناء فارس حسين سمارة</t>
  </si>
  <si>
    <t>سناء عبد الكريم حسن الدلو</t>
  </si>
  <si>
    <t>أمين ماضي محمود ماضي</t>
  </si>
  <si>
    <t>01، 03، 04، 05، 06، 07</t>
  </si>
  <si>
    <t>سهى"محمد مروان" الكردي</t>
  </si>
  <si>
    <t>نادرة احمد جمعة ابو زيد</t>
  </si>
  <si>
    <t>ازهار جميل محمد جرار</t>
  </si>
  <si>
    <t>شيرين محمود عبد الله عائدة</t>
  </si>
  <si>
    <t>ريم نجيب محمود اخليل</t>
  </si>
  <si>
    <t>مصطفى زياد مصطفى حمد</t>
  </si>
  <si>
    <t>موسى محمد موسى ابو حلوة</t>
  </si>
  <si>
    <t>محمد أمين محمد ضباية</t>
  </si>
  <si>
    <t>01، 02، 03، 04، 06</t>
  </si>
  <si>
    <t>سليم عبد محمد نصار</t>
  </si>
  <si>
    <t>سهى محمد احمد حشاش</t>
  </si>
  <si>
    <t>01، 02، 03، 04، 05، 07</t>
  </si>
  <si>
    <t>نجوى سليمان موسى تركمان</t>
  </si>
  <si>
    <t>أحمد سعد نمر صبح</t>
  </si>
  <si>
    <t>أنس حيان حلمي إدريسي</t>
  </si>
  <si>
    <t>هديل مصطفى موسى أبو ليل</t>
  </si>
  <si>
    <t>05، 06، 07</t>
  </si>
  <si>
    <t>فادي اسماعيل محمد خضر</t>
  </si>
  <si>
    <t>شروق بهاء الدين خطاب خطاب</t>
  </si>
  <si>
    <t>فادي شاهر عبدالقادر شتيه</t>
  </si>
  <si>
    <t>رياض مصطفى ناجي ابو عرة</t>
  </si>
  <si>
    <t>02، 03، 04، 05، 06</t>
  </si>
  <si>
    <t>جهاد شاهين محمود سحويل</t>
  </si>
  <si>
    <t>فراس صبحي لطفي تلالوة</t>
  </si>
  <si>
    <t>وسام محمد عاصي محمود</t>
  </si>
  <si>
    <t>شريف رجا صالح ابومريم</t>
  </si>
  <si>
    <t>حمزة احمد محمد عبيات</t>
  </si>
  <si>
    <t>أحمد راجح شحادة حمد</t>
  </si>
  <si>
    <t>هبه عبد الله علي بهتي</t>
  </si>
  <si>
    <t>01، 04، 05، 06، 07</t>
  </si>
  <si>
    <t>شهد محمد أحمد عمارنه</t>
  </si>
  <si>
    <t>أمير محمود نمر واوي</t>
  </si>
  <si>
    <t>01، 02، 05، 06، 07</t>
  </si>
  <si>
    <t>سهاد ربحي سعيد الحسيني</t>
  </si>
  <si>
    <t>نضال محسن خضر مهداوي</t>
  </si>
  <si>
    <t>01، 06، 07</t>
  </si>
  <si>
    <t>خلف خليل يوسف ادعيس</t>
  </si>
  <si>
    <t>حنين خضر حسن زيادة</t>
  </si>
  <si>
    <t>تحرير سمير عبدالله دوابشة</t>
  </si>
  <si>
    <t>01، 02، 04، 05، 06، 07</t>
  </si>
  <si>
    <t>مهند عبيد محمد الجواريش</t>
  </si>
  <si>
    <t>03، 05، 06</t>
  </si>
  <si>
    <t>محمد خالد اديب ابو بكر</t>
  </si>
  <si>
    <t>03، 05، 06، 07</t>
  </si>
  <si>
    <t>طارق ميخائيل رضا فواضلة</t>
  </si>
  <si>
    <t>فراس محمد حسين عليان</t>
  </si>
  <si>
    <t>دلال نايف محمود ضبايه</t>
  </si>
  <si>
    <t>صفاء ساطي ياسين سعدي</t>
  </si>
  <si>
    <t>ماهر عبد الحميد يونس أبو ساكور</t>
  </si>
  <si>
    <t>مهيوب غالب أحمد ابو هنود شولي</t>
  </si>
  <si>
    <t>01، 02</t>
  </si>
  <si>
    <t>إيهاب منير موسى عثمان</t>
  </si>
  <si>
    <t>عبد الفتاح محمد عبد الفتاح ابو</t>
  </si>
  <si>
    <t>نسرين محي الدين عابدين</t>
  </si>
  <si>
    <t>جمال محمد سعد ستيتي</t>
  </si>
  <si>
    <t>فراس احسان محمد شريم</t>
  </si>
  <si>
    <t>أماني ابراهيم خالد الشناوي</t>
  </si>
  <si>
    <t>ماجد عبد العزيز شحادة عواد</t>
  </si>
  <si>
    <t>نسرين محمد علي عوض الله</t>
  </si>
  <si>
    <t>تهاني حرب عبدالرحيم داود</t>
  </si>
  <si>
    <t>موسى مصطفى موسى عثمان</t>
  </si>
  <si>
    <t>أيمن سامي أحمد رخ</t>
  </si>
  <si>
    <t>01، 02، 03، 04</t>
  </si>
  <si>
    <t>علا توفيق بدوي دجاني</t>
  </si>
  <si>
    <t>بلال محمد عوض دراغمة</t>
  </si>
  <si>
    <t>01، 03، 04، 05، 06</t>
  </si>
  <si>
    <t>رنا فتحي نمر ريان</t>
  </si>
  <si>
    <t>01، 02، 03</t>
  </si>
  <si>
    <t>مدحت عبد الرؤوف ناجي العمري</t>
  </si>
  <si>
    <t>ظريفه يوسف محمد العباسي</t>
  </si>
  <si>
    <t>نبيل علي حسين عودة</t>
  </si>
  <si>
    <t>01، 02، 03، 05، 06، 07</t>
  </si>
  <si>
    <t>شذى خليل تيسير خاروف</t>
  </si>
  <si>
    <t>03، 04، 05، 06</t>
  </si>
  <si>
    <t>عبير عماد عزات عثمان</t>
  </si>
  <si>
    <t>سعده داود حسن الزير</t>
  </si>
  <si>
    <t>سمير عبد القادر ابراهيم خاروف</t>
  </si>
  <si>
    <t>عبد الله فوزي عبد الله نعيرات</t>
  </si>
  <si>
    <t>عميد نظمي يوسف مشاقي</t>
  </si>
  <si>
    <t>ربا عصام "محمد عزيز" أبوصاع</t>
  </si>
  <si>
    <t>01، 02، 06، 07</t>
  </si>
  <si>
    <t>عبد القادر محمود يونس ابو الرب</t>
  </si>
  <si>
    <t>أحمد صدقي عبد الرحمن الهباش</t>
  </si>
  <si>
    <t>وفاء قاسم محمود صالح</t>
  </si>
  <si>
    <t>راسم سعيد بدر اوحيدي</t>
  </si>
  <si>
    <t>نبيلة نبيل محمد غانم</t>
  </si>
  <si>
    <t>آمنة باسم محمد حبوب</t>
  </si>
  <si>
    <t>سمر مصطفى اسعد خدرج</t>
  </si>
  <si>
    <t>جمانه حمدان هزاع مسالمة</t>
  </si>
  <si>
    <t>حنا يعقوب حنا مشرقي</t>
  </si>
  <si>
    <t>01، 02، 03، 04، 07</t>
  </si>
  <si>
    <t>محمد وديع ناجي ابو الرب</t>
  </si>
  <si>
    <t>02، 03، 04</t>
  </si>
  <si>
    <t>الهام فؤاد محمد بارود</t>
  </si>
  <si>
    <t>أسماء خليل راشد الزربا</t>
  </si>
  <si>
    <t>نادية هشام عارف أبو عبيد</t>
  </si>
  <si>
    <t>نانسي نظمي عبد الرحمن حسن /</t>
  </si>
  <si>
    <t>معاذ محمد محمد تايه</t>
  </si>
  <si>
    <t>01، 02، 03، 06، 07</t>
  </si>
  <si>
    <t>أماني خالد محمد سمارة</t>
  </si>
  <si>
    <t>أحمد جبر اسماعيل ابو شنب</t>
  </si>
  <si>
    <t>سعيد محمد سعيد ابو ليل</t>
  </si>
  <si>
    <t>هنادي عدنان محمد عسلي</t>
  </si>
  <si>
    <t>حيدر أحمد حيدر كايد</t>
  </si>
  <si>
    <t>هنادي"محمد سليم"سعيد حلواني</t>
  </si>
  <si>
    <t>رجاء محمد عبد اللطيف أبو عليا</t>
  </si>
  <si>
    <t>فتح.الله صايل عبد الكريم جيوسي</t>
  </si>
  <si>
    <t>محمود فتحي حسين حمد</t>
  </si>
  <si>
    <t>خلود محمد قاسم عبد الحق</t>
  </si>
  <si>
    <t>هبة روحي محمد اعمير</t>
  </si>
  <si>
    <t>03، 06، 07</t>
  </si>
  <si>
    <t>حمزة نصر محمد عليان</t>
  </si>
  <si>
    <t>عامر محمد صالح زين الدين</t>
  </si>
  <si>
    <t>عبد الحافظ صالح عصفور البشر</t>
  </si>
  <si>
    <t>عبد الله راضي ظاهر حلبي</t>
  </si>
  <si>
    <t>أحمد محمود محمد حميدي</t>
  </si>
  <si>
    <t>عامر عبد الرحمن صالح زيد</t>
  </si>
  <si>
    <t>معتز سمير عبدالكريم سلامة</t>
  </si>
  <si>
    <t>عبدالغني صبحي لطفي تلالوة</t>
  </si>
  <si>
    <t>رمضان حسين حسن مزرعاوي</t>
  </si>
  <si>
    <t>رحمة راشد محمد خطاب</t>
  </si>
  <si>
    <t>خالد وليد خالد غانم</t>
  </si>
  <si>
    <t>رايه احمد محمود أبو شقرة</t>
  </si>
  <si>
    <t>فراس محمد مصطفى دويكات</t>
  </si>
  <si>
    <t>ميساء فاروق محمد خليل</t>
  </si>
  <si>
    <t>محمد عبدالعزيز كامل حمدان</t>
  </si>
  <si>
    <t>عبدالله صابر بهزاد فيومي</t>
  </si>
  <si>
    <t>رضوان سعيد عيسى ابو حسن</t>
  </si>
  <si>
    <t>نافذة عطا الله سالم بدارين</t>
  </si>
  <si>
    <t>مراد ماجد أحمد حمايل</t>
  </si>
  <si>
    <t>علاء عبد المنعم محمد التميمي</t>
  </si>
  <si>
    <t>ديانا ماجد حسين ندى</t>
  </si>
  <si>
    <t>هند علي حسن حبرون</t>
  </si>
  <si>
    <t>هادي داود علي حجازي</t>
  </si>
  <si>
    <t>عامر موسى عمر دحادحة</t>
  </si>
  <si>
    <t>04، 05</t>
  </si>
  <si>
    <t>فاتن عبد الحق محمد اقرع</t>
  </si>
  <si>
    <t>أشرف محمد عبدالقادر ابو عرقوب</t>
  </si>
  <si>
    <t>رانيه توفيق بدوي عيد</t>
  </si>
  <si>
    <t>يوسف وائل يوسف نوفل</t>
  </si>
  <si>
    <t>سعد سامي اسعد نعسان</t>
  </si>
  <si>
    <t>01، 02، 05، 06</t>
  </si>
  <si>
    <t>نائل حسين عبد القادر ديري</t>
  </si>
  <si>
    <t>01، 03، 05، 06</t>
  </si>
  <si>
    <t>رهام ماهر عيسى دنون</t>
  </si>
  <si>
    <t>04، 05، 06، 07</t>
  </si>
  <si>
    <t>محمد مصطفى إبراهيم أبو الهوس</t>
  </si>
  <si>
    <t>بثينة موسى ابراهيم ابو لافي</t>
  </si>
  <si>
    <t>لينا محمود عبد الله ابوهلال</t>
  </si>
  <si>
    <t>لوسي نصري شكري حشمة</t>
  </si>
  <si>
    <t>تسنيم أحمد ابراهيم زغموري</t>
  </si>
  <si>
    <t>عماد سعيد حسين شجاعية</t>
  </si>
  <si>
    <t>مهند ظاهر احمد الشروف</t>
  </si>
  <si>
    <t>02، 03، 05</t>
  </si>
  <si>
    <t>ميس ابراهيم محمد عمارنه</t>
  </si>
  <si>
    <t>لؤي ابراهيم عطا ابو شيخ</t>
  </si>
  <si>
    <t>وسيم محمد راشد الظاهر</t>
  </si>
  <si>
    <t>رأفت ابراهيم عبدالفتاح بلاطيه</t>
  </si>
  <si>
    <t>سهير داوود غالب كمال</t>
  </si>
  <si>
    <t>رمزي حسين محمود تميمي</t>
  </si>
  <si>
    <t>عماد أحمد عيسى أبو حسان</t>
  </si>
  <si>
    <t>01، 02، 06</t>
  </si>
  <si>
    <t>سفيان محمد سلمان الطرشان</t>
  </si>
  <si>
    <t>02، 04، 05، 06</t>
  </si>
  <si>
    <t>رائد محمد أحمد بنات</t>
  </si>
  <si>
    <t>02، 03، 04، 05، 07</t>
  </si>
  <si>
    <t>أمجد جميل راغب ملحم</t>
  </si>
  <si>
    <t>02، 04، 05، 06، 07</t>
  </si>
  <si>
    <t>فوزية احمد توفيق زكارنة</t>
  </si>
  <si>
    <t>صالح محمود محمد شنيور</t>
  </si>
  <si>
    <t>01، 07</t>
  </si>
  <si>
    <t>وصال جورج حنا قمصية</t>
  </si>
  <si>
    <t>مأمون صادق مصطفى أبو عليا</t>
  </si>
  <si>
    <t>نضال عبد الله محمد رابي</t>
  </si>
  <si>
    <t>سمير محمد عبد علان</t>
  </si>
  <si>
    <t>رامي محمد إبراهيم معمر</t>
  </si>
  <si>
    <t>01، 03، 05</t>
  </si>
  <si>
    <t>مصطفى عبد الكريم يوسف الخالدي</t>
  </si>
  <si>
    <t>أحلام محمد جمعه عامر</t>
  </si>
  <si>
    <t>عبدالله شاهر شكري داود</t>
  </si>
  <si>
    <t>01، 02، 04، 05، 07</t>
  </si>
  <si>
    <t>أحمد عبد الرحيم شحادة أبو دية</t>
  </si>
  <si>
    <t>خالد إبراهيم أحمد عيسى</t>
  </si>
  <si>
    <t>02، 03، 05، 07</t>
  </si>
  <si>
    <t>سونيا عبد الله عبد الرحيم عمر</t>
  </si>
  <si>
    <t>حسام الدين فتحي حسن شرقاوي</t>
  </si>
  <si>
    <t>02، 04</t>
  </si>
  <si>
    <t>رشدي احمد رشيد خوالد</t>
  </si>
  <si>
    <t>01، 02، 03، 05، 06</t>
  </si>
  <si>
    <t>راوية جميل حسين زيدة</t>
  </si>
  <si>
    <t>03، 05</t>
  </si>
  <si>
    <t>ماجد عبد الرزاق أحمد فراونه</t>
  </si>
  <si>
    <t>أحمد ادعيس أحمد فرحة</t>
  </si>
  <si>
    <t>03، 06</t>
  </si>
  <si>
    <t>نضال "محمد وحيد" عبد اللطيف</t>
  </si>
  <si>
    <t>02، 03، 04، 06</t>
  </si>
  <si>
    <t>عدنان جمعه حسن موسى</t>
  </si>
  <si>
    <t>02، 05</t>
  </si>
  <si>
    <t>مهدي أحمد محمد جرار</t>
  </si>
  <si>
    <t>01، 02، 04</t>
  </si>
  <si>
    <t>اميلي سلفادور خورخي حنضل</t>
  </si>
  <si>
    <t>عرابي بشير سعيد نزال</t>
  </si>
  <si>
    <t>فهد محمد حسن طنينة</t>
  </si>
  <si>
    <t>دعاء عيسى يوسف مرعي</t>
  </si>
  <si>
    <t>عمار "محمد علي" زهدي</t>
  </si>
  <si>
    <t>عمر يوسف رشيد الرجوب</t>
  </si>
  <si>
    <t>01، 02، 03، 05</t>
  </si>
  <si>
    <t>مأمون محمد عبد الرحمن حمدان</t>
  </si>
  <si>
    <t>01، 03، 04، 05</t>
  </si>
  <si>
    <t>ابراهيم محمود ابراهيم عاصي</t>
  </si>
  <si>
    <t>عامر نعيم شكري ابو رجب</t>
  </si>
  <si>
    <t>جاد خضر يوسف فريج</t>
  </si>
  <si>
    <t>سامر مصطفى محمد مطاحن</t>
  </si>
  <si>
    <t>02، 03، 05، 06</t>
  </si>
  <si>
    <t>مها عدنان عايد رواجبة</t>
  </si>
  <si>
    <t>منى احسان حسان مصطفى</t>
  </si>
  <si>
    <t>فداء محمد إسحق الغول</t>
  </si>
  <si>
    <t>هند مصطفى اسحق بشيتي</t>
  </si>
  <si>
    <t>شيماء سعيد عبد الله بيشاوي</t>
  </si>
  <si>
    <t>دارين عبد الاله عبد الحميد يونس</t>
  </si>
  <si>
    <t>دعاء محمد راتب شبانه</t>
  </si>
  <si>
    <t>فاتنة جودت رضا يحيى</t>
  </si>
  <si>
    <t>04، 06</t>
  </si>
  <si>
    <t>فادي فواز فايز عودة</t>
  </si>
  <si>
    <t>02، 03</t>
  </si>
  <si>
    <t>ربا عادل عبد الهادي ابو هولا</t>
  </si>
  <si>
    <t>محمد رأفت محمد عودة</t>
  </si>
  <si>
    <t>كفاية عزيز نايف عاشور</t>
  </si>
  <si>
    <t>إبراهيم عواد احمد ابو الرب</t>
  </si>
  <si>
    <t>كمال محمد رباح أبوعلي</t>
  </si>
  <si>
    <t>كمال ماهر حامد ابوالسعود</t>
  </si>
  <si>
    <t>مراد كامل سعيد سليمان</t>
  </si>
  <si>
    <t>علي سعدي احمد اسعد</t>
  </si>
  <si>
    <t>علا عزت رزق ريان</t>
  </si>
  <si>
    <t>رياض نمر محمود الواوي</t>
  </si>
  <si>
    <t>عمر ادريس خليل أقطم</t>
  </si>
  <si>
    <t>سليمان محمد سلامة شريعة</t>
  </si>
  <si>
    <t>بشار باسل فؤاد مبارك</t>
  </si>
  <si>
    <t>02، 03، 04، 07</t>
  </si>
  <si>
    <t>حسن جبر احمد الرجوب</t>
  </si>
  <si>
    <t>03، 07</t>
  </si>
  <si>
    <t>داود شاهر حسن العبيات</t>
  </si>
  <si>
    <t>إنتصار ياسين عبد القادر ياسين</t>
  </si>
  <si>
    <t>ميادة مصطفى ذبلان غنام</t>
  </si>
  <si>
    <t>01، 04، 06، 07</t>
  </si>
  <si>
    <t>رائد فضل رضا الزير</t>
  </si>
  <si>
    <t>03، 04، 05</t>
  </si>
  <si>
    <t>سعيد عبدالله عبدالرحيم عمر</t>
  </si>
  <si>
    <t>محمود أحمد فضل طقاطقة</t>
  </si>
  <si>
    <t>01، 02، 04، 07</t>
  </si>
  <si>
    <t>ياسر علي جميل سفاريني</t>
  </si>
  <si>
    <t>منذر محمد عطية اغوير</t>
  </si>
  <si>
    <t>02، 05، 06</t>
  </si>
  <si>
    <t>يسرى محمد سعيد عمرو</t>
  </si>
  <si>
    <t>ياسين محمد ياسين حمد</t>
  </si>
  <si>
    <t>سامر )محمد يونس(سليم علقم</t>
  </si>
  <si>
    <t>سمير إسماعيل عبد الله شقير</t>
  </si>
  <si>
    <t>نجاح عبداللطيف أحمد رباح</t>
  </si>
  <si>
    <t>ديانا خالد صلاح عبد الحق</t>
  </si>
  <si>
    <t>01، 02، 03، 05، 07</t>
  </si>
  <si>
    <t>جهاد عبد الحميد حسن حماد</t>
  </si>
  <si>
    <t>مؤمن باسم سليمان شريم</t>
  </si>
  <si>
    <t>عنان غسان مروان دروزة</t>
  </si>
  <si>
    <t>01، 02، 05</t>
  </si>
  <si>
    <t>عبيدة عبد الهادي عبد القادر الأقرع</t>
  </si>
  <si>
    <t>هبه عبد الرازق محمد حردان</t>
  </si>
  <si>
    <t>بلال سمير أحمد فقها</t>
  </si>
  <si>
    <t>مفيد فايز محمد الهروش</t>
  </si>
  <si>
    <t>03، 04، 05، 07</t>
  </si>
  <si>
    <t>شاكر فايز مرتضى سنقرط</t>
  </si>
  <si>
    <t>سائد عبد السلام ساري شومان</t>
  </si>
  <si>
    <t>أحمد إبراهيم عبد الرحمن الحاج</t>
  </si>
  <si>
    <t>02، 03، 04، 05</t>
  </si>
  <si>
    <t>محمد حمدي محمد خضير</t>
  </si>
  <si>
    <t>امين عماد شهاب سموم</t>
  </si>
  <si>
    <t>محمد صالح )محمد سعيد(الحاج</t>
  </si>
  <si>
    <t>بلال كساب هاشم داود</t>
  </si>
  <si>
    <t>02، 06، 07</t>
  </si>
  <si>
    <t>رنا خليل محمد الشرعب</t>
  </si>
  <si>
    <t>01، 02، 04، 06</t>
  </si>
  <si>
    <t>ربا عبد الرحمن عبد المحسن قطينه</t>
  </si>
  <si>
    <t>إيهاب محمود إسماعيل عيسى</t>
  </si>
  <si>
    <t>سلام اسحاق اسماعيل الخطيب</t>
  </si>
  <si>
    <t>شاكر ذياب ابراهيم عواد</t>
  </si>
  <si>
    <t>رندة "عطا موسى" احمد بركات</t>
  </si>
  <si>
    <t>سعيد عبد الكريم محمد الرزيقات</t>
  </si>
  <si>
    <t>سمير "محمد وليد" سالم سلامه</t>
  </si>
  <si>
    <t>ليلى حسن اسماعيل الهريني</t>
  </si>
  <si>
    <t>داليه نعمان عاطف عمرو</t>
  </si>
  <si>
    <t>02، 03، 04، 06، 07</t>
  </si>
  <si>
    <t>رانيه محمود تيسير الشخشير</t>
  </si>
  <si>
    <t>بهاء بسام محمد حسونة</t>
  </si>
  <si>
    <t>خليل ادوارد خليل رنتيسي</t>
  </si>
  <si>
    <t>شروق رفيق علي سعاده</t>
  </si>
  <si>
    <t>نائل محمود أحمد عواد</t>
  </si>
  <si>
    <t>02، 03، 06</t>
  </si>
  <si>
    <t>عمار "محمد عطا" محمد فران</t>
  </si>
  <si>
    <t>محمد عبد الرحمن ابراهيم رزق الله</t>
  </si>
  <si>
    <t>ياسين محمد ياسين سوالمة</t>
  </si>
  <si>
    <t>أحمد محمد أحمد الحوامده</t>
  </si>
  <si>
    <t>01، 06</t>
  </si>
  <si>
    <t>فوزي رجا عبد الله ابو عيسى</t>
  </si>
  <si>
    <t>رؤوف عاكف عبد الرؤوف جمعه</t>
  </si>
  <si>
    <t>نادرة صبحي عواد جبر</t>
  </si>
  <si>
    <t>بهاء خالد محمد ابراهيم</t>
  </si>
  <si>
    <t>04، 07</t>
  </si>
  <si>
    <t>جهاد احمد اسماعيل المقدسي</t>
  </si>
  <si>
    <t>ايمان سامي علي رشيد</t>
  </si>
  <si>
    <t>محمد محمود فايز عوفي</t>
  </si>
  <si>
    <t>شاهر نمر أسعد بغدادي</t>
  </si>
  <si>
    <t>01، 04</t>
  </si>
  <si>
    <t>علي محمود محمد مصلح</t>
  </si>
  <si>
    <t>وفاء محمد محمود أبو سمرة</t>
  </si>
  <si>
    <t>عثمان أحمد ذيب أبو حلاسي</t>
  </si>
  <si>
    <t>منى صالح عثمان عابد</t>
  </si>
  <si>
    <t>عبداللطيف لطفي عبداللطيف محسن</t>
  </si>
  <si>
    <t>نسيم كمال "محمد صالح" حمايدة</t>
  </si>
  <si>
    <t>سماح تيسير حامد ابو زينة</t>
  </si>
  <si>
    <t>ذياب موسى محمد أبو الرب</t>
  </si>
  <si>
    <t>عفاف مصطفى عبد الرحيم سلامه</t>
  </si>
  <si>
    <t>خالد سعيد محمد زغل</t>
  </si>
  <si>
    <t>رمزي وليد عبدالمجيد سحويل</t>
  </si>
  <si>
    <t>01، 04، 05، 06</t>
  </si>
  <si>
    <t>مجدي ابراهيم نجيب مقطوش</t>
  </si>
  <si>
    <t>فراس محمد عبد الفتاح الحوامدة</t>
  </si>
  <si>
    <t>01، 03</t>
  </si>
  <si>
    <t>سامي محمد عبد الكريم كنعان</t>
  </si>
  <si>
    <t>وجدي أحمد محمد البرهم</t>
  </si>
  <si>
    <t>ناصر أنور محمد عمير</t>
  </si>
  <si>
    <t>يسرى وفيق حكمت حموري</t>
  </si>
  <si>
    <t>01، 03، 04، 07</t>
  </si>
  <si>
    <t>بثينة جمال صبحي متولي</t>
  </si>
  <si>
    <t>محمد عبد المجيد محمد عودة</t>
  </si>
  <si>
    <t>سيما نعمان كامل حمدان</t>
  </si>
  <si>
    <t>عماد خليل عبد الله عمرو</t>
  </si>
  <si>
    <t>غادة رشاد اسعد أبو عبيد</t>
  </si>
  <si>
    <t>02، 06</t>
  </si>
  <si>
    <t>خالد عمر علي شحادة</t>
  </si>
  <si>
    <t>تهاني صدقي عمر دارابراهيم</t>
  </si>
  <si>
    <t>فيحاء وائل أسعد قب</t>
  </si>
  <si>
    <t>وردة مصطفى محمد دلال</t>
  </si>
  <si>
    <t>حسناء عبد العزيز موسى بزبز</t>
  </si>
  <si>
    <t>حسن منصور محمد أبو زاهر</t>
  </si>
  <si>
    <t>محفوظ محمد حافظ صوافطة</t>
  </si>
  <si>
    <t>أيمن عقل مصطفى خليل</t>
  </si>
  <si>
    <t>أحمد محمد تيسير كامل حنتولي</t>
  </si>
  <si>
    <t>نورا طلال عودة حامد</t>
  </si>
  <si>
    <t>01، 02، 03، 06</t>
  </si>
  <si>
    <t>وليد داود إبراهيم سليمان</t>
  </si>
  <si>
    <t>إيمان جميل مسعود خضيري</t>
  </si>
  <si>
    <t>فادية داود علي حجازي</t>
  </si>
  <si>
    <t>مجدي عمر أحمد نزال</t>
  </si>
  <si>
    <t>محمد ياسر إبراهيم محمد</t>
  </si>
  <si>
    <t>03، 04</t>
  </si>
  <si>
    <t>عرفات صبحي طالب ذوقان</t>
  </si>
  <si>
    <t>فادية سليم اسماعيل عياش</t>
  </si>
  <si>
    <t>05، 07</t>
  </si>
  <si>
    <t>سمية فاضل محمود درويش</t>
  </si>
  <si>
    <t>02، 04، 05، 07</t>
  </si>
  <si>
    <t>ذكريات مشهور حمدان دلعب</t>
  </si>
  <si>
    <t>نور منير عبدالرحمن ابو سمرة</t>
  </si>
  <si>
    <t>محمد عبد الكريم محمد ابو دية</t>
  </si>
  <si>
    <t>فادي خيري صادق شيخ ابراهيم</t>
  </si>
  <si>
    <t>إياد عيسى محمد النجار</t>
  </si>
  <si>
    <t>ماهر خليل شحاده نجار</t>
  </si>
  <si>
    <t>مجير حسن محمد صباح</t>
  </si>
  <si>
    <t>يسرى سميح هاشم أبو عيشة</t>
  </si>
  <si>
    <t>02، 04، 06</t>
  </si>
  <si>
    <t>إبراهيم يوسف عبد القادر أبو جادو</t>
  </si>
  <si>
    <t>عماد عزت محمد الجاروشي</t>
  </si>
  <si>
    <t>معزوز منصور عبد الرحيم عبد الله</t>
  </si>
  <si>
    <t>نيفين سليم اسعد صلاح</t>
  </si>
  <si>
    <t>عطيات فتحي اسماعيل الطيف</t>
  </si>
  <si>
    <t>عمر أحمد حماد أبو زهرة</t>
  </si>
  <si>
    <t>01، 03، 06</t>
  </si>
  <si>
    <t>باسل عزمي عبد الفتاح المرقطن</t>
  </si>
  <si>
    <t>زاهر )محمد عدنان ( عبد اللطيف</t>
  </si>
  <si>
    <t>افنان حسن محمد الحسن</t>
  </si>
  <si>
    <t>05، 06</t>
  </si>
  <si>
    <t>عصام عبود محمد الترتير</t>
  </si>
  <si>
    <t>رشا رشاد اسعد أبو عبيد</t>
  </si>
  <si>
    <t>ياسر عبد الرحمن محمد ابو رميشان</t>
  </si>
  <si>
    <t>معتصم صلاح عبد الغافر معكوسة</t>
  </si>
  <si>
    <t>عفت عبدالقادر ابراهيم شهاب</t>
  </si>
  <si>
    <t>محمد بشير احمد موسى</t>
  </si>
  <si>
    <t>فاطمة محمود عبدالقادر ولويل</t>
  </si>
  <si>
    <t>02، 05، 06، 07</t>
  </si>
  <si>
    <t>رفعت نضال شوكت مسودي</t>
  </si>
  <si>
    <t>خليل عزات خليل شريتح</t>
  </si>
  <si>
    <t>عنايه عبد الخالق خليل السعدي</t>
  </si>
  <si>
    <t>هديل فاروق نظمي باكير</t>
  </si>
  <si>
    <t>الياس يوسف يعقوب توما</t>
  </si>
  <si>
    <t>سحاب عبد الفتاح سليمان زهد</t>
  </si>
  <si>
    <t>01، 02، 03، 07</t>
  </si>
  <si>
    <t>فتحية نائل مصطفى داود</t>
  </si>
  <si>
    <t>سماح محي الدين محمد نعمان سيد</t>
  </si>
  <si>
    <t>فداء تيسير محمود طه</t>
  </si>
  <si>
    <t>منال أمين محمود جبر</t>
  </si>
  <si>
    <t>أحمد جميل حسن أبو سرور</t>
  </si>
  <si>
    <t>فؤاد غازي فريد الزير</t>
  </si>
  <si>
    <t>ايمن محمد عبد القادر دمدوم</t>
  </si>
  <si>
    <t>جمال إبراهيم عبد الفتاح نعالوه</t>
  </si>
  <si>
    <t>إياد محمد حسن حمد</t>
  </si>
  <si>
    <t>عبدالرحيم يوسف عبدالرحيم نزال</t>
  </si>
  <si>
    <t>01، 04، 05</t>
  </si>
  <si>
    <t>عزام عبد القادر يوسف الساحلي</t>
  </si>
  <si>
    <t>يحيى جميل محمد ضمرة</t>
  </si>
  <si>
    <t>01، 02، 05، 07</t>
  </si>
  <si>
    <t>رمزي محمد أحمد الحيح</t>
  </si>
  <si>
    <t>محمد يوسف ابراهيم ابو شنار</t>
  </si>
  <si>
    <t>01، 05</t>
  </si>
  <si>
    <t>إبراهيم فايز حسن قصراوي</t>
  </si>
  <si>
    <t>عامر إبراهيم عامر عمرو</t>
  </si>
  <si>
    <t>رمضان محمود رمضان مطر</t>
  </si>
  <si>
    <t>نادر عبد الرازق حسين شاهين</t>
  </si>
  <si>
    <t>محمد برهان عارف محمود</t>
  </si>
  <si>
    <t>نضال ماجد محمد أبو عيشة</t>
  </si>
  <si>
    <t>نجاح كاظم هاشم الحموري</t>
  </si>
  <si>
    <t>وسام أحمد محمود مصلح</t>
  </si>
  <si>
    <t>رشا رشدي عبدالله دراغمة</t>
  </si>
  <si>
    <t>ناصر عبد الله بكر ياسين</t>
  </si>
  <si>
    <t>محمد فهمي محمد ابو عون</t>
  </si>
  <si>
    <t>بدر موسى حسين أبورياش</t>
  </si>
  <si>
    <t>علا عمران صبحي الحلواني</t>
  </si>
  <si>
    <t>برهان يوسف حسن ملوح</t>
  </si>
  <si>
    <t>أمجد يوسف نمر احمد</t>
  </si>
  <si>
    <t>02، 04، 05</t>
  </si>
  <si>
    <t>مازن نظمي كامل برق</t>
  </si>
  <si>
    <t>عباده موسى حسين عمرو</t>
  </si>
  <si>
    <t>سامية جمال صائل صوافطة</t>
  </si>
  <si>
    <t>زهية عبد الرؤوف عبد الله القواسمي</t>
  </si>
  <si>
    <t>فاتنة محمد علي موسى</t>
  </si>
  <si>
    <t>روان يوسف ابراهيم ناصر</t>
  </si>
  <si>
    <t>ليالي حسين محمود الغول</t>
  </si>
  <si>
    <t>سماح محمود عبد اللطيف مصطفى</t>
  </si>
  <si>
    <t>منال طه خضر زبيدية</t>
  </si>
  <si>
    <t>ناصر مصطفى احمد بكر</t>
  </si>
  <si>
    <t>بشير خالد بشير زيد</t>
  </si>
  <si>
    <t>رؤى زياد عبد الله فقهاء</t>
  </si>
  <si>
    <t>حياة حسن مصطفى عبدالحليم</t>
  </si>
  <si>
    <t>محمد ابراهيم كمال حنتولي</t>
  </si>
  <si>
    <t>هنيدة محمد جمعة حشاش</t>
  </si>
  <si>
    <t>جبر عودة علي المخامرة</t>
  </si>
  <si>
    <t>برهان اسماعيل طه فرح</t>
  </si>
  <si>
    <t>هيا حسين عبد الله ربايعه</t>
  </si>
  <si>
    <t>يونس زياد محمد سعيد عمر</t>
  </si>
  <si>
    <t>جهاد عبد اللطيف نمر عوايصة</t>
  </si>
  <si>
    <t>محمد ماجد عبد الحافظ وراسنه</t>
  </si>
  <si>
    <t>ايمن محمد محمود جابر</t>
  </si>
  <si>
    <t>محمد عيسى محمد إبراهيم</t>
  </si>
  <si>
    <t>رياض ياسر عواد أبو عرام</t>
  </si>
  <si>
    <t>مهند محمود حسين صوافطة</t>
  </si>
  <si>
    <t>سمر عارف عبدالله دراغمة</t>
  </si>
  <si>
    <t>لينا جمال مصطفى كنعان</t>
  </si>
  <si>
    <t>سعيد معاوية سعيد نزال</t>
  </si>
  <si>
    <t>معاذ عبد الرحيم احمد برهومي</t>
  </si>
  <si>
    <t>خالد محمد ابراهيم ابراهيم</t>
  </si>
  <si>
    <t>رانية يوسف ابراهيم ناصر</t>
  </si>
  <si>
    <t>منال احمد ذيب البزور</t>
  </si>
  <si>
    <t>ثائر قاسم عبد الرحيم سعدي</t>
  </si>
  <si>
    <t>وفاء لطفي فخري بشير</t>
  </si>
  <si>
    <t>رائدة صبحي محمد ياسين</t>
  </si>
  <si>
    <t>يحيى نعيم محمود بني عودة</t>
  </si>
  <si>
    <t>سعادة خالد محمد ابو شملة</t>
  </si>
  <si>
    <t>التقرير الشامل لأداء الفروع</t>
  </si>
  <si>
    <t>إجمالي الموظفين المتأخرين</t>
  </si>
  <si>
    <t>الموظف الأكثر تأخيراً</t>
  </si>
  <si>
    <t>اليوم الأكثر تكراراً</t>
  </si>
  <si>
    <t>عز الدين محمد مصطفى أبو نزهة (7969 دقيقة)</t>
  </si>
  <si>
    <t>الاثنين</t>
  </si>
  <si>
    <t>حسن فايز حسن قصراوي (3511 دقيقة)</t>
  </si>
  <si>
    <t>رامي نجيب محمود خليل (5561 دقيقة)</t>
  </si>
  <si>
    <t>احمد ابراهيم محمد دلال (4940 دقيقة)</t>
  </si>
  <si>
    <t>جهاد تحسين أحمد طقاطقة (3356 دقيقة)</t>
  </si>
  <si>
    <t>الأربعاء</t>
  </si>
  <si>
    <t>ابراهيم محمد ابراهيم ابو تركي (4976 دقيقة)</t>
  </si>
  <si>
    <t>محمد سليمان ابراهيم الخليل (2950 دقيقة)</t>
  </si>
  <si>
    <t>كميل غالب محمد زيد (3355 دقيقة)</t>
  </si>
  <si>
    <t>يوسف ابراهيم يوسف الرفاعي (3243 دقيقة)</t>
  </si>
  <si>
    <t>الثلاثاء</t>
  </si>
  <si>
    <t>بلال محمد حسين مشارقة (1104 دقيقة)</t>
  </si>
  <si>
    <t>الأحد</t>
  </si>
  <si>
    <t>نادر سليمان عوض أبو حسين (1855 دقيقة)</t>
  </si>
  <si>
    <t>رنا انطون حنا مصلح (1224 دقيقة)</t>
  </si>
  <si>
    <t>اماني جمعة عبد الخالق عبد الهادي (2355 دقيقة)</t>
  </si>
  <si>
    <t>يوسف خيري ابراهيم عسكر (1621 دقيقة)</t>
  </si>
  <si>
    <t>محمد سليم عاهد عبدالرازق (1015 دقيقة)</t>
  </si>
  <si>
    <t>أحمد سعد نمر صبح (660 دقيقة)</t>
  </si>
  <si>
    <t>نادرة احمد جمعة ابو زيد (772 دقيقة)</t>
  </si>
  <si>
    <t>السبت</t>
  </si>
  <si>
    <t>محمود فتحي حسين حمد (294 دقيقة)</t>
  </si>
  <si>
    <t>أماني ابراهيم خالد الشناوي (456 دقيقة)</t>
  </si>
  <si>
    <t>خلف خليل يوسف ادعيس (511 دقيقة)</t>
  </si>
  <si>
    <t>فتح.الله صايل عبد الكريم جيوسي (294 دقيقة)</t>
  </si>
  <si>
    <t>عماد أحمد عيسى أبو حسان (156 دقيقة)</t>
  </si>
  <si>
    <t>لوحة القيادة التفاعلية للموظفين المتأخرين</t>
  </si>
  <si>
    <t>تصفية حسب الفرع:</t>
  </si>
  <si>
    <t>تصفية حسب الشهر:</t>
  </si>
  <si>
    <t>الخميس</t>
  </si>
  <si>
    <t>الجمعة</t>
  </si>
  <si>
    <t>جدول التفاصيل للموظفين</t>
  </si>
  <si>
    <t>الترتيب</t>
  </si>
  <si>
    <t>عدد التأخيرات</t>
  </si>
  <si>
    <t>متوسط التأخير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</si>
</sst>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4B5563"/>
      <name val="Calibri"/>
      <family val="2"/>
      <scheme val="minor"/>
    </font>
    <font>
      <b/>
      <sz val="18"/>
      <color rgb="FF1E3A8A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0" xfId="0" applyFill="1"/>
    <xf numFmtId="0" fontId="3" fillId="4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t="s">
        <v>0</v>
      </c>
      <c r="B1" t="s">
        <v>0</v>
      </c>
    </row>
    <row r="2" spans="1:2">
      <c r="A2" t="s">
        <v>1</v>
      </c>
      <c r="B2" t="s">
        <v>23</v>
      </c>
    </row>
    <row r="3" spans="1:2">
      <c r="A3" t="s">
        <v>2</v>
      </c>
      <c r="B3" t="s">
        <v>24</v>
      </c>
    </row>
    <row r="4" spans="1:2">
      <c r="A4" t="s">
        <v>3</v>
      </c>
      <c r="B4" t="s">
        <v>25</v>
      </c>
    </row>
    <row r="5" spans="1:2">
      <c r="A5" t="s">
        <v>4</v>
      </c>
      <c r="B5" t="s">
        <v>26</v>
      </c>
    </row>
    <row r="6" spans="1:2">
      <c r="A6" t="s">
        <v>5</v>
      </c>
      <c r="B6" t="s">
        <v>27</v>
      </c>
    </row>
    <row r="7" spans="1:2">
      <c r="A7" t="s">
        <v>6</v>
      </c>
      <c r="B7" t="s">
        <v>28</v>
      </c>
    </row>
    <row r="8" spans="1:2">
      <c r="A8" t="s">
        <v>7</v>
      </c>
      <c r="B8" t="s">
        <v>29</v>
      </c>
    </row>
    <row r="9" spans="1:2">
      <c r="A9" t="s">
        <v>8</v>
      </c>
      <c r="B9" t="s">
        <v>30</v>
      </c>
    </row>
    <row r="10" spans="1:2">
      <c r="A10" t="s">
        <v>9</v>
      </c>
      <c r="B10" t="s">
        <v>31</v>
      </c>
    </row>
    <row r="11" spans="1:2">
      <c r="A11" t="s">
        <v>10</v>
      </c>
      <c r="B11" t="s">
        <v>32</v>
      </c>
    </row>
    <row r="12" spans="1:2">
      <c r="A12" t="s">
        <v>11</v>
      </c>
      <c r="B12" t="s">
        <v>33</v>
      </c>
    </row>
    <row r="13" spans="1:2">
      <c r="A13" t="s">
        <v>12</v>
      </c>
      <c r="B13" t="s">
        <v>34</v>
      </c>
    </row>
    <row r="14" spans="1:2">
      <c r="A14" t="s">
        <v>13</v>
      </c>
    </row>
    <row r="15" spans="1:2">
      <c r="A15" t="s">
        <v>14</v>
      </c>
    </row>
    <row r="16" spans="1:2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T455"/>
  <sheetViews>
    <sheetView workbookViewId="0"/>
  </sheetViews>
  <sheetFormatPr defaultRowHeight="15"/>
  <sheetData>
    <row r="1" spans="1:124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66</v>
      </c>
      <c r="AG1" s="1" t="s">
        <v>67</v>
      </c>
      <c r="AH1" s="1" t="s">
        <v>68</v>
      </c>
      <c r="AI1" s="1" t="s">
        <v>69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74</v>
      </c>
      <c r="AO1" s="1" t="s">
        <v>75</v>
      </c>
      <c r="AP1" s="1" t="s">
        <v>76</v>
      </c>
      <c r="AQ1" s="1" t="s">
        <v>77</v>
      </c>
      <c r="AR1" s="1" t="s">
        <v>78</v>
      </c>
      <c r="AS1" s="1" t="s">
        <v>79</v>
      </c>
      <c r="AT1" s="1" t="s">
        <v>80</v>
      </c>
      <c r="AU1" s="1" t="s">
        <v>81</v>
      </c>
      <c r="AV1" s="1" t="s">
        <v>82</v>
      </c>
      <c r="AW1" s="1" t="s">
        <v>83</v>
      </c>
      <c r="AX1" s="1" t="s">
        <v>84</v>
      </c>
      <c r="AY1" s="1" t="s">
        <v>85</v>
      </c>
      <c r="AZ1" s="1" t="s">
        <v>86</v>
      </c>
      <c r="BA1" s="1" t="s">
        <v>87</v>
      </c>
      <c r="BB1" s="1" t="s">
        <v>88</v>
      </c>
      <c r="BC1" s="1" t="s">
        <v>89</v>
      </c>
      <c r="BD1" s="1" t="s">
        <v>90</v>
      </c>
      <c r="BE1" s="1" t="s">
        <v>91</v>
      </c>
      <c r="BF1" s="1" t="s">
        <v>92</v>
      </c>
      <c r="BG1" s="1" t="s">
        <v>93</v>
      </c>
      <c r="BH1" s="1" t="s">
        <v>94</v>
      </c>
      <c r="BI1" s="1" t="s">
        <v>95</v>
      </c>
      <c r="BJ1" s="1" t="s">
        <v>96</v>
      </c>
      <c r="BK1" s="1" t="s">
        <v>97</v>
      </c>
      <c r="BL1" s="1" t="s">
        <v>98</v>
      </c>
      <c r="BM1" s="1" t="s">
        <v>99</v>
      </c>
      <c r="BN1" s="1" t="s">
        <v>100</v>
      </c>
      <c r="BO1" s="1" t="s">
        <v>101</v>
      </c>
      <c r="BP1" s="1" t="s">
        <v>102</v>
      </c>
      <c r="BQ1" s="1" t="s">
        <v>103</v>
      </c>
      <c r="BR1" s="1" t="s">
        <v>104</v>
      </c>
      <c r="BS1" s="1" t="s">
        <v>105</v>
      </c>
      <c r="BT1" s="1" t="s">
        <v>106</v>
      </c>
      <c r="BU1" s="1" t="s">
        <v>107</v>
      </c>
      <c r="BV1" s="1" t="s">
        <v>108</v>
      </c>
      <c r="BW1" s="1" t="s">
        <v>109</v>
      </c>
      <c r="BX1" s="1" t="s">
        <v>110</v>
      </c>
      <c r="BY1" s="1" t="s">
        <v>111</v>
      </c>
      <c r="BZ1" s="1" t="s">
        <v>112</v>
      </c>
      <c r="CA1" s="1" t="s">
        <v>113</v>
      </c>
      <c r="CB1" s="1" t="s">
        <v>114</v>
      </c>
      <c r="CC1" s="1" t="s">
        <v>115</v>
      </c>
      <c r="CD1" s="1" t="s">
        <v>116</v>
      </c>
      <c r="CE1" s="1" t="s">
        <v>117</v>
      </c>
      <c r="CF1" s="1" t="s">
        <v>118</v>
      </c>
      <c r="CG1" s="1" t="s">
        <v>119</v>
      </c>
      <c r="CH1" s="1" t="s">
        <v>120</v>
      </c>
      <c r="CI1" s="1" t="s">
        <v>121</v>
      </c>
      <c r="CJ1" s="1" t="s">
        <v>122</v>
      </c>
      <c r="CK1" s="1" t="s">
        <v>123</v>
      </c>
      <c r="CL1" s="1" t="s">
        <v>124</v>
      </c>
      <c r="CM1" s="1" t="s">
        <v>125</v>
      </c>
      <c r="CN1" s="1" t="s">
        <v>126</v>
      </c>
      <c r="CO1" s="1" t="s">
        <v>127</v>
      </c>
      <c r="CP1" s="1" t="s">
        <v>128</v>
      </c>
      <c r="CQ1" s="1" t="s">
        <v>129</v>
      </c>
      <c r="CR1" s="1" t="s">
        <v>130</v>
      </c>
      <c r="CS1" s="1" t="s">
        <v>131</v>
      </c>
      <c r="CT1" s="1" t="s">
        <v>132</v>
      </c>
      <c r="CU1" s="1" t="s">
        <v>133</v>
      </c>
      <c r="CV1" s="1" t="s">
        <v>134</v>
      </c>
      <c r="CW1" s="1" t="s">
        <v>135</v>
      </c>
      <c r="CX1" s="1" t="s">
        <v>136</v>
      </c>
      <c r="CY1" s="1" t="s">
        <v>137</v>
      </c>
      <c r="CZ1" s="1" t="s">
        <v>138</v>
      </c>
      <c r="DA1" s="1" t="s">
        <v>139</v>
      </c>
      <c r="DB1" s="1" t="s">
        <v>140</v>
      </c>
      <c r="DC1" s="1" t="s">
        <v>141</v>
      </c>
      <c r="DD1" s="1" t="s">
        <v>142</v>
      </c>
      <c r="DE1" s="1" t="s">
        <v>143</v>
      </c>
      <c r="DF1" s="1" t="s">
        <v>144</v>
      </c>
      <c r="DG1" s="1" t="s">
        <v>145</v>
      </c>
      <c r="DH1" s="1" t="s">
        <v>146</v>
      </c>
      <c r="DI1" s="1" t="s">
        <v>147</v>
      </c>
      <c r="DJ1" s="1" t="s">
        <v>148</v>
      </c>
      <c r="DK1" s="1" t="s">
        <v>149</v>
      </c>
      <c r="DL1" s="1" t="s">
        <v>150</v>
      </c>
      <c r="DM1" s="1" t="s">
        <v>151</v>
      </c>
      <c r="DN1" s="1" t="s">
        <v>152</v>
      </c>
      <c r="DO1" s="1" t="s">
        <v>153</v>
      </c>
      <c r="DP1" s="1" t="s">
        <v>154</v>
      </c>
      <c r="DQ1" s="1" t="s">
        <v>155</v>
      </c>
      <c r="DR1" s="1" t="s">
        <v>156</v>
      </c>
      <c r="DS1" s="1" t="s">
        <v>157</v>
      </c>
      <c r="DT1" s="1" t="s">
        <v>158</v>
      </c>
    </row>
    <row r="2" spans="1:124">
      <c r="A2" s="2" t="s">
        <v>13</v>
      </c>
      <c r="B2" s="2" t="s">
        <v>159</v>
      </c>
      <c r="C2" s="2">
        <v>7969</v>
      </c>
      <c r="D2" s="2">
        <v>90</v>
      </c>
      <c r="E2" s="2">
        <v>132.82</v>
      </c>
      <c r="F2" s="2">
        <v>88.54000000000001</v>
      </c>
      <c r="G2" s="2" t="s">
        <v>160</v>
      </c>
      <c r="H2">
        <f>IF(AND(OR(لوحة_القيادة!$C$4="الكل", A2=لوحة_القيادة!$C$4), IF(لوحة_القيادة!$C$5="الكل", TRUE, INDEX($V2:$AG2, 1, VALUE(لوحة_القيادة!$C$5))&gt;0)), 1, 0)</f>
        <v>0</v>
      </c>
      <c r="I2">
        <f>IF(H2=1, SUM($H$2:H2), "")</f>
        <v>0</v>
      </c>
      <c r="J2" s="2">
        <v>971</v>
      </c>
      <c r="K2" s="2">
        <v>1116</v>
      </c>
      <c r="L2" s="2">
        <v>934</v>
      </c>
      <c r="M2" s="2">
        <v>1600</v>
      </c>
      <c r="N2" s="2">
        <v>1373</v>
      </c>
      <c r="O2" s="2">
        <v>1518</v>
      </c>
      <c r="P2" s="2">
        <v>457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12</v>
      </c>
      <c r="W2" s="2">
        <v>16</v>
      </c>
      <c r="X2" s="2">
        <v>9</v>
      </c>
      <c r="Y2" s="2">
        <v>17</v>
      </c>
      <c r="Z2" s="2">
        <v>17</v>
      </c>
      <c r="AA2" s="2">
        <v>14</v>
      </c>
      <c r="AB2" s="2">
        <v>5</v>
      </c>
      <c r="AC2" s="2">
        <v>0</v>
      </c>
      <c r="AD2" s="2">
        <v>0</v>
      </c>
      <c r="AE2" s="2">
        <v>0</v>
      </c>
      <c r="AF2" s="2">
        <v>0</v>
      </c>
      <c r="AG2" s="2">
        <v>16</v>
      </c>
      <c r="AH2" s="2">
        <v>22</v>
      </c>
      <c r="AI2" s="2">
        <v>19</v>
      </c>
      <c r="AJ2" s="2">
        <v>22</v>
      </c>
      <c r="AK2" s="2">
        <v>0</v>
      </c>
      <c r="AL2" s="2">
        <v>0</v>
      </c>
      <c r="AM2" s="2">
        <v>11</v>
      </c>
      <c r="AN2" s="2">
        <v>2</v>
      </c>
      <c r="AO2" s="2">
        <v>4</v>
      </c>
      <c r="AP2" s="2">
        <v>1</v>
      </c>
      <c r="AQ2" s="2">
        <v>3</v>
      </c>
      <c r="AR2" s="2">
        <v>4</v>
      </c>
      <c r="AS2" s="2">
        <v>1</v>
      </c>
      <c r="AT2" s="2">
        <v>1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4</v>
      </c>
      <c r="BA2" s="2">
        <v>4</v>
      </c>
      <c r="BB2" s="2">
        <v>2</v>
      </c>
      <c r="BC2" s="2">
        <v>4</v>
      </c>
      <c r="BD2" s="2">
        <v>3</v>
      </c>
      <c r="BE2" s="2">
        <v>4</v>
      </c>
      <c r="BF2" s="2">
        <v>1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3</v>
      </c>
      <c r="BM2" s="2">
        <v>3</v>
      </c>
      <c r="BN2" s="2">
        <v>3</v>
      </c>
      <c r="BO2" s="2">
        <v>3</v>
      </c>
      <c r="BP2" s="2">
        <v>3</v>
      </c>
      <c r="BQ2" s="2">
        <v>3</v>
      </c>
      <c r="BR2" s="2">
        <v>1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3</v>
      </c>
      <c r="BY2" s="2">
        <v>3</v>
      </c>
      <c r="BZ2" s="2">
        <v>3</v>
      </c>
      <c r="CA2" s="2">
        <v>4</v>
      </c>
      <c r="CB2" s="2">
        <v>3</v>
      </c>
      <c r="CC2" s="2">
        <v>4</v>
      </c>
      <c r="CD2" s="2">
        <v>2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2</v>
      </c>
      <c r="DJ2" s="2">
        <v>0</v>
      </c>
      <c r="DK2" s="2">
        <v>3</v>
      </c>
      <c r="DL2" s="2">
        <v>4</v>
      </c>
      <c r="DM2" s="2">
        <v>2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</row>
    <row r="3" spans="1:124">
      <c r="A3" s="2" t="s">
        <v>13</v>
      </c>
      <c r="B3" s="2" t="s">
        <v>161</v>
      </c>
      <c r="C3" s="2">
        <v>6358</v>
      </c>
      <c r="D3" s="2">
        <v>76</v>
      </c>
      <c r="E3" s="2">
        <v>105.97</v>
      </c>
      <c r="F3" s="2">
        <v>83.66</v>
      </c>
      <c r="G3" s="2" t="s">
        <v>160</v>
      </c>
      <c r="H3">
        <f>IF(AND(OR(لوحة_القيادة!$C$4="الكل", A3=لوحة_القيادة!$C$4), IF(لوحة_القيادة!$C$5="الكل", TRUE, INDEX($V3:$AG3, 1, VALUE(لوحة_القيادة!$C$5))&gt;0)), 1, 0)</f>
        <v>0</v>
      </c>
      <c r="I3">
        <f>IF(H3=1, SUM($H$2:H3), "")</f>
        <v>0</v>
      </c>
      <c r="J3" s="2">
        <v>1237</v>
      </c>
      <c r="K3" s="2">
        <v>841</v>
      </c>
      <c r="L3" s="2">
        <v>651</v>
      </c>
      <c r="M3" s="2">
        <v>1237</v>
      </c>
      <c r="N3" s="2">
        <v>915</v>
      </c>
      <c r="O3" s="2">
        <v>1304</v>
      </c>
      <c r="P3" s="2">
        <v>173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14</v>
      </c>
      <c r="W3" s="2">
        <v>12</v>
      </c>
      <c r="X3" s="2">
        <v>9</v>
      </c>
      <c r="Y3" s="2">
        <v>12</v>
      </c>
      <c r="Z3" s="2">
        <v>13</v>
      </c>
      <c r="AA3" s="2">
        <v>14</v>
      </c>
      <c r="AB3" s="2">
        <v>2</v>
      </c>
      <c r="AC3" s="2">
        <v>0</v>
      </c>
      <c r="AD3" s="2">
        <v>0</v>
      </c>
      <c r="AE3" s="2">
        <v>0</v>
      </c>
      <c r="AF3" s="2">
        <v>0</v>
      </c>
      <c r="AG3" s="2">
        <v>18</v>
      </c>
      <c r="AH3" s="2">
        <v>21</v>
      </c>
      <c r="AI3" s="2">
        <v>16</v>
      </c>
      <c r="AJ3" s="2">
        <v>14</v>
      </c>
      <c r="AK3" s="2">
        <v>0</v>
      </c>
      <c r="AL3" s="2">
        <v>0</v>
      </c>
      <c r="AM3" s="2">
        <v>7</v>
      </c>
      <c r="AN3" s="2">
        <v>2</v>
      </c>
      <c r="AO3" s="2">
        <v>4</v>
      </c>
      <c r="AP3" s="2">
        <v>1</v>
      </c>
      <c r="AQ3" s="2">
        <v>3</v>
      </c>
      <c r="AR3" s="2">
        <v>4</v>
      </c>
      <c r="AS3" s="2">
        <v>4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3</v>
      </c>
      <c r="BA3" s="2">
        <v>3</v>
      </c>
      <c r="BB3" s="2">
        <v>3</v>
      </c>
      <c r="BC3" s="2">
        <v>3</v>
      </c>
      <c r="BD3" s="2">
        <v>3</v>
      </c>
      <c r="BE3" s="2">
        <v>5</v>
      </c>
      <c r="BF3" s="2">
        <v>1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3</v>
      </c>
      <c r="BM3" s="2">
        <v>1</v>
      </c>
      <c r="BN3" s="2">
        <v>3</v>
      </c>
      <c r="BO3" s="2">
        <v>3</v>
      </c>
      <c r="BP3" s="2">
        <v>2</v>
      </c>
      <c r="BQ3" s="2">
        <v>3</v>
      </c>
      <c r="BR3" s="2">
        <v>1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3</v>
      </c>
      <c r="BY3" s="2">
        <v>3</v>
      </c>
      <c r="BZ3" s="2">
        <v>2</v>
      </c>
      <c r="CA3" s="2">
        <v>2</v>
      </c>
      <c r="CB3" s="2">
        <v>3</v>
      </c>
      <c r="CC3" s="2">
        <v>1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3</v>
      </c>
      <c r="DI3" s="2">
        <v>1</v>
      </c>
      <c r="DJ3" s="2">
        <v>0</v>
      </c>
      <c r="DK3" s="2">
        <v>1</v>
      </c>
      <c r="DL3" s="2">
        <v>1</v>
      </c>
      <c r="DM3" s="2">
        <v>1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</row>
    <row r="4" spans="1:124">
      <c r="A4" s="2" t="s">
        <v>1</v>
      </c>
      <c r="B4" s="2" t="s">
        <v>162</v>
      </c>
      <c r="C4" s="2">
        <v>5561</v>
      </c>
      <c r="D4" s="2">
        <v>73</v>
      </c>
      <c r="E4" s="2">
        <v>92.68000000000001</v>
      </c>
      <c r="F4" s="2">
        <v>76.18000000000001</v>
      </c>
      <c r="G4" s="2" t="s">
        <v>160</v>
      </c>
      <c r="H4">
        <f>IF(AND(OR(لوحة_القيادة!$C$4="الكل", A4=لوحة_القيادة!$C$4), IF(لوحة_القيادة!$C$5="الكل", TRUE, INDEX($V4:$AG4, 1, VALUE(لوحة_القيادة!$C$5))&gt;0)), 1, 0)</f>
        <v>0</v>
      </c>
      <c r="I4">
        <f>IF(H4=1, SUM($H$2:H4), "")</f>
        <v>0</v>
      </c>
      <c r="J4" s="2">
        <v>1290</v>
      </c>
      <c r="K4" s="2">
        <v>822</v>
      </c>
      <c r="L4" s="2">
        <v>243</v>
      </c>
      <c r="M4" s="2">
        <v>805</v>
      </c>
      <c r="N4" s="2">
        <v>977</v>
      </c>
      <c r="O4" s="2">
        <v>1062</v>
      </c>
      <c r="P4" s="2">
        <v>362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14</v>
      </c>
      <c r="W4" s="2">
        <v>12</v>
      </c>
      <c r="X4" s="2">
        <v>4</v>
      </c>
      <c r="Y4" s="2">
        <v>12</v>
      </c>
      <c r="Z4" s="2">
        <v>13</v>
      </c>
      <c r="AA4" s="2">
        <v>14</v>
      </c>
      <c r="AB4" s="2">
        <v>4</v>
      </c>
      <c r="AC4" s="2">
        <v>0</v>
      </c>
      <c r="AD4" s="2">
        <v>0</v>
      </c>
      <c r="AE4" s="2">
        <v>0</v>
      </c>
      <c r="AF4" s="2">
        <v>0</v>
      </c>
      <c r="AG4" s="2">
        <v>14</v>
      </c>
      <c r="AH4" s="2">
        <v>17</v>
      </c>
      <c r="AI4" s="2">
        <v>13</v>
      </c>
      <c r="AJ4" s="2">
        <v>18</v>
      </c>
      <c r="AK4" s="2">
        <v>0</v>
      </c>
      <c r="AL4" s="2">
        <v>0</v>
      </c>
      <c r="AM4" s="2">
        <v>11</v>
      </c>
      <c r="AN4" s="2">
        <v>2</v>
      </c>
      <c r="AO4" s="2">
        <v>2</v>
      </c>
      <c r="AP4" s="2">
        <v>1</v>
      </c>
      <c r="AQ4" s="2">
        <v>2</v>
      </c>
      <c r="AR4" s="2">
        <v>3</v>
      </c>
      <c r="AS4" s="2">
        <v>3</v>
      </c>
      <c r="AT4" s="2">
        <v>1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3</v>
      </c>
      <c r="BA4" s="2">
        <v>3</v>
      </c>
      <c r="BB4" s="2">
        <v>1</v>
      </c>
      <c r="BC4" s="2">
        <v>4</v>
      </c>
      <c r="BD4" s="2">
        <v>3</v>
      </c>
      <c r="BE4" s="2">
        <v>2</v>
      </c>
      <c r="BF4" s="2">
        <v>1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2</v>
      </c>
      <c r="BM4" s="2">
        <v>2</v>
      </c>
      <c r="BN4" s="2">
        <v>1</v>
      </c>
      <c r="BO4" s="2">
        <v>3</v>
      </c>
      <c r="BP4" s="2">
        <v>1</v>
      </c>
      <c r="BQ4" s="2">
        <v>4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3</v>
      </c>
      <c r="BY4" s="2">
        <v>3</v>
      </c>
      <c r="BZ4" s="2">
        <v>1</v>
      </c>
      <c r="CA4" s="2">
        <v>2</v>
      </c>
      <c r="CB4" s="2">
        <v>3</v>
      </c>
      <c r="CC4" s="2">
        <v>4</v>
      </c>
      <c r="CD4" s="2">
        <v>2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4</v>
      </c>
      <c r="DI4" s="2">
        <v>2</v>
      </c>
      <c r="DJ4" s="2">
        <v>0</v>
      </c>
      <c r="DK4" s="2">
        <v>1</v>
      </c>
      <c r="DL4" s="2">
        <v>3</v>
      </c>
      <c r="DM4" s="2">
        <v>1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</row>
    <row r="5" spans="1:124">
      <c r="A5" s="2" t="s">
        <v>20</v>
      </c>
      <c r="B5" s="2" t="s">
        <v>163</v>
      </c>
      <c r="C5" s="2">
        <v>4976</v>
      </c>
      <c r="D5" s="2">
        <v>105</v>
      </c>
      <c r="E5" s="2">
        <v>82.93000000000001</v>
      </c>
      <c r="F5" s="2">
        <v>47.39</v>
      </c>
      <c r="G5" s="2" t="s">
        <v>160</v>
      </c>
      <c r="H5">
        <f>IF(AND(OR(لوحة_القيادة!$C$4="الكل", A5=لوحة_القيادة!$C$4), IF(لوحة_القيادة!$C$5="الكل", TRUE, INDEX($V5:$AG5, 1, VALUE(لوحة_القيادة!$C$5))&gt;0)), 1, 0)</f>
        <v>0</v>
      </c>
      <c r="I5">
        <f>IF(H5=1, SUM($H$2:H5), "")</f>
        <v>0</v>
      </c>
      <c r="J5" s="2">
        <v>839</v>
      </c>
      <c r="K5" s="2">
        <v>459</v>
      </c>
      <c r="L5" s="2">
        <v>899</v>
      </c>
      <c r="M5" s="2">
        <v>1091</v>
      </c>
      <c r="N5" s="2">
        <v>507</v>
      </c>
      <c r="O5" s="2">
        <v>929</v>
      </c>
      <c r="P5" s="2">
        <v>252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17</v>
      </c>
      <c r="W5" s="2">
        <v>14</v>
      </c>
      <c r="X5" s="2">
        <v>12</v>
      </c>
      <c r="Y5" s="2">
        <v>18</v>
      </c>
      <c r="Z5" s="2">
        <v>17</v>
      </c>
      <c r="AA5" s="2">
        <v>21</v>
      </c>
      <c r="AB5" s="2">
        <v>6</v>
      </c>
      <c r="AC5" s="2">
        <v>0</v>
      </c>
      <c r="AD5" s="2">
        <v>0</v>
      </c>
      <c r="AE5" s="2">
        <v>0</v>
      </c>
      <c r="AF5" s="2">
        <v>0</v>
      </c>
      <c r="AG5" s="2">
        <v>22</v>
      </c>
      <c r="AH5" s="2">
        <v>24</v>
      </c>
      <c r="AI5" s="2">
        <v>23</v>
      </c>
      <c r="AJ5" s="2">
        <v>19</v>
      </c>
      <c r="AK5" s="2">
        <v>0</v>
      </c>
      <c r="AL5" s="2">
        <v>0</v>
      </c>
      <c r="AM5" s="2">
        <v>17</v>
      </c>
      <c r="AN5" s="2">
        <v>4</v>
      </c>
      <c r="AO5" s="2">
        <v>4</v>
      </c>
      <c r="AP5" s="2">
        <v>2</v>
      </c>
      <c r="AQ5" s="2">
        <v>3</v>
      </c>
      <c r="AR5" s="2">
        <v>4</v>
      </c>
      <c r="AS5" s="2">
        <v>4</v>
      </c>
      <c r="AT5" s="2">
        <v>1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4</v>
      </c>
      <c r="BA5" s="2">
        <v>4</v>
      </c>
      <c r="BB5" s="2">
        <v>2</v>
      </c>
      <c r="BC5" s="2">
        <v>4</v>
      </c>
      <c r="BD5" s="2">
        <v>4</v>
      </c>
      <c r="BE5" s="2">
        <v>5</v>
      </c>
      <c r="BF5" s="2">
        <v>1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4</v>
      </c>
      <c r="BM5" s="2">
        <v>3</v>
      </c>
      <c r="BN5" s="2">
        <v>4</v>
      </c>
      <c r="BO5" s="2">
        <v>4</v>
      </c>
      <c r="BP5" s="2">
        <v>3</v>
      </c>
      <c r="BQ5" s="2">
        <v>4</v>
      </c>
      <c r="BR5" s="2">
        <v>1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3</v>
      </c>
      <c r="BY5" s="2">
        <v>1</v>
      </c>
      <c r="BZ5" s="2">
        <v>3</v>
      </c>
      <c r="CA5" s="2">
        <v>4</v>
      </c>
      <c r="CB5" s="2">
        <v>2</v>
      </c>
      <c r="CC5" s="2">
        <v>4</v>
      </c>
      <c r="CD5" s="2">
        <v>2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2</v>
      </c>
      <c r="DI5" s="2">
        <v>2</v>
      </c>
      <c r="DJ5" s="2">
        <v>1</v>
      </c>
      <c r="DK5" s="2">
        <v>3</v>
      </c>
      <c r="DL5" s="2">
        <v>4</v>
      </c>
      <c r="DM5" s="2">
        <v>4</v>
      </c>
      <c r="DN5" s="2">
        <v>1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</row>
    <row r="6" spans="1:124">
      <c r="A6" s="2" t="s">
        <v>7</v>
      </c>
      <c r="B6" s="2" t="s">
        <v>164</v>
      </c>
      <c r="C6" s="2">
        <v>4940</v>
      </c>
      <c r="D6" s="2">
        <v>96</v>
      </c>
      <c r="E6" s="2">
        <v>82.33</v>
      </c>
      <c r="F6" s="2">
        <v>51.46</v>
      </c>
      <c r="G6" s="2" t="s">
        <v>160</v>
      </c>
      <c r="H6">
        <f>IF(AND(OR(لوحة_القيادة!$C$4="الكل", A6=لوحة_القيادة!$C$4), IF(لوحة_القيادة!$C$5="الكل", TRUE, INDEX($V6:$AG6, 1, VALUE(لوحة_القيادة!$C$5))&gt;0)), 1, 0)</f>
        <v>0</v>
      </c>
      <c r="I6">
        <f>IF(H6=1, SUM($H$2:H6), "")</f>
        <v>0</v>
      </c>
      <c r="J6" s="2">
        <v>1059</v>
      </c>
      <c r="K6" s="2">
        <v>1218</v>
      </c>
      <c r="L6" s="2">
        <v>259</v>
      </c>
      <c r="M6" s="2">
        <v>770</v>
      </c>
      <c r="N6" s="2">
        <v>725</v>
      </c>
      <c r="O6" s="2">
        <v>604</v>
      </c>
      <c r="P6" s="2">
        <v>305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18</v>
      </c>
      <c r="W6" s="2">
        <v>16</v>
      </c>
      <c r="X6" s="2">
        <v>5</v>
      </c>
      <c r="Y6" s="2">
        <v>16</v>
      </c>
      <c r="Z6" s="2">
        <v>18</v>
      </c>
      <c r="AA6" s="2">
        <v>17</v>
      </c>
      <c r="AB6" s="2">
        <v>6</v>
      </c>
      <c r="AC6" s="2">
        <v>0</v>
      </c>
      <c r="AD6" s="2">
        <v>0</v>
      </c>
      <c r="AE6" s="2">
        <v>0</v>
      </c>
      <c r="AF6" s="2">
        <v>0</v>
      </c>
      <c r="AG6" s="2">
        <v>21</v>
      </c>
      <c r="AH6" s="2">
        <v>20</v>
      </c>
      <c r="AI6" s="2">
        <v>19</v>
      </c>
      <c r="AJ6" s="2">
        <v>19</v>
      </c>
      <c r="AK6" s="2">
        <v>0</v>
      </c>
      <c r="AL6" s="2">
        <v>0</v>
      </c>
      <c r="AM6" s="2">
        <v>17</v>
      </c>
      <c r="AN6" s="2">
        <v>4</v>
      </c>
      <c r="AO6" s="2">
        <v>3</v>
      </c>
      <c r="AP6" s="2">
        <v>2</v>
      </c>
      <c r="AQ6" s="2">
        <v>3</v>
      </c>
      <c r="AR6" s="2">
        <v>5</v>
      </c>
      <c r="AS6" s="2">
        <v>3</v>
      </c>
      <c r="AT6" s="2">
        <v>1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3</v>
      </c>
      <c r="BA6" s="2">
        <v>4</v>
      </c>
      <c r="BB6" s="2">
        <v>1</v>
      </c>
      <c r="BC6" s="2">
        <v>4</v>
      </c>
      <c r="BD6" s="2">
        <v>3</v>
      </c>
      <c r="BE6" s="2">
        <v>4</v>
      </c>
      <c r="BF6" s="2">
        <v>1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4</v>
      </c>
      <c r="BM6" s="2">
        <v>3</v>
      </c>
      <c r="BN6" s="2">
        <v>1</v>
      </c>
      <c r="BO6" s="2">
        <v>3</v>
      </c>
      <c r="BP6" s="2">
        <v>3</v>
      </c>
      <c r="BQ6" s="2">
        <v>4</v>
      </c>
      <c r="BR6" s="2">
        <v>1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3</v>
      </c>
      <c r="BY6" s="2">
        <v>3</v>
      </c>
      <c r="BZ6" s="2">
        <v>1</v>
      </c>
      <c r="CA6" s="2">
        <v>4</v>
      </c>
      <c r="CB6" s="2">
        <v>3</v>
      </c>
      <c r="CC6" s="2">
        <v>3</v>
      </c>
      <c r="CD6" s="2">
        <v>2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4</v>
      </c>
      <c r="DI6" s="2">
        <v>3</v>
      </c>
      <c r="DJ6" s="2">
        <v>0</v>
      </c>
      <c r="DK6" s="2">
        <v>2</v>
      </c>
      <c r="DL6" s="2">
        <v>4</v>
      </c>
      <c r="DM6" s="2">
        <v>3</v>
      </c>
      <c r="DN6" s="2">
        <v>1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</row>
    <row r="7" spans="1:124">
      <c r="A7" s="2" t="s">
        <v>20</v>
      </c>
      <c r="B7" s="2" t="s">
        <v>165</v>
      </c>
      <c r="C7" s="2">
        <v>4026</v>
      </c>
      <c r="D7" s="2">
        <v>101</v>
      </c>
      <c r="E7" s="2">
        <v>67.09999999999999</v>
      </c>
      <c r="F7" s="2">
        <v>39.86</v>
      </c>
      <c r="G7" s="2" t="s">
        <v>160</v>
      </c>
      <c r="H7">
        <f>IF(AND(OR(لوحة_القيادة!$C$4="الكل", A7=لوحة_القيادة!$C$4), IF(لوحة_القيادة!$C$5="الكل", TRUE, INDEX($V7:$AG7, 1, VALUE(لوحة_القيادة!$C$5))&gt;0)), 1, 0)</f>
        <v>0</v>
      </c>
      <c r="I7">
        <f>IF(H7=1, SUM($H$2:H7), "")</f>
        <v>0</v>
      </c>
      <c r="J7" s="2">
        <v>852</v>
      </c>
      <c r="K7" s="2">
        <v>539</v>
      </c>
      <c r="L7" s="2">
        <v>470</v>
      </c>
      <c r="M7" s="2">
        <v>674</v>
      </c>
      <c r="N7" s="2">
        <v>449</v>
      </c>
      <c r="O7" s="2">
        <v>721</v>
      </c>
      <c r="P7" s="2">
        <v>321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18</v>
      </c>
      <c r="W7" s="2">
        <v>18</v>
      </c>
      <c r="X7" s="2">
        <v>13</v>
      </c>
      <c r="Y7" s="2">
        <v>15</v>
      </c>
      <c r="Z7" s="2">
        <v>12</v>
      </c>
      <c r="AA7" s="2">
        <v>19</v>
      </c>
      <c r="AB7" s="2">
        <v>6</v>
      </c>
      <c r="AC7" s="2">
        <v>0</v>
      </c>
      <c r="AD7" s="2">
        <v>0</v>
      </c>
      <c r="AE7" s="2">
        <v>0</v>
      </c>
      <c r="AF7" s="2">
        <v>0</v>
      </c>
      <c r="AG7" s="2">
        <v>22</v>
      </c>
      <c r="AH7" s="2">
        <v>25</v>
      </c>
      <c r="AI7" s="2">
        <v>19</v>
      </c>
      <c r="AJ7" s="2">
        <v>19</v>
      </c>
      <c r="AK7" s="2">
        <v>0</v>
      </c>
      <c r="AL7" s="2">
        <v>0</v>
      </c>
      <c r="AM7" s="2">
        <v>16</v>
      </c>
      <c r="AN7" s="2">
        <v>4</v>
      </c>
      <c r="AO7" s="2">
        <v>4</v>
      </c>
      <c r="AP7" s="2">
        <v>2</v>
      </c>
      <c r="AQ7" s="2">
        <v>2</v>
      </c>
      <c r="AR7" s="2">
        <v>5</v>
      </c>
      <c r="AS7" s="2">
        <v>4</v>
      </c>
      <c r="AT7" s="2">
        <v>1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4</v>
      </c>
      <c r="BA7" s="2">
        <v>4</v>
      </c>
      <c r="BB7" s="2">
        <v>4</v>
      </c>
      <c r="BC7" s="2">
        <v>4</v>
      </c>
      <c r="BD7" s="2">
        <v>3</v>
      </c>
      <c r="BE7" s="2">
        <v>5</v>
      </c>
      <c r="BF7" s="2">
        <v>1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4</v>
      </c>
      <c r="BM7" s="2">
        <v>4</v>
      </c>
      <c r="BN7" s="2">
        <v>3</v>
      </c>
      <c r="BO7" s="2">
        <v>3</v>
      </c>
      <c r="BP7" s="2">
        <v>1</v>
      </c>
      <c r="BQ7" s="2">
        <v>3</v>
      </c>
      <c r="BR7" s="2">
        <v>1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2</v>
      </c>
      <c r="BY7" s="2">
        <v>4</v>
      </c>
      <c r="BZ7" s="2">
        <v>3</v>
      </c>
      <c r="CA7" s="2">
        <v>3</v>
      </c>
      <c r="CB7" s="2">
        <v>1</v>
      </c>
      <c r="CC7" s="2">
        <v>4</v>
      </c>
      <c r="CD7" s="2">
        <v>2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4</v>
      </c>
      <c r="DI7" s="2">
        <v>2</v>
      </c>
      <c r="DJ7" s="2">
        <v>1</v>
      </c>
      <c r="DK7" s="2">
        <v>3</v>
      </c>
      <c r="DL7" s="2">
        <v>2</v>
      </c>
      <c r="DM7" s="2">
        <v>3</v>
      </c>
      <c r="DN7" s="2">
        <v>1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</row>
    <row r="8" spans="1:124">
      <c r="A8" s="2" t="s">
        <v>1</v>
      </c>
      <c r="B8" s="2" t="s">
        <v>166</v>
      </c>
      <c r="C8" s="2">
        <v>3922</v>
      </c>
      <c r="D8" s="2">
        <v>90</v>
      </c>
      <c r="E8" s="2">
        <v>65.37</v>
      </c>
      <c r="F8" s="2">
        <v>43.58</v>
      </c>
      <c r="G8" s="2" t="s">
        <v>160</v>
      </c>
      <c r="H8">
        <f>IF(AND(OR(لوحة_القيادة!$C$4="الكل", A8=لوحة_القيادة!$C$4), IF(لوحة_القيادة!$C$5="الكل", TRUE, INDEX($V8:$AG8, 1, VALUE(لوحة_القيادة!$C$5))&gt;0)), 1, 0)</f>
        <v>0</v>
      </c>
      <c r="I8">
        <f>IF(H8=1, SUM($H$2:H8), "")</f>
        <v>0</v>
      </c>
      <c r="J8" s="2">
        <v>498</v>
      </c>
      <c r="K8" s="2">
        <v>730</v>
      </c>
      <c r="L8" s="2">
        <v>302</v>
      </c>
      <c r="M8" s="2">
        <v>914</v>
      </c>
      <c r="N8" s="2">
        <v>547</v>
      </c>
      <c r="O8" s="2">
        <v>834</v>
      </c>
      <c r="P8" s="2">
        <v>97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10</v>
      </c>
      <c r="W8" s="2">
        <v>15</v>
      </c>
      <c r="X8" s="2">
        <v>5</v>
      </c>
      <c r="Y8" s="2">
        <v>17</v>
      </c>
      <c r="Z8" s="2">
        <v>18</v>
      </c>
      <c r="AA8" s="2">
        <v>20</v>
      </c>
      <c r="AB8" s="2">
        <v>5</v>
      </c>
      <c r="AC8" s="2">
        <v>0</v>
      </c>
      <c r="AD8" s="2">
        <v>0</v>
      </c>
      <c r="AE8" s="2">
        <v>0</v>
      </c>
      <c r="AF8" s="2">
        <v>0</v>
      </c>
      <c r="AG8" s="2">
        <v>18</v>
      </c>
      <c r="AH8" s="2">
        <v>19</v>
      </c>
      <c r="AI8" s="2">
        <v>18</v>
      </c>
      <c r="AJ8" s="2">
        <v>18</v>
      </c>
      <c r="AK8" s="2">
        <v>0</v>
      </c>
      <c r="AL8" s="2">
        <v>0</v>
      </c>
      <c r="AM8" s="2">
        <v>17</v>
      </c>
      <c r="AN8" s="2">
        <v>2</v>
      </c>
      <c r="AO8" s="2">
        <v>3</v>
      </c>
      <c r="AP8" s="2">
        <v>0</v>
      </c>
      <c r="AQ8" s="2">
        <v>3</v>
      </c>
      <c r="AR8" s="2">
        <v>5</v>
      </c>
      <c r="AS8" s="2">
        <v>4</v>
      </c>
      <c r="AT8" s="2">
        <v>1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2</v>
      </c>
      <c r="BA8" s="2">
        <v>3</v>
      </c>
      <c r="BB8" s="2">
        <v>1</v>
      </c>
      <c r="BC8" s="2">
        <v>4</v>
      </c>
      <c r="BD8" s="2">
        <v>4</v>
      </c>
      <c r="BE8" s="2">
        <v>5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3</v>
      </c>
      <c r="BM8" s="2">
        <v>3</v>
      </c>
      <c r="BN8" s="2">
        <v>2</v>
      </c>
      <c r="BO8" s="2">
        <v>3</v>
      </c>
      <c r="BP8" s="2">
        <v>2</v>
      </c>
      <c r="BQ8" s="2">
        <v>4</v>
      </c>
      <c r="BR8" s="2">
        <v>1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1</v>
      </c>
      <c r="BY8" s="2">
        <v>4</v>
      </c>
      <c r="BZ8" s="2">
        <v>1</v>
      </c>
      <c r="CA8" s="2">
        <v>4</v>
      </c>
      <c r="CB8" s="2">
        <v>3</v>
      </c>
      <c r="CC8" s="2">
        <v>3</v>
      </c>
      <c r="CD8" s="2">
        <v>2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2</v>
      </c>
      <c r="DI8" s="2">
        <v>2</v>
      </c>
      <c r="DJ8" s="2">
        <v>1</v>
      </c>
      <c r="DK8" s="2">
        <v>3</v>
      </c>
      <c r="DL8" s="2">
        <v>4</v>
      </c>
      <c r="DM8" s="2">
        <v>4</v>
      </c>
      <c r="DN8" s="2">
        <v>1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</row>
    <row r="9" spans="1:124">
      <c r="A9" s="2" t="s">
        <v>11</v>
      </c>
      <c r="B9" s="2" t="s">
        <v>167</v>
      </c>
      <c r="C9" s="2">
        <v>3511</v>
      </c>
      <c r="D9" s="2">
        <v>64</v>
      </c>
      <c r="E9" s="2">
        <v>58.52</v>
      </c>
      <c r="F9" s="2">
        <v>54.86</v>
      </c>
      <c r="G9" s="2" t="s">
        <v>160</v>
      </c>
      <c r="H9">
        <f>IF(AND(OR(لوحة_القيادة!$C$4="الكل", A9=لوحة_القيادة!$C$4), IF(لوحة_القيادة!$C$5="الكل", TRUE, INDEX($V9:$AG9, 1, VALUE(لوحة_القيادة!$C$5))&gt;0)), 1, 0)</f>
        <v>0</v>
      </c>
      <c r="I9">
        <f>IF(H9=1, SUM($H$2:H9), "")</f>
        <v>0</v>
      </c>
      <c r="J9" s="2">
        <v>638</v>
      </c>
      <c r="K9" s="2">
        <v>691</v>
      </c>
      <c r="L9" s="2">
        <v>117</v>
      </c>
      <c r="M9" s="2">
        <v>251</v>
      </c>
      <c r="N9" s="2">
        <v>425</v>
      </c>
      <c r="O9" s="2">
        <v>1248</v>
      </c>
      <c r="P9" s="2">
        <v>141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15</v>
      </c>
      <c r="W9" s="2">
        <v>9</v>
      </c>
      <c r="X9" s="2">
        <v>2</v>
      </c>
      <c r="Y9" s="2">
        <v>3</v>
      </c>
      <c r="Z9" s="2">
        <v>11</v>
      </c>
      <c r="AA9" s="2">
        <v>19</v>
      </c>
      <c r="AB9" s="2">
        <v>5</v>
      </c>
      <c r="AC9" s="2">
        <v>0</v>
      </c>
      <c r="AD9" s="2">
        <v>0</v>
      </c>
      <c r="AE9" s="2">
        <v>0</v>
      </c>
      <c r="AF9" s="2">
        <v>0</v>
      </c>
      <c r="AG9" s="2">
        <v>15</v>
      </c>
      <c r="AH9" s="2">
        <v>10</v>
      </c>
      <c r="AI9" s="2">
        <v>12</v>
      </c>
      <c r="AJ9" s="2">
        <v>12</v>
      </c>
      <c r="AK9" s="2">
        <v>0</v>
      </c>
      <c r="AL9" s="2">
        <v>0</v>
      </c>
      <c r="AM9" s="2">
        <v>15</v>
      </c>
      <c r="AN9" s="2">
        <v>3</v>
      </c>
      <c r="AO9" s="2">
        <v>2</v>
      </c>
      <c r="AP9" s="2">
        <v>1</v>
      </c>
      <c r="AQ9" s="2">
        <v>0</v>
      </c>
      <c r="AR9" s="2">
        <v>4</v>
      </c>
      <c r="AS9" s="2">
        <v>4</v>
      </c>
      <c r="AT9" s="2">
        <v>1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2</v>
      </c>
      <c r="BA9" s="2">
        <v>1</v>
      </c>
      <c r="BB9" s="2">
        <v>1</v>
      </c>
      <c r="BC9" s="2">
        <v>0</v>
      </c>
      <c r="BD9" s="2">
        <v>1</v>
      </c>
      <c r="BE9" s="2">
        <v>4</v>
      </c>
      <c r="BF9" s="2">
        <v>1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3</v>
      </c>
      <c r="BM9" s="2">
        <v>3</v>
      </c>
      <c r="BN9" s="2">
        <v>0</v>
      </c>
      <c r="BO9" s="2">
        <v>0</v>
      </c>
      <c r="BP9" s="2">
        <v>1</v>
      </c>
      <c r="BQ9" s="2">
        <v>4</v>
      </c>
      <c r="BR9" s="2">
        <v>1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3</v>
      </c>
      <c r="BY9" s="2">
        <v>2</v>
      </c>
      <c r="BZ9" s="2">
        <v>0</v>
      </c>
      <c r="CA9" s="2">
        <v>2</v>
      </c>
      <c r="CB9" s="2">
        <v>1</v>
      </c>
      <c r="CC9" s="2">
        <v>3</v>
      </c>
      <c r="CD9" s="2">
        <v>1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4</v>
      </c>
      <c r="DI9" s="2">
        <v>1</v>
      </c>
      <c r="DJ9" s="2">
        <v>0</v>
      </c>
      <c r="DK9" s="2">
        <v>1</v>
      </c>
      <c r="DL9" s="2">
        <v>4</v>
      </c>
      <c r="DM9" s="2">
        <v>4</v>
      </c>
      <c r="DN9" s="2">
        <v>1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</row>
    <row r="10" spans="1:124">
      <c r="A10" s="2" t="s">
        <v>7</v>
      </c>
      <c r="B10" s="2" t="s">
        <v>168</v>
      </c>
      <c r="C10" s="2">
        <v>3475</v>
      </c>
      <c r="D10" s="2">
        <v>90</v>
      </c>
      <c r="E10" s="2">
        <v>57.92</v>
      </c>
      <c r="F10" s="2">
        <v>38.61</v>
      </c>
      <c r="G10" s="2" t="s">
        <v>160</v>
      </c>
      <c r="H10">
        <f>IF(AND(OR(لوحة_القيادة!$C$4="الكل", A10=لوحة_القيادة!$C$4), IF(لوحة_القيادة!$C$5="الكل", TRUE, INDEX($V10:$AG10, 1, VALUE(لوحة_القيادة!$C$5))&gt;0)), 1, 0)</f>
        <v>0</v>
      </c>
      <c r="I10">
        <f>IF(H10=1, SUM($H$2:H10), "")</f>
        <v>0</v>
      </c>
      <c r="J10" s="2">
        <v>873</v>
      </c>
      <c r="K10" s="2">
        <v>570</v>
      </c>
      <c r="L10" s="2">
        <v>393</v>
      </c>
      <c r="M10" s="2">
        <v>478</v>
      </c>
      <c r="N10" s="2">
        <v>503</v>
      </c>
      <c r="O10" s="2">
        <v>511</v>
      </c>
      <c r="P10" s="2">
        <v>147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17</v>
      </c>
      <c r="W10" s="2">
        <v>13</v>
      </c>
      <c r="X10" s="2">
        <v>6</v>
      </c>
      <c r="Y10" s="2">
        <v>16</v>
      </c>
      <c r="Z10" s="2">
        <v>15</v>
      </c>
      <c r="AA10" s="2">
        <v>18</v>
      </c>
      <c r="AB10" s="2">
        <v>5</v>
      </c>
      <c r="AC10" s="2">
        <v>0</v>
      </c>
      <c r="AD10" s="2">
        <v>0</v>
      </c>
      <c r="AE10" s="2">
        <v>0</v>
      </c>
      <c r="AF10" s="2">
        <v>0</v>
      </c>
      <c r="AG10" s="2">
        <v>21</v>
      </c>
      <c r="AH10" s="2">
        <v>19</v>
      </c>
      <c r="AI10" s="2">
        <v>19</v>
      </c>
      <c r="AJ10" s="2">
        <v>16</v>
      </c>
      <c r="AK10" s="2">
        <v>0</v>
      </c>
      <c r="AL10" s="2">
        <v>0</v>
      </c>
      <c r="AM10" s="2">
        <v>15</v>
      </c>
      <c r="AN10" s="2">
        <v>4</v>
      </c>
      <c r="AO10" s="2">
        <v>3</v>
      </c>
      <c r="AP10" s="2">
        <v>1</v>
      </c>
      <c r="AQ10" s="2">
        <v>3</v>
      </c>
      <c r="AR10" s="2">
        <v>5</v>
      </c>
      <c r="AS10" s="2">
        <v>4</v>
      </c>
      <c r="AT10" s="2">
        <v>1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4</v>
      </c>
      <c r="BA10" s="2">
        <v>2</v>
      </c>
      <c r="BB10" s="2">
        <v>2</v>
      </c>
      <c r="BC10" s="2">
        <v>4</v>
      </c>
      <c r="BD10" s="2">
        <v>2</v>
      </c>
      <c r="BE10" s="2">
        <v>4</v>
      </c>
      <c r="BF10" s="2">
        <v>1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3</v>
      </c>
      <c r="BM10" s="2">
        <v>4</v>
      </c>
      <c r="BN10" s="2">
        <v>2</v>
      </c>
      <c r="BO10" s="2">
        <v>4</v>
      </c>
      <c r="BP10" s="2">
        <v>2</v>
      </c>
      <c r="BQ10" s="2">
        <v>4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3</v>
      </c>
      <c r="BY10" s="2">
        <v>2</v>
      </c>
      <c r="BZ10" s="2">
        <v>1</v>
      </c>
      <c r="CA10" s="2">
        <v>2</v>
      </c>
      <c r="CB10" s="2">
        <v>3</v>
      </c>
      <c r="CC10" s="2">
        <v>3</v>
      </c>
      <c r="CD10" s="2">
        <v>2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3</v>
      </c>
      <c r="DI10" s="2">
        <v>2</v>
      </c>
      <c r="DJ10" s="2">
        <v>0</v>
      </c>
      <c r="DK10" s="2">
        <v>3</v>
      </c>
      <c r="DL10" s="2">
        <v>3</v>
      </c>
      <c r="DM10" s="2">
        <v>3</v>
      </c>
      <c r="DN10" s="2">
        <v>1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</row>
    <row r="11" spans="1:124">
      <c r="A11" s="2" t="s">
        <v>7</v>
      </c>
      <c r="B11" s="2" t="s">
        <v>169</v>
      </c>
      <c r="C11" s="2">
        <v>3394</v>
      </c>
      <c r="D11" s="2">
        <v>98</v>
      </c>
      <c r="E11" s="2">
        <v>56.57</v>
      </c>
      <c r="F11" s="2">
        <v>34.63</v>
      </c>
      <c r="G11" s="2" t="s">
        <v>170</v>
      </c>
      <c r="H11">
        <f>IF(AND(OR(لوحة_القيادة!$C$4="الكل", A11=لوحة_القيادة!$C$4), IF(لوحة_القيادة!$C$5="الكل", TRUE, INDEX($V11:$AG11, 1, VALUE(لوحة_القيادة!$C$5))&gt;0)), 1, 0)</f>
        <v>0</v>
      </c>
      <c r="I11">
        <f>IF(H11=1, SUM($H$2:H11), "")</f>
        <v>0</v>
      </c>
      <c r="J11" s="2">
        <v>508</v>
      </c>
      <c r="K11" s="2">
        <v>632</v>
      </c>
      <c r="L11" s="2">
        <v>329</v>
      </c>
      <c r="M11" s="2">
        <v>682</v>
      </c>
      <c r="N11" s="2">
        <v>559</v>
      </c>
      <c r="O11" s="2">
        <v>684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17</v>
      </c>
      <c r="W11" s="2">
        <v>19</v>
      </c>
      <c r="X11" s="2">
        <v>12</v>
      </c>
      <c r="Y11" s="2">
        <v>15</v>
      </c>
      <c r="Z11" s="2">
        <v>16</v>
      </c>
      <c r="AA11" s="2">
        <v>19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21</v>
      </c>
      <c r="AH11" s="2">
        <v>24</v>
      </c>
      <c r="AI11" s="2">
        <v>14</v>
      </c>
      <c r="AJ11" s="2">
        <v>18</v>
      </c>
      <c r="AK11" s="2">
        <v>0</v>
      </c>
      <c r="AL11" s="2">
        <v>0</v>
      </c>
      <c r="AM11" s="2">
        <v>21</v>
      </c>
      <c r="AN11" s="2">
        <v>4</v>
      </c>
      <c r="AO11" s="2">
        <v>3</v>
      </c>
      <c r="AP11" s="2">
        <v>2</v>
      </c>
      <c r="AQ11" s="2">
        <v>3</v>
      </c>
      <c r="AR11" s="2">
        <v>5</v>
      </c>
      <c r="AS11" s="2">
        <v>4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3</v>
      </c>
      <c r="BA11" s="2">
        <v>4</v>
      </c>
      <c r="BB11" s="2">
        <v>4</v>
      </c>
      <c r="BC11" s="2">
        <v>4</v>
      </c>
      <c r="BD11" s="2">
        <v>4</v>
      </c>
      <c r="BE11" s="2">
        <v>5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3</v>
      </c>
      <c r="BM11" s="2">
        <v>4</v>
      </c>
      <c r="BN11" s="2">
        <v>2</v>
      </c>
      <c r="BO11" s="2">
        <v>2</v>
      </c>
      <c r="BP11" s="2">
        <v>1</v>
      </c>
      <c r="BQ11" s="2">
        <v>2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3</v>
      </c>
      <c r="BY11" s="2">
        <v>4</v>
      </c>
      <c r="BZ11" s="2">
        <v>2</v>
      </c>
      <c r="CA11" s="2">
        <v>3</v>
      </c>
      <c r="CB11" s="2">
        <v>2</v>
      </c>
      <c r="CC11" s="2">
        <v>4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4</v>
      </c>
      <c r="DI11" s="2">
        <v>4</v>
      </c>
      <c r="DJ11" s="2">
        <v>2</v>
      </c>
      <c r="DK11" s="2">
        <v>3</v>
      </c>
      <c r="DL11" s="2">
        <v>4</v>
      </c>
      <c r="DM11" s="2">
        <v>4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</row>
    <row r="12" spans="1:124">
      <c r="A12" s="2" t="s">
        <v>16</v>
      </c>
      <c r="B12" s="2" t="s">
        <v>171</v>
      </c>
      <c r="C12" s="2">
        <v>3356</v>
      </c>
      <c r="D12" s="2">
        <v>69</v>
      </c>
      <c r="E12" s="2">
        <v>55.93</v>
      </c>
      <c r="F12" s="2">
        <v>48.64</v>
      </c>
      <c r="G12" s="2" t="s">
        <v>160</v>
      </c>
      <c r="H12">
        <f>IF(AND(OR(لوحة_القيادة!$C$4="الكل", A12=لوحة_القيادة!$C$4), IF(لوحة_القيادة!$C$5="الكل", TRUE, INDEX($V12:$AG12, 1, VALUE(لوحة_القيادة!$C$5))&gt;0)), 1, 0)</f>
        <v>0</v>
      </c>
      <c r="I12">
        <f>IF(H12=1, SUM($H$2:H12), "")</f>
        <v>0</v>
      </c>
      <c r="J12" s="2">
        <v>222</v>
      </c>
      <c r="K12" s="2">
        <v>855</v>
      </c>
      <c r="L12" s="2">
        <v>914</v>
      </c>
      <c r="M12" s="2">
        <v>828</v>
      </c>
      <c r="N12" s="2">
        <v>98</v>
      </c>
      <c r="O12" s="2">
        <v>160</v>
      </c>
      <c r="P12" s="2">
        <v>279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12</v>
      </c>
      <c r="W12" s="2">
        <v>18</v>
      </c>
      <c r="X12" s="2">
        <v>12</v>
      </c>
      <c r="Y12" s="2">
        <v>17</v>
      </c>
      <c r="Z12" s="2">
        <v>3</v>
      </c>
      <c r="AA12" s="2">
        <v>4</v>
      </c>
      <c r="AB12" s="2">
        <v>3</v>
      </c>
      <c r="AC12" s="2">
        <v>0</v>
      </c>
      <c r="AD12" s="2">
        <v>0</v>
      </c>
      <c r="AE12" s="2">
        <v>0</v>
      </c>
      <c r="AF12" s="2">
        <v>0</v>
      </c>
      <c r="AG12" s="2">
        <v>12</v>
      </c>
      <c r="AH12" s="2">
        <v>15</v>
      </c>
      <c r="AI12" s="2">
        <v>14</v>
      </c>
      <c r="AJ12" s="2">
        <v>16</v>
      </c>
      <c r="AK12" s="2">
        <v>0</v>
      </c>
      <c r="AL12" s="2">
        <v>0</v>
      </c>
      <c r="AM12" s="2">
        <v>12</v>
      </c>
      <c r="AN12" s="2">
        <v>2</v>
      </c>
      <c r="AO12" s="2">
        <v>3</v>
      </c>
      <c r="AP12" s="2">
        <v>1</v>
      </c>
      <c r="AQ12" s="2">
        <v>3</v>
      </c>
      <c r="AR12" s="2">
        <v>1</v>
      </c>
      <c r="AS12" s="2">
        <v>1</v>
      </c>
      <c r="AT12" s="2">
        <v>1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3</v>
      </c>
      <c r="BA12" s="2">
        <v>4</v>
      </c>
      <c r="BB12" s="2">
        <v>3</v>
      </c>
      <c r="BC12" s="2">
        <v>3</v>
      </c>
      <c r="BD12" s="2">
        <v>1</v>
      </c>
      <c r="BE12" s="2">
        <v>1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2</v>
      </c>
      <c r="BM12" s="2">
        <v>4</v>
      </c>
      <c r="BN12" s="2">
        <v>4</v>
      </c>
      <c r="BO12" s="2">
        <v>4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3</v>
      </c>
      <c r="BY12" s="2">
        <v>4</v>
      </c>
      <c r="BZ12" s="2">
        <v>3</v>
      </c>
      <c r="CA12" s="2">
        <v>4</v>
      </c>
      <c r="CB12" s="2">
        <v>0</v>
      </c>
      <c r="CC12" s="2">
        <v>1</v>
      </c>
      <c r="CD12" s="2">
        <v>1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2</v>
      </c>
      <c r="DI12" s="2">
        <v>3</v>
      </c>
      <c r="DJ12" s="2">
        <v>1</v>
      </c>
      <c r="DK12" s="2">
        <v>3</v>
      </c>
      <c r="DL12" s="2">
        <v>1</v>
      </c>
      <c r="DM12" s="2">
        <v>1</v>
      </c>
      <c r="DN12" s="2">
        <v>1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</row>
    <row r="13" spans="1:124">
      <c r="A13" s="2" t="s">
        <v>6</v>
      </c>
      <c r="B13" s="2" t="s">
        <v>172</v>
      </c>
      <c r="C13" s="2">
        <v>3355</v>
      </c>
      <c r="D13" s="2">
        <v>91</v>
      </c>
      <c r="E13" s="2">
        <v>55.92</v>
      </c>
      <c r="F13" s="2">
        <v>36.87</v>
      </c>
      <c r="G13" s="2" t="s">
        <v>160</v>
      </c>
      <c r="H13">
        <f>IF(AND(OR(لوحة_القيادة!$C$4="الكل", A13=لوحة_القيادة!$C$4), IF(لوحة_القيادة!$C$5="الكل", TRUE, INDEX($V13:$AG13, 1, VALUE(لوحة_القيادة!$C$5))&gt;0)), 1, 0)</f>
        <v>0</v>
      </c>
      <c r="I13">
        <f>IF(H13=1, SUM($H$2:H13), "")</f>
        <v>0</v>
      </c>
      <c r="J13" s="2">
        <v>843</v>
      </c>
      <c r="K13" s="2">
        <v>597</v>
      </c>
      <c r="L13" s="2">
        <v>378</v>
      </c>
      <c r="M13" s="2">
        <v>500</v>
      </c>
      <c r="N13" s="2">
        <v>651</v>
      </c>
      <c r="O13" s="2">
        <v>359</v>
      </c>
      <c r="P13" s="2">
        <v>27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18</v>
      </c>
      <c r="W13" s="2">
        <v>18</v>
      </c>
      <c r="X13" s="2">
        <v>9</v>
      </c>
      <c r="Y13" s="2">
        <v>14</v>
      </c>
      <c r="Z13" s="2">
        <v>14</v>
      </c>
      <c r="AA13" s="2">
        <v>14</v>
      </c>
      <c r="AB13" s="2">
        <v>4</v>
      </c>
      <c r="AC13" s="2">
        <v>0</v>
      </c>
      <c r="AD13" s="2">
        <v>0</v>
      </c>
      <c r="AE13" s="2">
        <v>0</v>
      </c>
      <c r="AF13" s="2">
        <v>0</v>
      </c>
      <c r="AG13" s="2">
        <v>17</v>
      </c>
      <c r="AH13" s="2">
        <v>22</v>
      </c>
      <c r="AI13" s="2">
        <v>20</v>
      </c>
      <c r="AJ13" s="2">
        <v>21</v>
      </c>
      <c r="AK13" s="2">
        <v>0</v>
      </c>
      <c r="AL13" s="2">
        <v>0</v>
      </c>
      <c r="AM13" s="2">
        <v>11</v>
      </c>
      <c r="AN13" s="2">
        <v>4</v>
      </c>
      <c r="AO13" s="2">
        <v>4</v>
      </c>
      <c r="AP13" s="2">
        <v>0</v>
      </c>
      <c r="AQ13" s="2">
        <v>2</v>
      </c>
      <c r="AR13" s="2">
        <v>3</v>
      </c>
      <c r="AS13" s="2">
        <v>3</v>
      </c>
      <c r="AT13" s="2">
        <v>1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4</v>
      </c>
      <c r="BA13" s="2">
        <v>4</v>
      </c>
      <c r="BB13" s="2">
        <v>3</v>
      </c>
      <c r="BC13" s="2">
        <v>3</v>
      </c>
      <c r="BD13" s="2">
        <v>3</v>
      </c>
      <c r="BE13" s="2">
        <v>4</v>
      </c>
      <c r="BF13" s="2">
        <v>1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4</v>
      </c>
      <c r="BM13" s="2">
        <v>3</v>
      </c>
      <c r="BN13" s="2">
        <v>3</v>
      </c>
      <c r="BO13" s="2">
        <v>4</v>
      </c>
      <c r="BP13" s="2">
        <v>2</v>
      </c>
      <c r="BQ13" s="2">
        <v>3</v>
      </c>
      <c r="BR13" s="2">
        <v>1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3</v>
      </c>
      <c r="BY13" s="2">
        <v>4</v>
      </c>
      <c r="BZ13" s="2">
        <v>3</v>
      </c>
      <c r="CA13" s="2">
        <v>4</v>
      </c>
      <c r="CB13" s="2">
        <v>3</v>
      </c>
      <c r="CC13" s="2">
        <v>3</v>
      </c>
      <c r="CD13" s="2">
        <v>1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3</v>
      </c>
      <c r="DI13" s="2">
        <v>3</v>
      </c>
      <c r="DJ13" s="2">
        <v>0</v>
      </c>
      <c r="DK13" s="2">
        <v>1</v>
      </c>
      <c r="DL13" s="2">
        <v>3</v>
      </c>
      <c r="DM13" s="2">
        <v>1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</row>
    <row r="14" spans="1:124">
      <c r="A14" s="2" t="s">
        <v>3</v>
      </c>
      <c r="B14" s="2" t="s">
        <v>173</v>
      </c>
      <c r="C14" s="2">
        <v>3243</v>
      </c>
      <c r="D14" s="2">
        <v>93</v>
      </c>
      <c r="E14" s="2">
        <v>54.05</v>
      </c>
      <c r="F14" s="2">
        <v>34.87</v>
      </c>
      <c r="G14" s="2" t="s">
        <v>160</v>
      </c>
      <c r="H14">
        <f>IF(AND(OR(لوحة_القيادة!$C$4="الكل", A14=لوحة_القيادة!$C$4), IF(لوحة_القيادة!$C$5="الكل", TRUE, INDEX($V14:$AG14, 1, VALUE(لوحة_القيادة!$C$5))&gt;0)), 1, 0)</f>
        <v>0</v>
      </c>
      <c r="I14">
        <f>IF(H14=1, SUM($H$2:H14), "")</f>
        <v>0</v>
      </c>
      <c r="J14" s="2">
        <v>869</v>
      </c>
      <c r="K14" s="2">
        <v>666</v>
      </c>
      <c r="L14" s="2">
        <v>624</v>
      </c>
      <c r="M14" s="2">
        <v>790</v>
      </c>
      <c r="N14" s="2">
        <v>116</v>
      </c>
      <c r="O14" s="2">
        <v>138</v>
      </c>
      <c r="P14" s="2">
        <v>40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18</v>
      </c>
      <c r="W14" s="2">
        <v>17</v>
      </c>
      <c r="X14" s="2">
        <v>15</v>
      </c>
      <c r="Y14" s="2">
        <v>18</v>
      </c>
      <c r="Z14" s="2">
        <v>11</v>
      </c>
      <c r="AA14" s="2">
        <v>11</v>
      </c>
      <c r="AB14" s="2">
        <v>3</v>
      </c>
      <c r="AC14" s="2">
        <v>0</v>
      </c>
      <c r="AD14" s="2">
        <v>0</v>
      </c>
      <c r="AE14" s="2">
        <v>0</v>
      </c>
      <c r="AF14" s="2">
        <v>0</v>
      </c>
      <c r="AG14" s="2">
        <v>21</v>
      </c>
      <c r="AH14" s="2">
        <v>22</v>
      </c>
      <c r="AI14" s="2">
        <v>18</v>
      </c>
      <c r="AJ14" s="2">
        <v>18</v>
      </c>
      <c r="AK14" s="2">
        <v>0</v>
      </c>
      <c r="AL14" s="2">
        <v>0</v>
      </c>
      <c r="AM14" s="2">
        <v>14</v>
      </c>
      <c r="AN14" s="2">
        <v>4</v>
      </c>
      <c r="AO14" s="2">
        <v>4</v>
      </c>
      <c r="AP14" s="2">
        <v>2</v>
      </c>
      <c r="AQ14" s="2">
        <v>3</v>
      </c>
      <c r="AR14" s="2">
        <v>4</v>
      </c>
      <c r="AS14" s="2">
        <v>3</v>
      </c>
      <c r="AT14" s="2">
        <v>1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4</v>
      </c>
      <c r="BA14" s="2">
        <v>4</v>
      </c>
      <c r="BB14" s="2">
        <v>4</v>
      </c>
      <c r="BC14" s="2">
        <v>4</v>
      </c>
      <c r="BD14" s="2">
        <v>3</v>
      </c>
      <c r="BE14" s="2">
        <v>2</v>
      </c>
      <c r="BF14" s="2">
        <v>1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4</v>
      </c>
      <c r="BM14" s="2">
        <v>3</v>
      </c>
      <c r="BN14" s="2">
        <v>4</v>
      </c>
      <c r="BO14" s="2">
        <v>4</v>
      </c>
      <c r="BP14" s="2">
        <v>1</v>
      </c>
      <c r="BQ14" s="2">
        <v>2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3</v>
      </c>
      <c r="BY14" s="2">
        <v>3</v>
      </c>
      <c r="BZ14" s="2">
        <v>3</v>
      </c>
      <c r="CA14" s="2">
        <v>4</v>
      </c>
      <c r="CB14" s="2">
        <v>1</v>
      </c>
      <c r="CC14" s="2">
        <v>3</v>
      </c>
      <c r="CD14" s="2">
        <v>1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3</v>
      </c>
      <c r="DI14" s="2">
        <v>3</v>
      </c>
      <c r="DJ14" s="2">
        <v>2</v>
      </c>
      <c r="DK14" s="2">
        <v>3</v>
      </c>
      <c r="DL14" s="2">
        <v>2</v>
      </c>
      <c r="DM14" s="2">
        <v>1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</row>
    <row r="15" spans="1:124">
      <c r="A15" s="2" t="s">
        <v>22</v>
      </c>
      <c r="B15" s="2" t="s">
        <v>174</v>
      </c>
      <c r="C15" s="2">
        <v>2950</v>
      </c>
      <c r="D15" s="2">
        <v>70</v>
      </c>
      <c r="E15" s="2">
        <v>49.17</v>
      </c>
      <c r="F15" s="2">
        <v>42.14</v>
      </c>
      <c r="G15" s="2" t="s">
        <v>160</v>
      </c>
      <c r="H15">
        <f>IF(AND(OR(لوحة_القيادة!$C$4="الكل", A15=لوحة_القيادة!$C$4), IF(لوحة_القيادة!$C$5="الكل", TRUE, INDEX($V15:$AG15, 1, VALUE(لوحة_القيادة!$C$5))&gt;0)), 1, 0)</f>
        <v>0</v>
      </c>
      <c r="I15">
        <f>IF(H15=1, SUM($H$2:H15), "")</f>
        <v>0</v>
      </c>
      <c r="J15" s="2">
        <v>401</v>
      </c>
      <c r="K15" s="2">
        <v>338</v>
      </c>
      <c r="L15" s="2">
        <v>617</v>
      </c>
      <c r="M15" s="2">
        <v>625</v>
      </c>
      <c r="N15" s="2">
        <v>339</v>
      </c>
      <c r="O15" s="2">
        <v>474</v>
      </c>
      <c r="P15" s="2">
        <v>156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9</v>
      </c>
      <c r="W15" s="2">
        <v>10</v>
      </c>
      <c r="X15" s="2">
        <v>9</v>
      </c>
      <c r="Y15" s="2">
        <v>13</v>
      </c>
      <c r="Z15" s="2">
        <v>11</v>
      </c>
      <c r="AA15" s="2">
        <v>12</v>
      </c>
      <c r="AB15" s="2">
        <v>6</v>
      </c>
      <c r="AC15" s="2">
        <v>0</v>
      </c>
      <c r="AD15" s="2">
        <v>0</v>
      </c>
      <c r="AE15" s="2">
        <v>0</v>
      </c>
      <c r="AF15" s="2">
        <v>0</v>
      </c>
      <c r="AG15" s="2">
        <v>12</v>
      </c>
      <c r="AH15" s="2">
        <v>19</v>
      </c>
      <c r="AI15" s="2">
        <v>15</v>
      </c>
      <c r="AJ15" s="2">
        <v>15</v>
      </c>
      <c r="AK15" s="2">
        <v>0</v>
      </c>
      <c r="AL15" s="2">
        <v>0</v>
      </c>
      <c r="AM15" s="2">
        <v>9</v>
      </c>
      <c r="AN15" s="2">
        <v>2</v>
      </c>
      <c r="AO15" s="2">
        <v>3</v>
      </c>
      <c r="AP15" s="2">
        <v>1</v>
      </c>
      <c r="AQ15" s="2">
        <v>2</v>
      </c>
      <c r="AR15" s="2">
        <v>2</v>
      </c>
      <c r="AS15" s="2">
        <v>1</v>
      </c>
      <c r="AT15" s="2">
        <v>1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2</v>
      </c>
      <c r="BA15" s="2">
        <v>3</v>
      </c>
      <c r="BB15" s="2">
        <v>3</v>
      </c>
      <c r="BC15" s="2">
        <v>4</v>
      </c>
      <c r="BD15" s="2">
        <v>3</v>
      </c>
      <c r="BE15" s="2">
        <v>3</v>
      </c>
      <c r="BF15" s="2">
        <v>1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3</v>
      </c>
      <c r="BM15" s="2">
        <v>2</v>
      </c>
      <c r="BN15" s="2">
        <v>2</v>
      </c>
      <c r="BO15" s="2">
        <v>3</v>
      </c>
      <c r="BP15" s="2">
        <v>2</v>
      </c>
      <c r="BQ15" s="2">
        <v>2</v>
      </c>
      <c r="BR15" s="2">
        <v>1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1</v>
      </c>
      <c r="BY15" s="2">
        <v>1</v>
      </c>
      <c r="BZ15" s="2">
        <v>2</v>
      </c>
      <c r="CA15" s="2">
        <v>4</v>
      </c>
      <c r="CB15" s="2">
        <v>2</v>
      </c>
      <c r="CC15" s="2">
        <v>3</v>
      </c>
      <c r="CD15" s="2">
        <v>2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1</v>
      </c>
      <c r="DI15" s="2">
        <v>1</v>
      </c>
      <c r="DJ15" s="2">
        <v>1</v>
      </c>
      <c r="DK15" s="2">
        <v>0</v>
      </c>
      <c r="DL15" s="2">
        <v>2</v>
      </c>
      <c r="DM15" s="2">
        <v>3</v>
      </c>
      <c r="DN15" s="2">
        <v>1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</row>
    <row r="16" spans="1:124">
      <c r="A16" s="2" t="s">
        <v>22</v>
      </c>
      <c r="B16" s="2" t="s">
        <v>175</v>
      </c>
      <c r="C16" s="2">
        <v>2934</v>
      </c>
      <c r="D16" s="2">
        <v>45</v>
      </c>
      <c r="E16" s="2">
        <v>48.9</v>
      </c>
      <c r="F16" s="2">
        <v>65.2</v>
      </c>
      <c r="G16" s="2" t="s">
        <v>176</v>
      </c>
      <c r="H16">
        <f>IF(AND(OR(لوحة_القيادة!$C$4="الكل", A16=لوحة_القيادة!$C$4), IF(لوحة_القيادة!$C$5="الكل", TRUE, INDEX($V16:$AG16, 1, VALUE(لوحة_القيادة!$C$5))&gt;0)), 1, 0)</f>
        <v>0</v>
      </c>
      <c r="I16">
        <f>IF(H16=1, SUM($H$2:H16), "")</f>
        <v>0</v>
      </c>
      <c r="J16" s="2">
        <v>1099</v>
      </c>
      <c r="K16" s="2">
        <v>1048</v>
      </c>
      <c r="L16" s="2">
        <v>0</v>
      </c>
      <c r="M16" s="2">
        <v>237</v>
      </c>
      <c r="N16" s="2">
        <v>488</v>
      </c>
      <c r="O16" s="2">
        <v>62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16</v>
      </c>
      <c r="W16" s="2">
        <v>13</v>
      </c>
      <c r="X16" s="2">
        <v>0</v>
      </c>
      <c r="Y16" s="2">
        <v>4</v>
      </c>
      <c r="Z16" s="2">
        <v>10</v>
      </c>
      <c r="AA16" s="2">
        <v>2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7</v>
      </c>
      <c r="AH16" s="2">
        <v>8</v>
      </c>
      <c r="AI16" s="2">
        <v>12</v>
      </c>
      <c r="AJ16" s="2">
        <v>9</v>
      </c>
      <c r="AK16" s="2">
        <v>0</v>
      </c>
      <c r="AL16" s="2">
        <v>0</v>
      </c>
      <c r="AM16" s="2">
        <v>9</v>
      </c>
      <c r="AN16" s="2">
        <v>2</v>
      </c>
      <c r="AO16" s="2">
        <v>3</v>
      </c>
      <c r="AP16" s="2">
        <v>0</v>
      </c>
      <c r="AQ16" s="2">
        <v>0</v>
      </c>
      <c r="AR16" s="2">
        <v>2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4</v>
      </c>
      <c r="BA16" s="2">
        <v>3</v>
      </c>
      <c r="BB16" s="2">
        <v>0</v>
      </c>
      <c r="BC16" s="2">
        <v>0</v>
      </c>
      <c r="BD16" s="2">
        <v>1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4</v>
      </c>
      <c r="BM16" s="2">
        <v>3</v>
      </c>
      <c r="BN16" s="2">
        <v>0</v>
      </c>
      <c r="BO16" s="2">
        <v>1</v>
      </c>
      <c r="BP16" s="2">
        <v>3</v>
      </c>
      <c r="BQ16" s="2">
        <v>1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3</v>
      </c>
      <c r="BY16" s="2">
        <v>3</v>
      </c>
      <c r="BZ16" s="2">
        <v>0</v>
      </c>
      <c r="CA16" s="2">
        <v>1</v>
      </c>
      <c r="CB16" s="2">
        <v>2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3</v>
      </c>
      <c r="DI16" s="2">
        <v>1</v>
      </c>
      <c r="DJ16" s="2">
        <v>0</v>
      </c>
      <c r="DK16" s="2">
        <v>2</v>
      </c>
      <c r="DL16" s="2">
        <v>2</v>
      </c>
      <c r="DM16" s="2">
        <v>1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</row>
    <row r="17" spans="1:123">
      <c r="A17" s="2" t="s">
        <v>11</v>
      </c>
      <c r="B17" s="2" t="s">
        <v>177</v>
      </c>
      <c r="C17" s="2">
        <v>2853</v>
      </c>
      <c r="D17" s="2">
        <v>51</v>
      </c>
      <c r="E17" s="2">
        <v>47.55</v>
      </c>
      <c r="F17" s="2">
        <v>55.94</v>
      </c>
      <c r="G17" s="2" t="s">
        <v>160</v>
      </c>
      <c r="H17">
        <f>IF(AND(OR(لوحة_القيادة!$C$4="الكل", A17=لوحة_القيادة!$C$4), IF(لوحة_القيادة!$C$5="الكل", TRUE, INDEX($V17:$AG17, 1, VALUE(لوحة_القيادة!$C$5))&gt;0)), 1, 0)</f>
        <v>0</v>
      </c>
      <c r="I17">
        <f>IF(H17=1, SUM($H$2:H17), "")</f>
        <v>0</v>
      </c>
      <c r="J17" s="2">
        <v>317</v>
      </c>
      <c r="K17" s="2">
        <v>10</v>
      </c>
      <c r="L17" s="2">
        <v>768</v>
      </c>
      <c r="M17" s="2">
        <v>809</v>
      </c>
      <c r="N17" s="2">
        <v>455</v>
      </c>
      <c r="O17" s="2">
        <v>398</v>
      </c>
      <c r="P17" s="2">
        <v>96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5</v>
      </c>
      <c r="W17" s="2">
        <v>1</v>
      </c>
      <c r="X17" s="2">
        <v>5</v>
      </c>
      <c r="Y17" s="2">
        <v>16</v>
      </c>
      <c r="Z17" s="2">
        <v>12</v>
      </c>
      <c r="AA17" s="2">
        <v>10</v>
      </c>
      <c r="AB17" s="2">
        <v>2</v>
      </c>
      <c r="AC17" s="2">
        <v>0</v>
      </c>
      <c r="AD17" s="2">
        <v>0</v>
      </c>
      <c r="AE17" s="2">
        <v>0</v>
      </c>
      <c r="AF17" s="2">
        <v>0</v>
      </c>
      <c r="AG17" s="2">
        <v>7</v>
      </c>
      <c r="AH17" s="2">
        <v>9</v>
      </c>
      <c r="AI17" s="2">
        <v>12</v>
      </c>
      <c r="AJ17" s="2">
        <v>8</v>
      </c>
      <c r="AK17" s="2">
        <v>2</v>
      </c>
      <c r="AL17" s="2">
        <v>0</v>
      </c>
      <c r="AM17" s="2">
        <v>13</v>
      </c>
      <c r="AN17" s="2">
        <v>1</v>
      </c>
      <c r="AO17" s="2">
        <v>0</v>
      </c>
      <c r="AP17" s="2">
        <v>0</v>
      </c>
      <c r="AQ17" s="2">
        <v>2</v>
      </c>
      <c r="AR17" s="2">
        <v>3</v>
      </c>
      <c r="AS17" s="2">
        <v>1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1</v>
      </c>
      <c r="BA17" s="2">
        <v>0</v>
      </c>
      <c r="BB17" s="2">
        <v>1</v>
      </c>
      <c r="BC17" s="2">
        <v>2</v>
      </c>
      <c r="BD17" s="2">
        <v>3</v>
      </c>
      <c r="BE17" s="2">
        <v>2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1</v>
      </c>
      <c r="BM17" s="2">
        <v>0</v>
      </c>
      <c r="BN17" s="2">
        <v>2</v>
      </c>
      <c r="BO17" s="2">
        <v>4</v>
      </c>
      <c r="BP17" s="2">
        <v>2</v>
      </c>
      <c r="BQ17" s="2">
        <v>2</v>
      </c>
      <c r="BR17" s="2">
        <v>1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1</v>
      </c>
      <c r="BZ17" s="2">
        <v>1</v>
      </c>
      <c r="CA17" s="2">
        <v>3</v>
      </c>
      <c r="CB17" s="2">
        <v>1</v>
      </c>
      <c r="CC17" s="2">
        <v>2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2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2</v>
      </c>
      <c r="DI17" s="2">
        <v>0</v>
      </c>
      <c r="DJ17" s="2">
        <v>1</v>
      </c>
      <c r="DK17" s="2">
        <v>3</v>
      </c>
      <c r="DL17" s="2">
        <v>3</v>
      </c>
      <c r="DM17" s="2">
        <v>3</v>
      </c>
      <c r="DN17" s="2">
        <v>1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</row>
    <row r="18" spans="1:123">
      <c r="A18" s="2" t="s">
        <v>3</v>
      </c>
      <c r="B18" s="2" t="s">
        <v>178</v>
      </c>
      <c r="C18" s="2">
        <v>2811</v>
      </c>
      <c r="D18" s="2">
        <v>106</v>
      </c>
      <c r="E18" s="2">
        <v>46.85</v>
      </c>
      <c r="F18" s="2">
        <v>26.52</v>
      </c>
      <c r="G18" s="2" t="s">
        <v>160</v>
      </c>
      <c r="H18">
        <f>IF(AND(OR(لوحة_القيادة!$C$4="الكل", A18=لوحة_القيادة!$C$4), IF(لوحة_القيادة!$C$5="الكل", TRUE, INDEX($V18:$AG18, 1, VALUE(لوحة_القيادة!$C$5))&gt;0)), 1, 0)</f>
        <v>0</v>
      </c>
      <c r="I18">
        <f>IF(H18=1, SUM($H$2:H18), "")</f>
        <v>0</v>
      </c>
      <c r="J18" s="2">
        <v>317</v>
      </c>
      <c r="K18" s="2">
        <v>539</v>
      </c>
      <c r="L18" s="2">
        <v>299</v>
      </c>
      <c r="M18" s="2">
        <v>557</v>
      </c>
      <c r="N18" s="2">
        <v>389</v>
      </c>
      <c r="O18" s="2">
        <v>587</v>
      </c>
      <c r="P18" s="2">
        <v>123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12</v>
      </c>
      <c r="W18" s="2">
        <v>20</v>
      </c>
      <c r="X18" s="2">
        <v>13</v>
      </c>
      <c r="Y18" s="2">
        <v>17</v>
      </c>
      <c r="Z18" s="2">
        <v>19</v>
      </c>
      <c r="AA18" s="2">
        <v>19</v>
      </c>
      <c r="AB18" s="2">
        <v>6</v>
      </c>
      <c r="AC18" s="2">
        <v>0</v>
      </c>
      <c r="AD18" s="2">
        <v>0</v>
      </c>
      <c r="AE18" s="2">
        <v>0</v>
      </c>
      <c r="AF18" s="2">
        <v>0</v>
      </c>
      <c r="AG18" s="2">
        <v>21</v>
      </c>
      <c r="AH18" s="2">
        <v>23</v>
      </c>
      <c r="AI18" s="2">
        <v>21</v>
      </c>
      <c r="AJ18" s="2">
        <v>20</v>
      </c>
      <c r="AK18" s="2">
        <v>0</v>
      </c>
      <c r="AL18" s="2">
        <v>0</v>
      </c>
      <c r="AM18" s="2">
        <v>21</v>
      </c>
      <c r="AN18" s="2">
        <v>3</v>
      </c>
      <c r="AO18" s="2">
        <v>4</v>
      </c>
      <c r="AP18" s="2">
        <v>2</v>
      </c>
      <c r="AQ18" s="2">
        <v>3</v>
      </c>
      <c r="AR18" s="2">
        <v>5</v>
      </c>
      <c r="AS18" s="2">
        <v>3</v>
      </c>
      <c r="AT18" s="2">
        <v>1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2</v>
      </c>
      <c r="BA18" s="2">
        <v>4</v>
      </c>
      <c r="BB18" s="2">
        <v>3</v>
      </c>
      <c r="BC18" s="2">
        <v>4</v>
      </c>
      <c r="BD18" s="2">
        <v>4</v>
      </c>
      <c r="BE18" s="2">
        <v>5</v>
      </c>
      <c r="BF18" s="2">
        <v>1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2</v>
      </c>
      <c r="BM18" s="2">
        <v>4</v>
      </c>
      <c r="BN18" s="2">
        <v>3</v>
      </c>
      <c r="BO18" s="2">
        <v>4</v>
      </c>
      <c r="BP18" s="2">
        <v>3</v>
      </c>
      <c r="BQ18" s="2">
        <v>4</v>
      </c>
      <c r="BR18" s="2">
        <v>1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1</v>
      </c>
      <c r="BY18" s="2">
        <v>4</v>
      </c>
      <c r="BZ18" s="2">
        <v>3</v>
      </c>
      <c r="CA18" s="2">
        <v>3</v>
      </c>
      <c r="CB18" s="2">
        <v>3</v>
      </c>
      <c r="CC18" s="2">
        <v>4</v>
      </c>
      <c r="CD18" s="2">
        <v>2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4</v>
      </c>
      <c r="DI18" s="2">
        <v>4</v>
      </c>
      <c r="DJ18" s="2">
        <v>2</v>
      </c>
      <c r="DK18" s="2">
        <v>3</v>
      </c>
      <c r="DL18" s="2">
        <v>4</v>
      </c>
      <c r="DM18" s="2">
        <v>3</v>
      </c>
      <c r="DN18" s="2">
        <v>1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</row>
    <row r="19" spans="1:123">
      <c r="A19" s="2" t="s">
        <v>13</v>
      </c>
      <c r="B19" s="2" t="s">
        <v>179</v>
      </c>
      <c r="C19" s="2">
        <v>2737</v>
      </c>
      <c r="D19" s="2">
        <v>54</v>
      </c>
      <c r="E19" s="2">
        <v>45.62</v>
      </c>
      <c r="F19" s="2">
        <v>50.69</v>
      </c>
      <c r="G19" s="2" t="s">
        <v>160</v>
      </c>
      <c r="H19">
        <f>IF(AND(OR(لوحة_القيادة!$C$4="الكل", A19=لوحة_القيادة!$C$4), IF(لوحة_القيادة!$C$5="الكل", TRUE, INDEX($V19:$AG19, 1, VALUE(لوحة_القيادة!$C$5))&gt;0)), 1, 0)</f>
        <v>0</v>
      </c>
      <c r="I19">
        <f>IF(H19=1, SUM($H$2:H19), "")</f>
        <v>0</v>
      </c>
      <c r="J19" s="2">
        <v>817</v>
      </c>
      <c r="K19" s="2">
        <v>700</v>
      </c>
      <c r="L19" s="2">
        <v>58</v>
      </c>
      <c r="M19" s="2">
        <v>466</v>
      </c>
      <c r="N19" s="2">
        <v>267</v>
      </c>
      <c r="O19" s="2">
        <v>369</v>
      </c>
      <c r="P19" s="2">
        <v>60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14</v>
      </c>
      <c r="W19" s="2">
        <v>13</v>
      </c>
      <c r="X19" s="2">
        <v>1</v>
      </c>
      <c r="Y19" s="2">
        <v>9</v>
      </c>
      <c r="Z19" s="2">
        <v>9</v>
      </c>
      <c r="AA19" s="2">
        <v>7</v>
      </c>
      <c r="AB19" s="2">
        <v>1</v>
      </c>
      <c r="AC19" s="2">
        <v>0</v>
      </c>
      <c r="AD19" s="2">
        <v>0</v>
      </c>
      <c r="AE19" s="2">
        <v>0</v>
      </c>
      <c r="AF19" s="2">
        <v>0</v>
      </c>
      <c r="AG19" s="2">
        <v>16</v>
      </c>
      <c r="AH19" s="2">
        <v>10</v>
      </c>
      <c r="AI19" s="2">
        <v>10</v>
      </c>
      <c r="AJ19" s="2">
        <v>4</v>
      </c>
      <c r="AK19" s="2">
        <v>0</v>
      </c>
      <c r="AL19" s="2">
        <v>0</v>
      </c>
      <c r="AM19" s="2">
        <v>14</v>
      </c>
      <c r="AN19" s="2">
        <v>4</v>
      </c>
      <c r="AO19" s="2">
        <v>4</v>
      </c>
      <c r="AP19" s="2">
        <v>0</v>
      </c>
      <c r="AQ19" s="2">
        <v>2</v>
      </c>
      <c r="AR19" s="2">
        <v>4</v>
      </c>
      <c r="AS19" s="2">
        <v>2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4</v>
      </c>
      <c r="BA19" s="2">
        <v>3</v>
      </c>
      <c r="BB19" s="2">
        <v>0</v>
      </c>
      <c r="BC19" s="2">
        <v>1</v>
      </c>
      <c r="BD19" s="2">
        <v>0</v>
      </c>
      <c r="BE19" s="2">
        <v>2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2</v>
      </c>
      <c r="BM19" s="2">
        <v>3</v>
      </c>
      <c r="BN19" s="2">
        <v>1</v>
      </c>
      <c r="BO19" s="2">
        <v>2</v>
      </c>
      <c r="BP19" s="2">
        <v>2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1</v>
      </c>
      <c r="BY19" s="2">
        <v>0</v>
      </c>
      <c r="BZ19" s="2">
        <v>0</v>
      </c>
      <c r="CA19" s="2">
        <v>2</v>
      </c>
      <c r="CB19" s="2">
        <v>0</v>
      </c>
      <c r="CC19" s="2">
        <v>1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3</v>
      </c>
      <c r="DI19" s="2">
        <v>3</v>
      </c>
      <c r="DJ19" s="2">
        <v>0</v>
      </c>
      <c r="DK19" s="2">
        <v>2</v>
      </c>
      <c r="DL19" s="2">
        <v>3</v>
      </c>
      <c r="DM19" s="2">
        <v>2</v>
      </c>
      <c r="DN19" s="2">
        <v>1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</row>
    <row r="20" spans="1:123">
      <c r="A20" s="2" t="s">
        <v>20</v>
      </c>
      <c r="B20" s="2" t="s">
        <v>180</v>
      </c>
      <c r="C20" s="2">
        <v>2726</v>
      </c>
      <c r="D20" s="2">
        <v>94</v>
      </c>
      <c r="E20" s="2">
        <v>45.43</v>
      </c>
      <c r="F20" s="2">
        <v>29</v>
      </c>
      <c r="G20" s="2" t="s">
        <v>160</v>
      </c>
      <c r="H20">
        <f>IF(AND(OR(لوحة_القيادة!$C$4="الكل", A20=لوحة_القيادة!$C$4), IF(لوحة_القيادة!$C$5="الكل", TRUE, INDEX($V20:$AG20, 1, VALUE(لوحة_القيادة!$C$5))&gt;0)), 1, 0)</f>
        <v>0</v>
      </c>
      <c r="I20">
        <f>IF(H20=1, SUM($H$2:H20), "")</f>
        <v>0</v>
      </c>
      <c r="J20" s="2">
        <v>621</v>
      </c>
      <c r="K20" s="2">
        <v>557</v>
      </c>
      <c r="L20" s="2">
        <v>603</v>
      </c>
      <c r="M20" s="2">
        <v>287</v>
      </c>
      <c r="N20" s="2">
        <v>292</v>
      </c>
      <c r="O20" s="2">
        <v>298</v>
      </c>
      <c r="P20" s="2">
        <v>68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19</v>
      </c>
      <c r="W20" s="2">
        <v>16</v>
      </c>
      <c r="X20" s="2">
        <v>13</v>
      </c>
      <c r="Y20" s="2">
        <v>11</v>
      </c>
      <c r="Z20" s="2">
        <v>11</v>
      </c>
      <c r="AA20" s="2">
        <v>18</v>
      </c>
      <c r="AB20" s="2">
        <v>6</v>
      </c>
      <c r="AC20" s="2">
        <v>0</v>
      </c>
      <c r="AD20" s="2">
        <v>0</v>
      </c>
      <c r="AE20" s="2">
        <v>0</v>
      </c>
      <c r="AF20" s="2">
        <v>0</v>
      </c>
      <c r="AG20" s="2">
        <v>20</v>
      </c>
      <c r="AH20" s="2">
        <v>20</v>
      </c>
      <c r="AI20" s="2">
        <v>18</v>
      </c>
      <c r="AJ20" s="2">
        <v>18</v>
      </c>
      <c r="AK20" s="2">
        <v>0</v>
      </c>
      <c r="AL20" s="2">
        <v>0</v>
      </c>
      <c r="AM20" s="2">
        <v>18</v>
      </c>
      <c r="AN20" s="2">
        <v>4</v>
      </c>
      <c r="AO20" s="2">
        <v>4</v>
      </c>
      <c r="AP20" s="2">
        <v>2</v>
      </c>
      <c r="AQ20" s="2">
        <v>3</v>
      </c>
      <c r="AR20" s="2">
        <v>3</v>
      </c>
      <c r="AS20" s="2">
        <v>3</v>
      </c>
      <c r="AT20" s="2">
        <v>1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4</v>
      </c>
      <c r="BA20" s="2">
        <v>4</v>
      </c>
      <c r="BB20" s="2">
        <v>4</v>
      </c>
      <c r="BC20" s="2">
        <v>1</v>
      </c>
      <c r="BD20" s="2">
        <v>2</v>
      </c>
      <c r="BE20" s="2">
        <v>4</v>
      </c>
      <c r="BF20" s="2">
        <v>1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4</v>
      </c>
      <c r="BM20" s="2">
        <v>3</v>
      </c>
      <c r="BN20" s="2">
        <v>3</v>
      </c>
      <c r="BO20" s="2">
        <v>3</v>
      </c>
      <c r="BP20" s="2">
        <v>1</v>
      </c>
      <c r="BQ20" s="2">
        <v>3</v>
      </c>
      <c r="BR20" s="2">
        <v>1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3</v>
      </c>
      <c r="BY20" s="2">
        <v>4</v>
      </c>
      <c r="BZ20" s="2">
        <v>2</v>
      </c>
      <c r="CA20" s="2">
        <v>2</v>
      </c>
      <c r="CB20" s="2">
        <v>1</v>
      </c>
      <c r="CC20" s="2">
        <v>4</v>
      </c>
      <c r="CD20" s="2">
        <v>2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4</v>
      </c>
      <c r="DI20" s="2">
        <v>1</v>
      </c>
      <c r="DJ20" s="2">
        <v>2</v>
      </c>
      <c r="DK20" s="2">
        <v>2</v>
      </c>
      <c r="DL20" s="2">
        <v>4</v>
      </c>
      <c r="DM20" s="2">
        <v>4</v>
      </c>
      <c r="DN20" s="2">
        <v>1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</row>
    <row r="21" spans="1:123">
      <c r="A21" s="2" t="s">
        <v>3</v>
      </c>
      <c r="B21" s="2" t="s">
        <v>181</v>
      </c>
      <c r="C21" s="2">
        <v>2721</v>
      </c>
      <c r="D21" s="2">
        <v>82</v>
      </c>
      <c r="E21" s="2">
        <v>45.35</v>
      </c>
      <c r="F21" s="2">
        <v>33.18</v>
      </c>
      <c r="G21" s="2" t="s">
        <v>160</v>
      </c>
      <c r="H21">
        <f>IF(AND(OR(لوحة_القيادة!$C$4="الكل", A21=لوحة_القيادة!$C$4), IF(لوحة_القيادة!$C$5="الكل", TRUE, INDEX($V21:$AG21, 1, VALUE(لوحة_القيادة!$C$5))&gt;0)), 1, 0)</f>
        <v>0</v>
      </c>
      <c r="I21">
        <f>IF(H21=1, SUM($H$2:H21), "")</f>
        <v>0</v>
      </c>
      <c r="J21" s="2">
        <v>285</v>
      </c>
      <c r="K21" s="2">
        <v>737</v>
      </c>
      <c r="L21" s="2">
        <v>273</v>
      </c>
      <c r="M21" s="2">
        <v>300</v>
      </c>
      <c r="N21" s="2">
        <v>366</v>
      </c>
      <c r="O21" s="2">
        <v>544</v>
      </c>
      <c r="P21" s="2">
        <v>216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10</v>
      </c>
      <c r="W21" s="2">
        <v>16</v>
      </c>
      <c r="X21" s="2">
        <v>12</v>
      </c>
      <c r="Y21" s="2">
        <v>11</v>
      </c>
      <c r="Z21" s="2">
        <v>11</v>
      </c>
      <c r="AA21" s="2">
        <v>16</v>
      </c>
      <c r="AB21" s="2">
        <v>6</v>
      </c>
      <c r="AC21" s="2">
        <v>0</v>
      </c>
      <c r="AD21" s="2">
        <v>0</v>
      </c>
      <c r="AE21" s="2">
        <v>0</v>
      </c>
      <c r="AF21" s="2">
        <v>0</v>
      </c>
      <c r="AG21" s="2">
        <v>10</v>
      </c>
      <c r="AH21" s="2">
        <v>20</v>
      </c>
      <c r="AI21" s="2">
        <v>22</v>
      </c>
      <c r="AJ21" s="2">
        <v>16</v>
      </c>
      <c r="AK21" s="2">
        <v>0</v>
      </c>
      <c r="AL21" s="2">
        <v>0</v>
      </c>
      <c r="AM21" s="2">
        <v>14</v>
      </c>
      <c r="AN21" s="2">
        <v>1</v>
      </c>
      <c r="AO21" s="2">
        <v>3</v>
      </c>
      <c r="AP21" s="2">
        <v>1</v>
      </c>
      <c r="AQ21" s="2">
        <v>0</v>
      </c>
      <c r="AR21" s="2">
        <v>2</v>
      </c>
      <c r="AS21" s="2">
        <v>2</v>
      </c>
      <c r="AT21" s="2">
        <v>1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3</v>
      </c>
      <c r="BA21" s="2">
        <v>4</v>
      </c>
      <c r="BB21" s="2">
        <v>2</v>
      </c>
      <c r="BC21" s="2">
        <v>3</v>
      </c>
      <c r="BD21" s="2">
        <v>2</v>
      </c>
      <c r="BE21" s="2">
        <v>5</v>
      </c>
      <c r="BF21" s="2">
        <v>1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3</v>
      </c>
      <c r="BM21" s="2">
        <v>3</v>
      </c>
      <c r="BN21" s="2">
        <v>4</v>
      </c>
      <c r="BO21" s="2">
        <v>4</v>
      </c>
      <c r="BP21" s="2">
        <v>3</v>
      </c>
      <c r="BQ21" s="2">
        <v>4</v>
      </c>
      <c r="BR21" s="2">
        <v>1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3</v>
      </c>
      <c r="BZ21" s="2">
        <v>3</v>
      </c>
      <c r="CA21" s="2">
        <v>4</v>
      </c>
      <c r="CB21" s="2">
        <v>2</v>
      </c>
      <c r="CC21" s="2">
        <v>2</v>
      </c>
      <c r="CD21" s="2">
        <v>2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3</v>
      </c>
      <c r="DI21" s="2">
        <v>3</v>
      </c>
      <c r="DJ21" s="2">
        <v>2</v>
      </c>
      <c r="DK21" s="2">
        <v>0</v>
      </c>
      <c r="DL21" s="2">
        <v>2</v>
      </c>
      <c r="DM21" s="2">
        <v>3</v>
      </c>
      <c r="DN21" s="2">
        <v>1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</row>
    <row r="22" spans="1:123">
      <c r="A22" s="2" t="s">
        <v>6</v>
      </c>
      <c r="B22" s="2" t="s">
        <v>182</v>
      </c>
      <c r="C22" s="2">
        <v>2651</v>
      </c>
      <c r="D22" s="2">
        <v>34</v>
      </c>
      <c r="E22" s="2">
        <v>44.18</v>
      </c>
      <c r="F22" s="2">
        <v>77.97</v>
      </c>
      <c r="G22" s="2" t="s">
        <v>183</v>
      </c>
      <c r="H22">
        <f>IF(AND(OR(لوحة_القيادة!$C$4="الكل", A22=لوحة_القيادة!$C$4), IF(لوحة_القيادة!$C$5="الكل", TRUE, INDEX($V22:$AG22, 1, VALUE(لوحة_القيادة!$C$5))&gt;0)), 1, 0)</f>
        <v>0</v>
      </c>
      <c r="I22">
        <f>IF(H22=1, SUM($H$2:H22), "")</f>
        <v>0</v>
      </c>
      <c r="J22" s="2">
        <v>209</v>
      </c>
      <c r="K22" s="2">
        <v>0</v>
      </c>
      <c r="L22" s="2">
        <v>0</v>
      </c>
      <c r="M22" s="2">
        <v>0</v>
      </c>
      <c r="N22" s="2">
        <v>700</v>
      </c>
      <c r="O22" s="2">
        <v>1001</v>
      </c>
      <c r="P22" s="2">
        <v>741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5</v>
      </c>
      <c r="W22" s="2">
        <v>0</v>
      </c>
      <c r="X22" s="2">
        <v>0</v>
      </c>
      <c r="Y22" s="2">
        <v>0</v>
      </c>
      <c r="Z22" s="2">
        <v>8</v>
      </c>
      <c r="AA22" s="2">
        <v>15</v>
      </c>
      <c r="AB22" s="2">
        <v>6</v>
      </c>
      <c r="AC22" s="2">
        <v>0</v>
      </c>
      <c r="AD22" s="2">
        <v>0</v>
      </c>
      <c r="AE22" s="2">
        <v>0</v>
      </c>
      <c r="AF22" s="2">
        <v>0</v>
      </c>
      <c r="AG22" s="2">
        <v>8</v>
      </c>
      <c r="AH22" s="2">
        <v>4</v>
      </c>
      <c r="AI22" s="2">
        <v>8</v>
      </c>
      <c r="AJ22" s="2">
        <v>8</v>
      </c>
      <c r="AK22" s="2">
        <v>0</v>
      </c>
      <c r="AL22" s="2">
        <v>0</v>
      </c>
      <c r="AM22" s="2">
        <v>6</v>
      </c>
      <c r="AN22" s="2">
        <v>2</v>
      </c>
      <c r="AO22" s="2">
        <v>0</v>
      </c>
      <c r="AP22" s="2">
        <v>0</v>
      </c>
      <c r="AQ22" s="2">
        <v>0</v>
      </c>
      <c r="AR22" s="2">
        <v>2</v>
      </c>
      <c r="AS22" s="2">
        <v>3</v>
      </c>
      <c r="AT22" s="2">
        <v>1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1</v>
      </c>
      <c r="BE22" s="2">
        <v>2</v>
      </c>
      <c r="BF22" s="2">
        <v>1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3</v>
      </c>
      <c r="BM22" s="2">
        <v>0</v>
      </c>
      <c r="BN22" s="2">
        <v>0</v>
      </c>
      <c r="BO22" s="2">
        <v>0</v>
      </c>
      <c r="BP22" s="2">
        <v>1</v>
      </c>
      <c r="BQ22" s="2">
        <v>3</v>
      </c>
      <c r="BR22" s="2">
        <v>1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2</v>
      </c>
      <c r="CC22" s="2">
        <v>4</v>
      </c>
      <c r="CD22" s="2">
        <v>2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2</v>
      </c>
      <c r="DM22" s="2">
        <v>3</v>
      </c>
      <c r="DN22" s="2">
        <v>1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</row>
    <row r="23" spans="1:123">
      <c r="A23" s="2" t="s">
        <v>1</v>
      </c>
      <c r="B23" s="2" t="s">
        <v>184</v>
      </c>
      <c r="C23" s="2">
        <v>2503</v>
      </c>
      <c r="D23" s="2">
        <v>75</v>
      </c>
      <c r="E23" s="2">
        <v>41.72</v>
      </c>
      <c r="F23" s="2">
        <v>33.37</v>
      </c>
      <c r="G23" s="2" t="s">
        <v>160</v>
      </c>
      <c r="H23">
        <f>IF(AND(OR(لوحة_القيادة!$C$4="الكل", A23=لوحة_القيادة!$C$4), IF(لوحة_القيادة!$C$5="الكل", TRUE, INDEX($V23:$AG23, 1, VALUE(لوحة_القيادة!$C$5))&gt;0)), 1, 0)</f>
        <v>0</v>
      </c>
      <c r="I23">
        <f>IF(H23=1, SUM($H$2:H23), "")</f>
        <v>0</v>
      </c>
      <c r="J23" s="2">
        <v>501</v>
      </c>
      <c r="K23" s="2">
        <v>98</v>
      </c>
      <c r="L23" s="2">
        <v>113</v>
      </c>
      <c r="M23" s="2">
        <v>646</v>
      </c>
      <c r="N23" s="2">
        <v>356</v>
      </c>
      <c r="O23" s="2">
        <v>666</v>
      </c>
      <c r="P23" s="2">
        <v>123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17</v>
      </c>
      <c r="W23" s="2">
        <v>7</v>
      </c>
      <c r="X23" s="2">
        <v>3</v>
      </c>
      <c r="Y23" s="2">
        <v>15</v>
      </c>
      <c r="Z23" s="2">
        <v>15</v>
      </c>
      <c r="AA23" s="2">
        <v>16</v>
      </c>
      <c r="AB23" s="2">
        <v>2</v>
      </c>
      <c r="AC23" s="2">
        <v>0</v>
      </c>
      <c r="AD23" s="2">
        <v>0</v>
      </c>
      <c r="AE23" s="2">
        <v>0</v>
      </c>
      <c r="AF23" s="2">
        <v>0</v>
      </c>
      <c r="AG23" s="2">
        <v>11</v>
      </c>
      <c r="AH23" s="2">
        <v>18</v>
      </c>
      <c r="AI23" s="2">
        <v>15</v>
      </c>
      <c r="AJ23" s="2">
        <v>14</v>
      </c>
      <c r="AK23" s="2">
        <v>0</v>
      </c>
      <c r="AL23" s="2">
        <v>0</v>
      </c>
      <c r="AM23" s="2">
        <v>17</v>
      </c>
      <c r="AN23" s="2">
        <v>3</v>
      </c>
      <c r="AO23" s="2">
        <v>0</v>
      </c>
      <c r="AP23" s="2">
        <v>0</v>
      </c>
      <c r="AQ23" s="2">
        <v>2</v>
      </c>
      <c r="AR23" s="2">
        <v>2</v>
      </c>
      <c r="AS23" s="2">
        <v>4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3</v>
      </c>
      <c r="BA23" s="2">
        <v>2</v>
      </c>
      <c r="BB23" s="2">
        <v>2</v>
      </c>
      <c r="BC23" s="2">
        <v>4</v>
      </c>
      <c r="BD23" s="2">
        <v>4</v>
      </c>
      <c r="BE23" s="2">
        <v>2</v>
      </c>
      <c r="BF23" s="2">
        <v>1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4</v>
      </c>
      <c r="BM23" s="2">
        <v>2</v>
      </c>
      <c r="BN23" s="2">
        <v>0</v>
      </c>
      <c r="BO23" s="2">
        <v>4</v>
      </c>
      <c r="BP23" s="2">
        <v>2</v>
      </c>
      <c r="BQ23" s="2">
        <v>3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3</v>
      </c>
      <c r="BY23" s="2">
        <v>1</v>
      </c>
      <c r="BZ23" s="2">
        <v>0</v>
      </c>
      <c r="CA23" s="2">
        <v>3</v>
      </c>
      <c r="CB23" s="2">
        <v>3</v>
      </c>
      <c r="CC23" s="2">
        <v>4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4</v>
      </c>
      <c r="DI23" s="2">
        <v>2</v>
      </c>
      <c r="DJ23" s="2">
        <v>1</v>
      </c>
      <c r="DK23" s="2">
        <v>2</v>
      </c>
      <c r="DL23" s="2">
        <v>4</v>
      </c>
      <c r="DM23" s="2">
        <v>3</v>
      </c>
      <c r="DN23" s="2">
        <v>1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</row>
    <row r="24" spans="1:123">
      <c r="A24" s="2" t="s">
        <v>21</v>
      </c>
      <c r="B24" s="2" t="s">
        <v>185</v>
      </c>
      <c r="C24" s="2">
        <v>2355</v>
      </c>
      <c r="D24" s="2">
        <v>67</v>
      </c>
      <c r="E24" s="2">
        <v>39.25</v>
      </c>
      <c r="F24" s="2">
        <v>35.15</v>
      </c>
      <c r="G24" s="2" t="s">
        <v>186</v>
      </c>
      <c r="H24">
        <f>IF(AND(OR(لوحة_القيادة!$C$4="الكل", A24=لوحة_القيادة!$C$4), IF(لوحة_القيادة!$C$5="الكل", TRUE, INDEX($V24:$AG24, 1, VALUE(لوحة_القيادة!$C$5))&gt;0)), 1, 0)</f>
        <v>0</v>
      </c>
      <c r="I24">
        <f>IF(H24=1, SUM($H$2:H24), "")</f>
        <v>0</v>
      </c>
      <c r="J24" s="2">
        <v>0</v>
      </c>
      <c r="K24" s="2">
        <v>209</v>
      </c>
      <c r="L24" s="2">
        <v>342</v>
      </c>
      <c r="M24" s="2">
        <v>712</v>
      </c>
      <c r="N24" s="2">
        <v>375</v>
      </c>
      <c r="O24" s="2">
        <v>390</v>
      </c>
      <c r="P24" s="2">
        <v>327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13</v>
      </c>
      <c r="X24" s="2">
        <v>7</v>
      </c>
      <c r="Y24" s="2">
        <v>15</v>
      </c>
      <c r="Z24" s="2">
        <v>17</v>
      </c>
      <c r="AA24" s="2">
        <v>10</v>
      </c>
      <c r="AB24" s="2">
        <v>5</v>
      </c>
      <c r="AC24" s="2">
        <v>0</v>
      </c>
      <c r="AD24" s="2">
        <v>0</v>
      </c>
      <c r="AE24" s="2">
        <v>0</v>
      </c>
      <c r="AF24" s="2">
        <v>0</v>
      </c>
      <c r="AG24" s="2">
        <v>15</v>
      </c>
      <c r="AH24" s="2">
        <v>15</v>
      </c>
      <c r="AI24" s="2">
        <v>13</v>
      </c>
      <c r="AJ24" s="2">
        <v>14</v>
      </c>
      <c r="AK24" s="2">
        <v>0</v>
      </c>
      <c r="AL24" s="2">
        <v>0</v>
      </c>
      <c r="AM24" s="2">
        <v>10</v>
      </c>
      <c r="AN24" s="2">
        <v>0</v>
      </c>
      <c r="AO24" s="2">
        <v>3</v>
      </c>
      <c r="AP24" s="2">
        <v>2</v>
      </c>
      <c r="AQ24" s="2">
        <v>2</v>
      </c>
      <c r="AR24" s="2">
        <v>4</v>
      </c>
      <c r="AS24" s="2">
        <v>3</v>
      </c>
      <c r="AT24" s="2">
        <v>1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3</v>
      </c>
      <c r="BB24" s="2">
        <v>1</v>
      </c>
      <c r="BC24" s="2">
        <v>3</v>
      </c>
      <c r="BD24" s="2">
        <v>4</v>
      </c>
      <c r="BE24" s="2">
        <v>3</v>
      </c>
      <c r="BF24" s="2">
        <v>1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3</v>
      </c>
      <c r="BN24" s="2">
        <v>2</v>
      </c>
      <c r="BO24" s="2">
        <v>3</v>
      </c>
      <c r="BP24" s="2">
        <v>3</v>
      </c>
      <c r="BQ24" s="2">
        <v>1</v>
      </c>
      <c r="BR24" s="2">
        <v>1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3</v>
      </c>
      <c r="BZ24" s="2">
        <v>1</v>
      </c>
      <c r="CA24" s="2">
        <v>4</v>
      </c>
      <c r="CB24" s="2">
        <v>3</v>
      </c>
      <c r="CC24" s="2">
        <v>2</v>
      </c>
      <c r="CD24" s="2">
        <v>1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1</v>
      </c>
      <c r="DJ24" s="2">
        <v>1</v>
      </c>
      <c r="DK24" s="2">
        <v>3</v>
      </c>
      <c r="DL24" s="2">
        <v>3</v>
      </c>
      <c r="DM24" s="2">
        <v>1</v>
      </c>
      <c r="DN24" s="2">
        <v>1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</row>
    <row r="25" spans="1:123">
      <c r="A25" s="2" t="s">
        <v>20</v>
      </c>
      <c r="B25" s="2" t="s">
        <v>187</v>
      </c>
      <c r="C25" s="2">
        <v>2354</v>
      </c>
      <c r="D25" s="2">
        <v>64</v>
      </c>
      <c r="E25" s="2">
        <v>39.23</v>
      </c>
      <c r="F25" s="2">
        <v>36.78</v>
      </c>
      <c r="G25" s="2" t="s">
        <v>160</v>
      </c>
      <c r="H25">
        <f>IF(AND(OR(لوحة_القيادة!$C$4="الكل", A25=لوحة_القيادة!$C$4), IF(لوحة_القيادة!$C$5="الكل", TRUE, INDEX($V25:$AG25, 1, VALUE(لوحة_القيادة!$C$5))&gt;0)), 1, 0)</f>
        <v>0</v>
      </c>
      <c r="I25">
        <f>IF(H25=1, SUM($H$2:H25), "")</f>
        <v>0</v>
      </c>
      <c r="J25" s="2">
        <v>508</v>
      </c>
      <c r="K25" s="2">
        <v>103</v>
      </c>
      <c r="L25" s="2">
        <v>444</v>
      </c>
      <c r="M25" s="2">
        <v>105</v>
      </c>
      <c r="N25" s="2">
        <v>474</v>
      </c>
      <c r="O25" s="2">
        <v>541</v>
      </c>
      <c r="P25" s="2">
        <v>179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10</v>
      </c>
      <c r="W25" s="2">
        <v>6</v>
      </c>
      <c r="X25" s="2">
        <v>13</v>
      </c>
      <c r="Y25" s="2">
        <v>3</v>
      </c>
      <c r="Z25" s="2">
        <v>7</v>
      </c>
      <c r="AA25" s="2">
        <v>19</v>
      </c>
      <c r="AB25" s="2">
        <v>6</v>
      </c>
      <c r="AC25" s="2">
        <v>0</v>
      </c>
      <c r="AD25" s="2">
        <v>0</v>
      </c>
      <c r="AE25" s="2">
        <v>0</v>
      </c>
      <c r="AF25" s="2">
        <v>0</v>
      </c>
      <c r="AG25" s="2">
        <v>11</v>
      </c>
      <c r="AH25" s="2">
        <v>11</v>
      </c>
      <c r="AI25" s="2">
        <v>9</v>
      </c>
      <c r="AJ25" s="2">
        <v>12</v>
      </c>
      <c r="AK25" s="2">
        <v>0</v>
      </c>
      <c r="AL25" s="2">
        <v>0</v>
      </c>
      <c r="AM25" s="2">
        <v>21</v>
      </c>
      <c r="AN25" s="2">
        <v>2</v>
      </c>
      <c r="AO25" s="2">
        <v>0</v>
      </c>
      <c r="AP25" s="2">
        <v>2</v>
      </c>
      <c r="AQ25" s="2">
        <v>0</v>
      </c>
      <c r="AR25" s="2">
        <v>2</v>
      </c>
      <c r="AS25" s="2">
        <v>4</v>
      </c>
      <c r="AT25" s="2">
        <v>1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1</v>
      </c>
      <c r="BA25" s="2">
        <v>0</v>
      </c>
      <c r="BB25" s="2">
        <v>4</v>
      </c>
      <c r="BC25" s="2">
        <v>0</v>
      </c>
      <c r="BD25" s="2">
        <v>0</v>
      </c>
      <c r="BE25" s="2">
        <v>5</v>
      </c>
      <c r="BF25" s="2">
        <v>1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1</v>
      </c>
      <c r="BM25" s="2">
        <v>1</v>
      </c>
      <c r="BN25" s="2">
        <v>2</v>
      </c>
      <c r="BO25" s="2">
        <v>0</v>
      </c>
      <c r="BP25" s="2">
        <v>0</v>
      </c>
      <c r="BQ25" s="2">
        <v>4</v>
      </c>
      <c r="BR25" s="2">
        <v>1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2</v>
      </c>
      <c r="BY25" s="2">
        <v>1</v>
      </c>
      <c r="BZ25" s="2">
        <v>3</v>
      </c>
      <c r="CA25" s="2">
        <v>1</v>
      </c>
      <c r="CB25" s="2">
        <v>1</v>
      </c>
      <c r="CC25" s="2">
        <v>2</v>
      </c>
      <c r="CD25" s="2">
        <v>2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4</v>
      </c>
      <c r="DI25" s="2">
        <v>4</v>
      </c>
      <c r="DJ25" s="2">
        <v>2</v>
      </c>
      <c r="DK25" s="2">
        <v>2</v>
      </c>
      <c r="DL25" s="2">
        <v>4</v>
      </c>
      <c r="DM25" s="2">
        <v>4</v>
      </c>
      <c r="DN25" s="2">
        <v>1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</row>
    <row r="26" spans="1:123">
      <c r="A26" s="2" t="s">
        <v>22</v>
      </c>
      <c r="B26" s="2" t="s">
        <v>188</v>
      </c>
      <c r="C26" s="2">
        <v>2004</v>
      </c>
      <c r="D26" s="2">
        <v>50</v>
      </c>
      <c r="E26" s="2">
        <v>33.4</v>
      </c>
      <c r="F26" s="2">
        <v>40.08</v>
      </c>
      <c r="G26" s="2" t="s">
        <v>189</v>
      </c>
      <c r="H26">
        <f>IF(AND(OR(لوحة_القيادة!$C$4="الكل", A26=لوحة_القيادة!$C$4), IF(لوحة_القيادة!$C$5="الكل", TRUE, INDEX($V26:$AG26, 1, VALUE(لوحة_القيادة!$C$5))&gt;0)), 1, 0)</f>
        <v>0</v>
      </c>
      <c r="I26">
        <f>IF(H26=1, SUM($H$2:H26), "")</f>
        <v>0</v>
      </c>
      <c r="J26" s="2">
        <v>432</v>
      </c>
      <c r="K26" s="2">
        <v>269</v>
      </c>
      <c r="L26" s="2">
        <v>439</v>
      </c>
      <c r="M26" s="2">
        <v>505</v>
      </c>
      <c r="N26" s="2">
        <v>0</v>
      </c>
      <c r="O26" s="2">
        <v>167</v>
      </c>
      <c r="P26" s="2">
        <v>192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12</v>
      </c>
      <c r="W26" s="2">
        <v>10</v>
      </c>
      <c r="X26" s="2">
        <v>9</v>
      </c>
      <c r="Y26" s="2">
        <v>8</v>
      </c>
      <c r="Z26" s="2">
        <v>0</v>
      </c>
      <c r="AA26" s="2">
        <v>7</v>
      </c>
      <c r="AB26" s="2">
        <v>4</v>
      </c>
      <c r="AC26" s="2">
        <v>0</v>
      </c>
      <c r="AD26" s="2">
        <v>0</v>
      </c>
      <c r="AE26" s="2">
        <v>0</v>
      </c>
      <c r="AF26" s="2">
        <v>0</v>
      </c>
      <c r="AG26" s="2">
        <v>9</v>
      </c>
      <c r="AH26" s="2">
        <v>14</v>
      </c>
      <c r="AI26" s="2">
        <v>11</v>
      </c>
      <c r="AJ26" s="2">
        <v>6</v>
      </c>
      <c r="AK26" s="2">
        <v>0</v>
      </c>
      <c r="AL26" s="2">
        <v>0</v>
      </c>
      <c r="AM26" s="2">
        <v>10</v>
      </c>
      <c r="AN26" s="2">
        <v>2</v>
      </c>
      <c r="AO26" s="2">
        <v>3</v>
      </c>
      <c r="AP26" s="2">
        <v>1</v>
      </c>
      <c r="AQ26" s="2">
        <v>1</v>
      </c>
      <c r="AR26" s="2">
        <v>0</v>
      </c>
      <c r="AS26" s="2">
        <v>2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4</v>
      </c>
      <c r="BA26" s="2">
        <v>3</v>
      </c>
      <c r="BB26" s="2">
        <v>3</v>
      </c>
      <c r="BC26" s="2">
        <v>2</v>
      </c>
      <c r="BD26" s="2">
        <v>0</v>
      </c>
      <c r="BE26" s="2">
        <v>2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3</v>
      </c>
      <c r="BM26" s="2">
        <v>2</v>
      </c>
      <c r="BN26" s="2">
        <v>3</v>
      </c>
      <c r="BO26" s="2">
        <v>1</v>
      </c>
      <c r="BP26" s="2">
        <v>0</v>
      </c>
      <c r="BQ26" s="2">
        <v>1</v>
      </c>
      <c r="BR26" s="2">
        <v>1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1</v>
      </c>
      <c r="BY26" s="2">
        <v>1</v>
      </c>
      <c r="BZ26" s="2">
        <v>1</v>
      </c>
      <c r="CA26" s="2">
        <v>1</v>
      </c>
      <c r="CB26" s="2">
        <v>0</v>
      </c>
      <c r="CC26" s="2">
        <v>0</v>
      </c>
      <c r="CD26" s="2">
        <v>2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2</v>
      </c>
      <c r="DI26" s="2">
        <v>1</v>
      </c>
      <c r="DJ26" s="2">
        <v>1</v>
      </c>
      <c r="DK26" s="2">
        <v>3</v>
      </c>
      <c r="DL26" s="2">
        <v>0</v>
      </c>
      <c r="DM26" s="2">
        <v>2</v>
      </c>
      <c r="DN26" s="2">
        <v>1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</row>
    <row r="27" spans="1:123">
      <c r="A27" s="2" t="s">
        <v>13</v>
      </c>
      <c r="B27" s="2" t="s">
        <v>190</v>
      </c>
      <c r="C27" s="2">
        <v>1884</v>
      </c>
      <c r="D27" s="2">
        <v>62</v>
      </c>
      <c r="E27" s="2">
        <v>31.4</v>
      </c>
      <c r="F27" s="2">
        <v>30.39</v>
      </c>
      <c r="G27" s="2" t="s">
        <v>170</v>
      </c>
      <c r="H27">
        <f>IF(AND(OR(لوحة_القيادة!$C$4="الكل", A27=لوحة_القيادة!$C$4), IF(لوحة_القيادة!$C$5="الكل", TRUE, INDEX($V27:$AG27, 1, VALUE(لوحة_القيادة!$C$5))&gt;0)), 1, 0)</f>
        <v>0</v>
      </c>
      <c r="I27">
        <f>IF(H27=1, SUM($H$2:H27), "")</f>
        <v>0</v>
      </c>
      <c r="J27" s="2">
        <v>244</v>
      </c>
      <c r="K27" s="2">
        <v>170</v>
      </c>
      <c r="L27" s="2">
        <v>210</v>
      </c>
      <c r="M27" s="2">
        <v>431</v>
      </c>
      <c r="N27" s="2">
        <v>510</v>
      </c>
      <c r="O27" s="2">
        <v>319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8</v>
      </c>
      <c r="W27" s="2">
        <v>12</v>
      </c>
      <c r="X27" s="2">
        <v>8</v>
      </c>
      <c r="Y27" s="2">
        <v>14</v>
      </c>
      <c r="Z27" s="2">
        <v>14</v>
      </c>
      <c r="AA27" s="2">
        <v>6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9</v>
      </c>
      <c r="AH27" s="2">
        <v>14</v>
      </c>
      <c r="AI27" s="2">
        <v>15</v>
      </c>
      <c r="AJ27" s="2">
        <v>13</v>
      </c>
      <c r="AK27" s="2">
        <v>0</v>
      </c>
      <c r="AL27" s="2">
        <v>0</v>
      </c>
      <c r="AM27" s="2">
        <v>11</v>
      </c>
      <c r="AN27" s="2">
        <v>1</v>
      </c>
      <c r="AO27" s="2">
        <v>2</v>
      </c>
      <c r="AP27" s="2">
        <v>1</v>
      </c>
      <c r="AQ27" s="2">
        <v>1</v>
      </c>
      <c r="AR27" s="2">
        <v>3</v>
      </c>
      <c r="AS27" s="2">
        <v>1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2</v>
      </c>
      <c r="BA27" s="2">
        <v>2</v>
      </c>
      <c r="BB27" s="2">
        <v>2</v>
      </c>
      <c r="BC27" s="2">
        <v>3</v>
      </c>
      <c r="BD27" s="2">
        <v>3</v>
      </c>
      <c r="BE27" s="2">
        <v>2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3</v>
      </c>
      <c r="BM27" s="2">
        <v>2</v>
      </c>
      <c r="BN27" s="2">
        <v>2</v>
      </c>
      <c r="BO27" s="2">
        <v>3</v>
      </c>
      <c r="BP27" s="2">
        <v>3</v>
      </c>
      <c r="BQ27" s="2">
        <v>2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1</v>
      </c>
      <c r="BY27" s="2">
        <v>3</v>
      </c>
      <c r="BZ27" s="2">
        <v>2</v>
      </c>
      <c r="CA27" s="2">
        <v>4</v>
      </c>
      <c r="CB27" s="2">
        <v>3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1</v>
      </c>
      <c r="DI27" s="2">
        <v>3</v>
      </c>
      <c r="DJ27" s="2">
        <v>1</v>
      </c>
      <c r="DK27" s="2">
        <v>3</v>
      </c>
      <c r="DL27" s="2">
        <v>2</v>
      </c>
      <c r="DM27" s="2">
        <v>1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</row>
    <row r="28" spans="1:123">
      <c r="A28" s="2" t="s">
        <v>8</v>
      </c>
      <c r="B28" s="2" t="s">
        <v>191</v>
      </c>
      <c r="C28" s="2">
        <v>1855</v>
      </c>
      <c r="D28" s="2">
        <v>2</v>
      </c>
      <c r="E28" s="2">
        <v>30.92</v>
      </c>
      <c r="F28" s="2">
        <v>927.5</v>
      </c>
      <c r="G28" s="2" t="s">
        <v>29</v>
      </c>
      <c r="H28">
        <f>IF(AND(OR(لوحة_القيادة!$C$4="الكل", A28=لوحة_القيادة!$C$4), IF(لوحة_القيادة!$C$5="الكل", TRUE, INDEX($V28:$AG28, 1, VALUE(لوحة_القيادة!$C$5))&gt;0)), 1, 0)</f>
        <v>0</v>
      </c>
      <c r="I28">
        <f>IF(H28=1, SUM($H$2:H28), "")</f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1855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2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1</v>
      </c>
      <c r="AK28" s="2">
        <v>0</v>
      </c>
      <c r="AL28" s="2">
        <v>0</v>
      </c>
      <c r="AM28" s="2">
        <v>1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1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1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</row>
    <row r="29" spans="1:123">
      <c r="A29" s="2" t="s">
        <v>3</v>
      </c>
      <c r="B29" s="2" t="s">
        <v>192</v>
      </c>
      <c r="C29" s="2">
        <v>1706</v>
      </c>
      <c r="D29" s="2">
        <v>68</v>
      </c>
      <c r="E29" s="2">
        <v>28.43</v>
      </c>
      <c r="F29" s="2">
        <v>25.09</v>
      </c>
      <c r="G29" s="2" t="s">
        <v>160</v>
      </c>
      <c r="H29">
        <f>IF(AND(OR(لوحة_القيادة!$C$4="الكل", A29=لوحة_القيادة!$C$4), IF(لوحة_القيادة!$C$5="الكل", TRUE, INDEX($V29:$AG29, 1, VALUE(لوحة_القيادة!$C$5))&gt;0)), 1, 0)</f>
        <v>0</v>
      </c>
      <c r="I29">
        <f>IF(H29=1, SUM($H$2:H29), "")</f>
        <v>0</v>
      </c>
      <c r="J29" s="2">
        <v>136</v>
      </c>
      <c r="K29" s="2">
        <v>490</v>
      </c>
      <c r="L29" s="2">
        <v>417</v>
      </c>
      <c r="M29" s="2">
        <v>152</v>
      </c>
      <c r="N29" s="2">
        <v>213</v>
      </c>
      <c r="O29" s="2">
        <v>239</v>
      </c>
      <c r="P29" s="2">
        <v>59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9</v>
      </c>
      <c r="W29" s="2">
        <v>8</v>
      </c>
      <c r="X29" s="2">
        <v>11</v>
      </c>
      <c r="Y29" s="2">
        <v>10</v>
      </c>
      <c r="Z29" s="2">
        <v>7</v>
      </c>
      <c r="AA29" s="2">
        <v>18</v>
      </c>
      <c r="AB29" s="2">
        <v>5</v>
      </c>
      <c r="AC29" s="2">
        <v>0</v>
      </c>
      <c r="AD29" s="2">
        <v>0</v>
      </c>
      <c r="AE29" s="2">
        <v>0</v>
      </c>
      <c r="AF29" s="2">
        <v>0</v>
      </c>
      <c r="AG29" s="2">
        <v>9</v>
      </c>
      <c r="AH29" s="2">
        <v>11</v>
      </c>
      <c r="AI29" s="2">
        <v>14</v>
      </c>
      <c r="AJ29" s="2">
        <v>15</v>
      </c>
      <c r="AK29" s="2">
        <v>0</v>
      </c>
      <c r="AL29" s="2">
        <v>0</v>
      </c>
      <c r="AM29" s="2">
        <v>19</v>
      </c>
      <c r="AN29" s="2">
        <v>1</v>
      </c>
      <c r="AO29" s="2">
        <v>1</v>
      </c>
      <c r="AP29" s="2">
        <v>2</v>
      </c>
      <c r="AQ29" s="2">
        <v>2</v>
      </c>
      <c r="AR29" s="2">
        <v>0</v>
      </c>
      <c r="AS29" s="2">
        <v>2</v>
      </c>
      <c r="AT29" s="2">
        <v>1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1</v>
      </c>
      <c r="BA29" s="2">
        <v>0</v>
      </c>
      <c r="BB29" s="2">
        <v>3</v>
      </c>
      <c r="BC29" s="2">
        <v>1</v>
      </c>
      <c r="BD29" s="2">
        <v>0</v>
      </c>
      <c r="BE29" s="2">
        <v>5</v>
      </c>
      <c r="BF29" s="2">
        <v>1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3</v>
      </c>
      <c r="BM29" s="2">
        <v>1</v>
      </c>
      <c r="BN29" s="2">
        <v>3</v>
      </c>
      <c r="BO29" s="2">
        <v>2</v>
      </c>
      <c r="BP29" s="2">
        <v>1</v>
      </c>
      <c r="BQ29" s="2">
        <v>4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1</v>
      </c>
      <c r="BY29" s="2">
        <v>2</v>
      </c>
      <c r="BZ29" s="2">
        <v>2</v>
      </c>
      <c r="CA29" s="2">
        <v>2</v>
      </c>
      <c r="CB29" s="2">
        <v>2</v>
      </c>
      <c r="CC29" s="2">
        <v>4</v>
      </c>
      <c r="CD29" s="2">
        <v>2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3</v>
      </c>
      <c r="DI29" s="2">
        <v>4</v>
      </c>
      <c r="DJ29" s="2">
        <v>1</v>
      </c>
      <c r="DK29" s="2">
        <v>3</v>
      </c>
      <c r="DL29" s="2">
        <v>4</v>
      </c>
      <c r="DM29" s="2">
        <v>3</v>
      </c>
      <c r="DN29" s="2">
        <v>1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</row>
    <row r="30" spans="1:123">
      <c r="A30" s="2" t="s">
        <v>16</v>
      </c>
      <c r="B30" s="2" t="s">
        <v>193</v>
      </c>
      <c r="C30" s="2">
        <v>1690</v>
      </c>
      <c r="D30" s="2">
        <v>63</v>
      </c>
      <c r="E30" s="2">
        <v>28.17</v>
      </c>
      <c r="F30" s="2">
        <v>26.83</v>
      </c>
      <c r="G30" s="2" t="s">
        <v>160</v>
      </c>
      <c r="H30">
        <f>IF(AND(OR(لوحة_القيادة!$C$4="الكل", A30=لوحة_القيادة!$C$4), IF(لوحة_القيادة!$C$5="الكل", TRUE, INDEX($V30:$AG30, 1, VALUE(لوحة_القيادة!$C$5))&gt;0)), 1, 0)</f>
        <v>0</v>
      </c>
      <c r="I30">
        <f>IF(H30=1, SUM($H$2:H30), "")</f>
        <v>0</v>
      </c>
      <c r="J30" s="2">
        <v>146</v>
      </c>
      <c r="K30" s="2">
        <v>293</v>
      </c>
      <c r="L30" s="2">
        <v>184</v>
      </c>
      <c r="M30" s="2">
        <v>219</v>
      </c>
      <c r="N30" s="2">
        <v>197</v>
      </c>
      <c r="O30" s="2">
        <v>438</v>
      </c>
      <c r="P30" s="2">
        <v>213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9</v>
      </c>
      <c r="W30" s="2">
        <v>11</v>
      </c>
      <c r="X30" s="2">
        <v>8</v>
      </c>
      <c r="Y30" s="2">
        <v>7</v>
      </c>
      <c r="Z30" s="2">
        <v>8</v>
      </c>
      <c r="AA30" s="2">
        <v>14</v>
      </c>
      <c r="AB30" s="2">
        <v>6</v>
      </c>
      <c r="AC30" s="2">
        <v>0</v>
      </c>
      <c r="AD30" s="2">
        <v>0</v>
      </c>
      <c r="AE30" s="2">
        <v>0</v>
      </c>
      <c r="AF30" s="2">
        <v>0</v>
      </c>
      <c r="AG30" s="2">
        <v>9</v>
      </c>
      <c r="AH30" s="2">
        <v>13</v>
      </c>
      <c r="AI30" s="2">
        <v>13</v>
      </c>
      <c r="AJ30" s="2">
        <v>14</v>
      </c>
      <c r="AK30" s="2">
        <v>0</v>
      </c>
      <c r="AL30" s="2">
        <v>0</v>
      </c>
      <c r="AM30" s="2">
        <v>14</v>
      </c>
      <c r="AN30" s="2">
        <v>1</v>
      </c>
      <c r="AO30" s="2">
        <v>1</v>
      </c>
      <c r="AP30" s="2">
        <v>1</v>
      </c>
      <c r="AQ30" s="2">
        <v>1</v>
      </c>
      <c r="AR30" s="2">
        <v>2</v>
      </c>
      <c r="AS30" s="2">
        <v>2</v>
      </c>
      <c r="AT30" s="2">
        <v>1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2</v>
      </c>
      <c r="BA30" s="2">
        <v>2</v>
      </c>
      <c r="BB30" s="2">
        <v>2</v>
      </c>
      <c r="BC30" s="2">
        <v>1</v>
      </c>
      <c r="BD30" s="2">
        <v>2</v>
      </c>
      <c r="BE30" s="2">
        <v>3</v>
      </c>
      <c r="BF30" s="2">
        <v>1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3</v>
      </c>
      <c r="BM30" s="2">
        <v>3</v>
      </c>
      <c r="BN30" s="2">
        <v>1</v>
      </c>
      <c r="BO30" s="2">
        <v>1</v>
      </c>
      <c r="BP30" s="2">
        <v>1</v>
      </c>
      <c r="BQ30" s="2">
        <v>3</v>
      </c>
      <c r="BR30" s="2">
        <v>1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2</v>
      </c>
      <c r="BY30" s="2">
        <v>2</v>
      </c>
      <c r="BZ30" s="2">
        <v>2</v>
      </c>
      <c r="CA30" s="2">
        <v>2</v>
      </c>
      <c r="CB30" s="2">
        <v>1</v>
      </c>
      <c r="CC30" s="2">
        <v>3</v>
      </c>
      <c r="CD30" s="2">
        <v>2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1</v>
      </c>
      <c r="DI30" s="2">
        <v>3</v>
      </c>
      <c r="DJ30" s="2">
        <v>2</v>
      </c>
      <c r="DK30" s="2">
        <v>2</v>
      </c>
      <c r="DL30" s="2">
        <v>2</v>
      </c>
      <c r="DM30" s="2">
        <v>3</v>
      </c>
      <c r="DN30" s="2">
        <v>1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</row>
    <row r="31" spans="1:123">
      <c r="A31" s="2" t="s">
        <v>11</v>
      </c>
      <c r="B31" s="2" t="s">
        <v>194</v>
      </c>
      <c r="C31" s="2">
        <v>1658</v>
      </c>
      <c r="D31" s="2">
        <v>17</v>
      </c>
      <c r="E31" s="2">
        <v>27.63</v>
      </c>
      <c r="F31" s="2">
        <v>97.53</v>
      </c>
      <c r="G31" s="2" t="s">
        <v>170</v>
      </c>
      <c r="H31">
        <f>IF(AND(OR(لوحة_القيادة!$C$4="الكل", A31=لوحة_القيادة!$C$4), IF(لوحة_القيادة!$C$5="الكل", TRUE, INDEX($V31:$AG31, 1, VALUE(لوحة_القيادة!$C$5))&gt;0)), 1, 0)</f>
        <v>0</v>
      </c>
      <c r="I31">
        <f>IF(H31=1, SUM($H$2:H31), "")</f>
        <v>0</v>
      </c>
      <c r="J31" s="2">
        <v>61</v>
      </c>
      <c r="K31" s="2">
        <v>124</v>
      </c>
      <c r="L31" s="2">
        <v>740</v>
      </c>
      <c r="M31" s="2">
        <v>703</v>
      </c>
      <c r="N31" s="2">
        <v>20</v>
      </c>
      <c r="O31" s="2">
        <v>10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1</v>
      </c>
      <c r="W31" s="2">
        <v>3</v>
      </c>
      <c r="X31" s="2">
        <v>7</v>
      </c>
      <c r="Y31" s="2">
        <v>4</v>
      </c>
      <c r="Z31" s="2">
        <v>1</v>
      </c>
      <c r="AA31" s="2">
        <v>1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3</v>
      </c>
      <c r="AH31" s="2">
        <v>3</v>
      </c>
      <c r="AI31" s="2">
        <v>1</v>
      </c>
      <c r="AJ31" s="2">
        <v>4</v>
      </c>
      <c r="AK31" s="2">
        <v>3</v>
      </c>
      <c r="AL31" s="2">
        <v>0</v>
      </c>
      <c r="AM31" s="2">
        <v>3</v>
      </c>
      <c r="AN31" s="2">
        <v>1</v>
      </c>
      <c r="AO31" s="2">
        <v>0</v>
      </c>
      <c r="AP31" s="2">
        <v>2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1</v>
      </c>
      <c r="BB31" s="2">
        <v>2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1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1</v>
      </c>
      <c r="BZ31" s="2">
        <v>1</v>
      </c>
      <c r="CA31" s="2">
        <v>1</v>
      </c>
      <c r="CB31" s="2">
        <v>0</v>
      </c>
      <c r="CC31" s="2">
        <v>1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2</v>
      </c>
      <c r="CN31" s="2">
        <v>1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1</v>
      </c>
      <c r="DJ31" s="2">
        <v>1</v>
      </c>
      <c r="DK31" s="2">
        <v>1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</row>
    <row r="32" spans="1:123">
      <c r="A32" s="2" t="s">
        <v>7</v>
      </c>
      <c r="B32" s="2" t="s">
        <v>195</v>
      </c>
      <c r="C32" s="2">
        <v>1649</v>
      </c>
      <c r="D32" s="2">
        <v>83</v>
      </c>
      <c r="E32" s="2">
        <v>27.48</v>
      </c>
      <c r="F32" s="2">
        <v>19.87</v>
      </c>
      <c r="G32" s="2" t="s">
        <v>160</v>
      </c>
      <c r="H32">
        <f>IF(AND(OR(لوحة_القيادة!$C$4="الكل", A32=لوحة_القيادة!$C$4), IF(لوحة_القيادة!$C$5="الكل", TRUE, INDEX($V32:$AG32, 1, VALUE(لوحة_القيادة!$C$5))&gt;0)), 1, 0)</f>
        <v>0</v>
      </c>
      <c r="I32">
        <f>IF(H32=1, SUM($H$2:H32), "")</f>
        <v>0</v>
      </c>
      <c r="J32" s="2">
        <v>230</v>
      </c>
      <c r="K32" s="2">
        <v>230</v>
      </c>
      <c r="L32" s="2">
        <v>148</v>
      </c>
      <c r="M32" s="2">
        <v>262</v>
      </c>
      <c r="N32" s="2">
        <v>364</v>
      </c>
      <c r="O32" s="2">
        <v>321</v>
      </c>
      <c r="P32" s="2">
        <v>94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12</v>
      </c>
      <c r="W32" s="2">
        <v>11</v>
      </c>
      <c r="X32" s="2">
        <v>7</v>
      </c>
      <c r="Y32" s="2">
        <v>14</v>
      </c>
      <c r="Z32" s="2">
        <v>16</v>
      </c>
      <c r="AA32" s="2">
        <v>18</v>
      </c>
      <c r="AB32" s="2">
        <v>5</v>
      </c>
      <c r="AC32" s="2">
        <v>0</v>
      </c>
      <c r="AD32" s="2">
        <v>0</v>
      </c>
      <c r="AE32" s="2">
        <v>0</v>
      </c>
      <c r="AF32" s="2">
        <v>0</v>
      </c>
      <c r="AG32" s="2">
        <v>19</v>
      </c>
      <c r="AH32" s="2">
        <v>20</v>
      </c>
      <c r="AI32" s="2">
        <v>14</v>
      </c>
      <c r="AJ32" s="2">
        <v>16</v>
      </c>
      <c r="AK32" s="2">
        <v>0</v>
      </c>
      <c r="AL32" s="2">
        <v>0</v>
      </c>
      <c r="AM32" s="2">
        <v>14</v>
      </c>
      <c r="AN32" s="2">
        <v>2</v>
      </c>
      <c r="AO32" s="2">
        <v>3</v>
      </c>
      <c r="AP32" s="2">
        <v>1</v>
      </c>
      <c r="AQ32" s="2">
        <v>3</v>
      </c>
      <c r="AR32" s="2">
        <v>5</v>
      </c>
      <c r="AS32" s="2">
        <v>4</v>
      </c>
      <c r="AT32" s="2">
        <v>1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3</v>
      </c>
      <c r="BA32" s="2">
        <v>2</v>
      </c>
      <c r="BB32" s="2">
        <v>4</v>
      </c>
      <c r="BC32" s="2">
        <v>3</v>
      </c>
      <c r="BD32" s="2">
        <v>2</v>
      </c>
      <c r="BE32" s="2">
        <v>5</v>
      </c>
      <c r="BF32" s="2">
        <v>1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2</v>
      </c>
      <c r="BM32" s="2">
        <v>2</v>
      </c>
      <c r="BN32" s="2">
        <v>2</v>
      </c>
      <c r="BO32" s="2">
        <v>3</v>
      </c>
      <c r="BP32" s="2">
        <v>2</v>
      </c>
      <c r="BQ32" s="2">
        <v>3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3</v>
      </c>
      <c r="BY32" s="2">
        <v>3</v>
      </c>
      <c r="BZ32" s="2">
        <v>0</v>
      </c>
      <c r="CA32" s="2">
        <v>2</v>
      </c>
      <c r="CB32" s="2">
        <v>3</v>
      </c>
      <c r="CC32" s="2">
        <v>3</v>
      </c>
      <c r="CD32" s="2">
        <v>2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2</v>
      </c>
      <c r="DI32" s="2">
        <v>1</v>
      </c>
      <c r="DJ32" s="2">
        <v>0</v>
      </c>
      <c r="DK32" s="2">
        <v>3</v>
      </c>
      <c r="DL32" s="2">
        <v>4</v>
      </c>
      <c r="DM32" s="2">
        <v>3</v>
      </c>
      <c r="DN32" s="2">
        <v>1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</row>
    <row r="33" spans="1:123">
      <c r="A33" s="2" t="s">
        <v>11</v>
      </c>
      <c r="B33" s="2" t="s">
        <v>196</v>
      </c>
      <c r="C33" s="2">
        <v>1629</v>
      </c>
      <c r="D33" s="2">
        <v>43</v>
      </c>
      <c r="E33" s="2">
        <v>27.15</v>
      </c>
      <c r="F33" s="2">
        <v>37.88</v>
      </c>
      <c r="G33" s="2" t="s">
        <v>160</v>
      </c>
      <c r="H33">
        <f>IF(AND(OR(لوحة_القيادة!$C$4="الكل", A33=لوحة_القيادة!$C$4), IF(لوحة_القيادة!$C$5="الكل", TRUE, INDEX($V33:$AG33, 1, VALUE(لوحة_القيادة!$C$5))&gt;0)), 1, 0)</f>
        <v>0</v>
      </c>
      <c r="I33">
        <f>IF(H33=1, SUM($H$2:H33), "")</f>
        <v>0</v>
      </c>
      <c r="J33" s="2">
        <v>870</v>
      </c>
      <c r="K33" s="2">
        <v>244</v>
      </c>
      <c r="L33" s="2">
        <v>304</v>
      </c>
      <c r="M33" s="2">
        <v>99</v>
      </c>
      <c r="N33" s="2">
        <v>75</v>
      </c>
      <c r="O33" s="2">
        <v>35</v>
      </c>
      <c r="P33" s="2">
        <v>2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12</v>
      </c>
      <c r="W33" s="2">
        <v>12</v>
      </c>
      <c r="X33" s="2">
        <v>7</v>
      </c>
      <c r="Y33" s="2">
        <v>3</v>
      </c>
      <c r="Z33" s="2">
        <v>3</v>
      </c>
      <c r="AA33" s="2">
        <v>4</v>
      </c>
      <c r="AB33" s="2">
        <v>2</v>
      </c>
      <c r="AC33" s="2">
        <v>0</v>
      </c>
      <c r="AD33" s="2">
        <v>0</v>
      </c>
      <c r="AE33" s="2">
        <v>0</v>
      </c>
      <c r="AF33" s="2">
        <v>0</v>
      </c>
      <c r="AG33" s="2">
        <v>7</v>
      </c>
      <c r="AH33" s="2">
        <v>9</v>
      </c>
      <c r="AI33" s="2">
        <v>8</v>
      </c>
      <c r="AJ33" s="2">
        <v>6</v>
      </c>
      <c r="AK33" s="2">
        <v>4</v>
      </c>
      <c r="AL33" s="2">
        <v>3</v>
      </c>
      <c r="AM33" s="2">
        <v>6</v>
      </c>
      <c r="AN33" s="2">
        <v>3</v>
      </c>
      <c r="AO33" s="2">
        <v>2</v>
      </c>
      <c r="AP33" s="2">
        <v>1</v>
      </c>
      <c r="AQ33" s="2">
        <v>0</v>
      </c>
      <c r="AR33" s="2">
        <v>0</v>
      </c>
      <c r="AS33" s="2">
        <v>1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2</v>
      </c>
      <c r="BA33" s="2">
        <v>3</v>
      </c>
      <c r="BB33" s="2">
        <v>3</v>
      </c>
      <c r="BC33" s="2">
        <v>1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3</v>
      </c>
      <c r="BM33" s="2">
        <v>2</v>
      </c>
      <c r="BN33" s="2">
        <v>2</v>
      </c>
      <c r="BO33" s="2">
        <v>0</v>
      </c>
      <c r="BP33" s="2">
        <v>0</v>
      </c>
      <c r="BQ33" s="2">
        <v>0</v>
      </c>
      <c r="BR33" s="2">
        <v>1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1</v>
      </c>
      <c r="BY33" s="2">
        <v>3</v>
      </c>
      <c r="BZ33" s="2">
        <v>0</v>
      </c>
      <c r="CA33" s="2">
        <v>0</v>
      </c>
      <c r="CB33" s="2">
        <v>0</v>
      </c>
      <c r="CC33" s="2">
        <v>1</v>
      </c>
      <c r="CD33" s="2">
        <v>1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1</v>
      </c>
      <c r="CK33" s="2">
        <v>0</v>
      </c>
      <c r="CL33" s="2">
        <v>0</v>
      </c>
      <c r="CM33" s="2">
        <v>1</v>
      </c>
      <c r="CN33" s="2">
        <v>1</v>
      </c>
      <c r="CO33" s="2">
        <v>1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2</v>
      </c>
      <c r="DA33" s="2">
        <v>1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2</v>
      </c>
      <c r="DI33" s="2">
        <v>2</v>
      </c>
      <c r="DJ33" s="2">
        <v>1</v>
      </c>
      <c r="DK33" s="2">
        <v>1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</row>
    <row r="34" spans="1:123">
      <c r="A34" s="2" t="s">
        <v>9</v>
      </c>
      <c r="B34" s="2" t="s">
        <v>197</v>
      </c>
      <c r="C34" s="2">
        <v>1621</v>
      </c>
      <c r="D34" s="2">
        <v>43</v>
      </c>
      <c r="E34" s="2">
        <v>27.02</v>
      </c>
      <c r="F34" s="2">
        <v>37.7</v>
      </c>
      <c r="G34" s="2" t="s">
        <v>160</v>
      </c>
      <c r="H34">
        <f>IF(AND(OR(لوحة_القيادة!$C$4="الكل", A34=لوحة_القيادة!$C$4), IF(لوحة_القيادة!$C$5="الكل", TRUE, INDEX($V34:$AG34, 1, VALUE(لوحة_القيادة!$C$5))&gt;0)), 1, 0)</f>
        <v>0</v>
      </c>
      <c r="I34">
        <f>IF(H34=1, SUM($H$2:H34), "")</f>
        <v>0</v>
      </c>
      <c r="J34" s="2">
        <v>71</v>
      </c>
      <c r="K34" s="2">
        <v>146</v>
      </c>
      <c r="L34" s="2">
        <v>203</v>
      </c>
      <c r="M34" s="2">
        <v>321</v>
      </c>
      <c r="N34" s="2">
        <v>264</v>
      </c>
      <c r="O34" s="2">
        <v>465</v>
      </c>
      <c r="P34" s="2">
        <v>151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4</v>
      </c>
      <c r="W34" s="2">
        <v>7</v>
      </c>
      <c r="X34" s="2">
        <v>3</v>
      </c>
      <c r="Y34" s="2">
        <v>8</v>
      </c>
      <c r="Z34" s="2">
        <v>10</v>
      </c>
      <c r="AA34" s="2">
        <v>8</v>
      </c>
      <c r="AB34" s="2">
        <v>3</v>
      </c>
      <c r="AC34" s="2">
        <v>0</v>
      </c>
      <c r="AD34" s="2">
        <v>0</v>
      </c>
      <c r="AE34" s="2">
        <v>0</v>
      </c>
      <c r="AF34" s="2">
        <v>0</v>
      </c>
      <c r="AG34" s="2">
        <v>9</v>
      </c>
      <c r="AH34" s="2">
        <v>9</v>
      </c>
      <c r="AI34" s="2">
        <v>5</v>
      </c>
      <c r="AJ34" s="2">
        <v>8</v>
      </c>
      <c r="AK34" s="2">
        <v>0</v>
      </c>
      <c r="AL34" s="2">
        <v>0</v>
      </c>
      <c r="AM34" s="2">
        <v>12</v>
      </c>
      <c r="AN34" s="2">
        <v>0</v>
      </c>
      <c r="AO34" s="2">
        <v>1</v>
      </c>
      <c r="AP34" s="2">
        <v>0</v>
      </c>
      <c r="AQ34" s="2">
        <v>2</v>
      </c>
      <c r="AR34" s="2">
        <v>3</v>
      </c>
      <c r="AS34" s="2">
        <v>2</v>
      </c>
      <c r="AT34" s="2">
        <v>1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2</v>
      </c>
      <c r="BB34" s="2">
        <v>0</v>
      </c>
      <c r="BC34" s="2">
        <v>4</v>
      </c>
      <c r="BD34" s="2">
        <v>3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2</v>
      </c>
      <c r="BN34" s="2">
        <v>1</v>
      </c>
      <c r="BO34" s="2">
        <v>0</v>
      </c>
      <c r="BP34" s="2">
        <v>0</v>
      </c>
      <c r="BQ34" s="2">
        <v>2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2</v>
      </c>
      <c r="BY34" s="2">
        <v>1</v>
      </c>
      <c r="BZ34" s="2">
        <v>0</v>
      </c>
      <c r="CA34" s="2">
        <v>1</v>
      </c>
      <c r="CB34" s="2">
        <v>2</v>
      </c>
      <c r="CC34" s="2">
        <v>1</v>
      </c>
      <c r="CD34" s="2">
        <v>1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2</v>
      </c>
      <c r="DI34" s="2">
        <v>1</v>
      </c>
      <c r="DJ34" s="2">
        <v>2</v>
      </c>
      <c r="DK34" s="2">
        <v>1</v>
      </c>
      <c r="DL34" s="2">
        <v>2</v>
      </c>
      <c r="DM34" s="2">
        <v>3</v>
      </c>
      <c r="DN34" s="2">
        <v>1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</row>
    <row r="35" spans="1:123">
      <c r="A35" s="2" t="s">
        <v>6</v>
      </c>
      <c r="B35" s="2" t="s">
        <v>198</v>
      </c>
      <c r="C35" s="2">
        <v>1573</v>
      </c>
      <c r="D35" s="2">
        <v>64</v>
      </c>
      <c r="E35" s="2">
        <v>26.22</v>
      </c>
      <c r="F35" s="2">
        <v>24.58</v>
      </c>
      <c r="G35" s="2" t="s">
        <v>160</v>
      </c>
      <c r="H35">
        <f>IF(AND(OR(لوحة_القيادة!$C$4="الكل", A35=لوحة_القيادة!$C$4), IF(لوحة_القيادة!$C$5="الكل", TRUE, INDEX($V35:$AG35, 1, VALUE(لوحة_القيادة!$C$5))&gt;0)), 1, 0)</f>
        <v>0</v>
      </c>
      <c r="I35">
        <f>IF(H35=1, SUM($H$2:H35), "")</f>
        <v>0</v>
      </c>
      <c r="J35" s="2">
        <v>185</v>
      </c>
      <c r="K35" s="2">
        <v>72</v>
      </c>
      <c r="L35" s="2">
        <v>250</v>
      </c>
      <c r="M35" s="2">
        <v>437</v>
      </c>
      <c r="N35" s="2">
        <v>142</v>
      </c>
      <c r="O35" s="2">
        <v>468</v>
      </c>
      <c r="P35" s="2">
        <v>19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14</v>
      </c>
      <c r="W35" s="2">
        <v>10</v>
      </c>
      <c r="X35" s="2">
        <v>9</v>
      </c>
      <c r="Y35" s="2">
        <v>10</v>
      </c>
      <c r="Z35" s="2">
        <v>8</v>
      </c>
      <c r="AA35" s="2">
        <v>10</v>
      </c>
      <c r="AB35" s="2">
        <v>3</v>
      </c>
      <c r="AC35" s="2">
        <v>0</v>
      </c>
      <c r="AD35" s="2">
        <v>0</v>
      </c>
      <c r="AE35" s="2">
        <v>0</v>
      </c>
      <c r="AF35" s="2">
        <v>0</v>
      </c>
      <c r="AG35" s="2">
        <v>10</v>
      </c>
      <c r="AH35" s="2">
        <v>17</v>
      </c>
      <c r="AI35" s="2">
        <v>12</v>
      </c>
      <c r="AJ35" s="2">
        <v>12</v>
      </c>
      <c r="AK35" s="2">
        <v>0</v>
      </c>
      <c r="AL35" s="2">
        <v>0</v>
      </c>
      <c r="AM35" s="2">
        <v>13</v>
      </c>
      <c r="AN35" s="2">
        <v>1</v>
      </c>
      <c r="AO35" s="2">
        <v>1</v>
      </c>
      <c r="AP35" s="2">
        <v>1</v>
      </c>
      <c r="AQ35" s="2">
        <v>2</v>
      </c>
      <c r="AR35" s="2">
        <v>2</v>
      </c>
      <c r="AS35" s="2">
        <v>2</v>
      </c>
      <c r="AT35" s="2">
        <v>1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3</v>
      </c>
      <c r="BA35" s="2">
        <v>3</v>
      </c>
      <c r="BB35" s="2">
        <v>2</v>
      </c>
      <c r="BC35" s="2">
        <v>3</v>
      </c>
      <c r="BD35" s="2">
        <v>2</v>
      </c>
      <c r="BE35" s="2">
        <v>3</v>
      </c>
      <c r="BF35" s="2">
        <v>1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4</v>
      </c>
      <c r="BM35" s="2">
        <v>3</v>
      </c>
      <c r="BN35" s="2">
        <v>1</v>
      </c>
      <c r="BO35" s="2">
        <v>1</v>
      </c>
      <c r="BP35" s="2">
        <v>1</v>
      </c>
      <c r="BQ35" s="2">
        <v>1</v>
      </c>
      <c r="BR35" s="2">
        <v>1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3</v>
      </c>
      <c r="BY35" s="2">
        <v>3</v>
      </c>
      <c r="BZ35" s="2">
        <v>3</v>
      </c>
      <c r="CA35" s="2">
        <v>2</v>
      </c>
      <c r="CB35" s="2">
        <v>1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3</v>
      </c>
      <c r="DI35" s="2">
        <v>0</v>
      </c>
      <c r="DJ35" s="2">
        <v>2</v>
      </c>
      <c r="DK35" s="2">
        <v>2</v>
      </c>
      <c r="DL35" s="2">
        <v>2</v>
      </c>
      <c r="DM35" s="2">
        <v>4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</row>
    <row r="36" spans="1:123">
      <c r="A36" s="2" t="s">
        <v>13</v>
      </c>
      <c r="B36" s="2" t="s">
        <v>199</v>
      </c>
      <c r="C36" s="2">
        <v>1556</v>
      </c>
      <c r="D36" s="2">
        <v>99</v>
      </c>
      <c r="E36" s="2">
        <v>25.93</v>
      </c>
      <c r="F36" s="2">
        <v>15.72</v>
      </c>
      <c r="G36" s="2" t="s">
        <v>160</v>
      </c>
      <c r="H36">
        <f>IF(AND(OR(لوحة_القيادة!$C$4="الكل", A36=لوحة_القيادة!$C$4), IF(لوحة_القيادة!$C$5="الكل", TRUE, INDEX($V36:$AG36, 1, VALUE(لوحة_القيادة!$C$5))&gt;0)), 1, 0)</f>
        <v>0</v>
      </c>
      <c r="I36">
        <f>IF(H36=1, SUM($H$2:H36), "")</f>
        <v>0</v>
      </c>
      <c r="J36" s="2">
        <v>269</v>
      </c>
      <c r="K36" s="2">
        <v>237</v>
      </c>
      <c r="L36" s="2">
        <v>166</v>
      </c>
      <c r="M36" s="2">
        <v>297</v>
      </c>
      <c r="N36" s="2">
        <v>274</v>
      </c>
      <c r="O36" s="2">
        <v>237</v>
      </c>
      <c r="P36" s="2">
        <v>76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18</v>
      </c>
      <c r="W36" s="2">
        <v>18</v>
      </c>
      <c r="X36" s="2">
        <v>10</v>
      </c>
      <c r="Y36" s="2">
        <v>15</v>
      </c>
      <c r="Z36" s="2">
        <v>15</v>
      </c>
      <c r="AA36" s="2">
        <v>17</v>
      </c>
      <c r="AB36" s="2">
        <v>6</v>
      </c>
      <c r="AC36" s="2">
        <v>0</v>
      </c>
      <c r="AD36" s="2">
        <v>0</v>
      </c>
      <c r="AE36" s="2">
        <v>0</v>
      </c>
      <c r="AF36" s="2">
        <v>0</v>
      </c>
      <c r="AG36" s="2">
        <v>21</v>
      </c>
      <c r="AH36" s="2">
        <v>21</v>
      </c>
      <c r="AI36" s="2">
        <v>21</v>
      </c>
      <c r="AJ36" s="2">
        <v>19</v>
      </c>
      <c r="AK36" s="2">
        <v>0</v>
      </c>
      <c r="AL36" s="2">
        <v>0</v>
      </c>
      <c r="AM36" s="2">
        <v>17</v>
      </c>
      <c r="AN36" s="2">
        <v>4</v>
      </c>
      <c r="AO36" s="2">
        <v>4</v>
      </c>
      <c r="AP36" s="2">
        <v>2</v>
      </c>
      <c r="AQ36" s="2">
        <v>3</v>
      </c>
      <c r="AR36" s="2">
        <v>3</v>
      </c>
      <c r="AS36" s="2">
        <v>4</v>
      </c>
      <c r="AT36" s="2">
        <v>1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4</v>
      </c>
      <c r="BA36" s="2">
        <v>4</v>
      </c>
      <c r="BB36" s="2">
        <v>2</v>
      </c>
      <c r="BC36" s="2">
        <v>3</v>
      </c>
      <c r="BD36" s="2">
        <v>3</v>
      </c>
      <c r="BE36" s="2">
        <v>4</v>
      </c>
      <c r="BF36" s="2">
        <v>1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4</v>
      </c>
      <c r="BM36" s="2">
        <v>3</v>
      </c>
      <c r="BN36" s="2">
        <v>4</v>
      </c>
      <c r="BO36" s="2">
        <v>3</v>
      </c>
      <c r="BP36" s="2">
        <v>3</v>
      </c>
      <c r="BQ36" s="2">
        <v>3</v>
      </c>
      <c r="BR36" s="2">
        <v>1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3</v>
      </c>
      <c r="BY36" s="2">
        <v>4</v>
      </c>
      <c r="BZ36" s="2">
        <v>1</v>
      </c>
      <c r="CA36" s="2">
        <v>4</v>
      </c>
      <c r="CB36" s="2">
        <v>2</v>
      </c>
      <c r="CC36" s="2">
        <v>3</v>
      </c>
      <c r="CD36" s="2">
        <v>2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3</v>
      </c>
      <c r="DI36" s="2">
        <v>3</v>
      </c>
      <c r="DJ36" s="2">
        <v>1</v>
      </c>
      <c r="DK36" s="2">
        <v>2</v>
      </c>
      <c r="DL36" s="2">
        <v>4</v>
      </c>
      <c r="DM36" s="2">
        <v>3</v>
      </c>
      <c r="DN36" s="2">
        <v>1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</row>
    <row r="37" spans="1:123">
      <c r="A37" s="2" t="s">
        <v>11</v>
      </c>
      <c r="B37" s="2" t="s">
        <v>200</v>
      </c>
      <c r="C37" s="2">
        <v>1427</v>
      </c>
      <c r="D37" s="2">
        <v>16</v>
      </c>
      <c r="E37" s="2">
        <v>23.78</v>
      </c>
      <c r="F37" s="2">
        <v>89.19</v>
      </c>
      <c r="G37" s="2" t="s">
        <v>201</v>
      </c>
      <c r="H37">
        <f>IF(AND(OR(لوحة_القيادة!$C$4="الكل", A37=لوحة_القيادة!$C$4), IF(لوحة_القيادة!$C$5="الكل", TRUE, INDEX($V37:$AG37, 1, VALUE(لوحة_القيادة!$C$5))&gt;0)), 1, 0)</f>
        <v>0</v>
      </c>
      <c r="I37">
        <f>IF(H37=1, SUM($H$2:H37), "")</f>
        <v>0</v>
      </c>
      <c r="J37" s="2">
        <v>1387</v>
      </c>
      <c r="K37" s="2">
        <v>0</v>
      </c>
      <c r="L37" s="2">
        <v>1</v>
      </c>
      <c r="M37" s="2">
        <v>0</v>
      </c>
      <c r="N37" s="2">
        <v>24</v>
      </c>
      <c r="O37" s="2">
        <v>7</v>
      </c>
      <c r="P37" s="2">
        <v>8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10</v>
      </c>
      <c r="W37" s="2">
        <v>0</v>
      </c>
      <c r="X37" s="2">
        <v>1</v>
      </c>
      <c r="Y37" s="2">
        <v>0</v>
      </c>
      <c r="Z37" s="2">
        <v>2</v>
      </c>
      <c r="AA37" s="2">
        <v>2</v>
      </c>
      <c r="AB37" s="2">
        <v>1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5</v>
      </c>
      <c r="AI37" s="2">
        <v>2</v>
      </c>
      <c r="AJ37" s="2">
        <v>2</v>
      </c>
      <c r="AK37" s="2">
        <v>2</v>
      </c>
      <c r="AL37" s="2">
        <v>3</v>
      </c>
      <c r="AM37" s="2">
        <v>2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3</v>
      </c>
      <c r="BA37" s="2">
        <v>0</v>
      </c>
      <c r="BB37" s="2">
        <v>1</v>
      </c>
      <c r="BC37" s="2">
        <v>0</v>
      </c>
      <c r="BD37" s="2">
        <v>1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1</v>
      </c>
      <c r="BM37" s="2">
        <v>0</v>
      </c>
      <c r="BN37" s="2">
        <v>0</v>
      </c>
      <c r="BO37" s="2">
        <v>0</v>
      </c>
      <c r="BP37" s="2">
        <v>1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1</v>
      </c>
      <c r="BY37" s="2">
        <v>0</v>
      </c>
      <c r="BZ37" s="2">
        <v>0</v>
      </c>
      <c r="CA37" s="2">
        <v>0</v>
      </c>
      <c r="CB37" s="2">
        <v>0</v>
      </c>
      <c r="CC37" s="2">
        <v>1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2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2</v>
      </c>
      <c r="CW37" s="2">
        <v>0</v>
      </c>
      <c r="CX37" s="2">
        <v>0</v>
      </c>
      <c r="CY37" s="2">
        <v>0</v>
      </c>
      <c r="CZ37" s="2">
        <v>0</v>
      </c>
      <c r="DA37" s="2">
        <v>1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1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1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</row>
    <row r="38" spans="1:123">
      <c r="A38" s="2" t="s">
        <v>13</v>
      </c>
      <c r="B38" s="2" t="s">
        <v>202</v>
      </c>
      <c r="C38" s="2">
        <v>1420</v>
      </c>
      <c r="D38" s="2">
        <v>61</v>
      </c>
      <c r="E38" s="2">
        <v>23.67</v>
      </c>
      <c r="F38" s="2">
        <v>23.28</v>
      </c>
      <c r="G38" s="2" t="s">
        <v>160</v>
      </c>
      <c r="H38">
        <f>IF(AND(OR(لوحة_القيادة!$C$4="الكل", A38=لوحة_القيادة!$C$4), IF(لوحة_القيادة!$C$5="الكل", TRUE, INDEX($V38:$AG38, 1, VALUE(لوحة_القيادة!$C$5))&gt;0)), 1, 0)</f>
        <v>0</v>
      </c>
      <c r="I38">
        <f>IF(H38=1, SUM($H$2:H38), "")</f>
        <v>0</v>
      </c>
      <c r="J38" s="2">
        <v>92</v>
      </c>
      <c r="K38" s="2">
        <v>113</v>
      </c>
      <c r="L38" s="2">
        <v>539</v>
      </c>
      <c r="M38" s="2">
        <v>105</v>
      </c>
      <c r="N38" s="2">
        <v>134</v>
      </c>
      <c r="O38" s="2">
        <v>294</v>
      </c>
      <c r="P38" s="2">
        <v>143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9</v>
      </c>
      <c r="W38" s="2">
        <v>8</v>
      </c>
      <c r="X38" s="2">
        <v>13</v>
      </c>
      <c r="Y38" s="2">
        <v>5</v>
      </c>
      <c r="Z38" s="2">
        <v>10</v>
      </c>
      <c r="AA38" s="2">
        <v>11</v>
      </c>
      <c r="AB38" s="2">
        <v>5</v>
      </c>
      <c r="AC38" s="2">
        <v>0</v>
      </c>
      <c r="AD38" s="2">
        <v>0</v>
      </c>
      <c r="AE38" s="2">
        <v>0</v>
      </c>
      <c r="AF38" s="2">
        <v>0</v>
      </c>
      <c r="AG38" s="2">
        <v>10</v>
      </c>
      <c r="AH38" s="2">
        <v>17</v>
      </c>
      <c r="AI38" s="2">
        <v>15</v>
      </c>
      <c r="AJ38" s="2">
        <v>9</v>
      </c>
      <c r="AK38" s="2">
        <v>0</v>
      </c>
      <c r="AL38" s="2">
        <v>0</v>
      </c>
      <c r="AM38" s="2">
        <v>10</v>
      </c>
      <c r="AN38" s="2">
        <v>2</v>
      </c>
      <c r="AO38" s="2">
        <v>1</v>
      </c>
      <c r="AP38" s="2">
        <v>1</v>
      </c>
      <c r="AQ38" s="2">
        <v>0</v>
      </c>
      <c r="AR38" s="2">
        <v>2</v>
      </c>
      <c r="AS38" s="2">
        <v>3</v>
      </c>
      <c r="AT38" s="2">
        <v>1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3</v>
      </c>
      <c r="BA38" s="2">
        <v>3</v>
      </c>
      <c r="BB38" s="2">
        <v>4</v>
      </c>
      <c r="BC38" s="2">
        <v>1</v>
      </c>
      <c r="BD38" s="2">
        <v>2</v>
      </c>
      <c r="BE38" s="2">
        <v>3</v>
      </c>
      <c r="BF38" s="2">
        <v>1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1</v>
      </c>
      <c r="BM38" s="2">
        <v>2</v>
      </c>
      <c r="BN38" s="2">
        <v>4</v>
      </c>
      <c r="BO38" s="2">
        <v>2</v>
      </c>
      <c r="BP38" s="2">
        <v>3</v>
      </c>
      <c r="BQ38" s="2">
        <v>2</v>
      </c>
      <c r="BR38" s="2">
        <v>1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1</v>
      </c>
      <c r="BY38" s="2">
        <v>1</v>
      </c>
      <c r="BZ38" s="2">
        <v>2</v>
      </c>
      <c r="CA38" s="2">
        <v>1</v>
      </c>
      <c r="CB38" s="2">
        <v>1</v>
      </c>
      <c r="CC38" s="2">
        <v>2</v>
      </c>
      <c r="CD38" s="2">
        <v>1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2</v>
      </c>
      <c r="DI38" s="2">
        <v>1</v>
      </c>
      <c r="DJ38" s="2">
        <v>2</v>
      </c>
      <c r="DK38" s="2">
        <v>1</v>
      </c>
      <c r="DL38" s="2">
        <v>2</v>
      </c>
      <c r="DM38" s="2">
        <v>1</v>
      </c>
      <c r="DN38" s="2">
        <v>1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</row>
    <row r="39" spans="1:123">
      <c r="A39" s="2" t="s">
        <v>22</v>
      </c>
      <c r="B39" s="2" t="s">
        <v>203</v>
      </c>
      <c r="C39" s="2">
        <v>1396</v>
      </c>
      <c r="D39" s="2">
        <v>38</v>
      </c>
      <c r="E39" s="2">
        <v>23.27</v>
      </c>
      <c r="F39" s="2">
        <v>36.74</v>
      </c>
      <c r="G39" s="2" t="s">
        <v>160</v>
      </c>
      <c r="H39">
        <f>IF(AND(OR(لوحة_القيادة!$C$4="الكل", A39=لوحة_القيادة!$C$4), IF(لوحة_القيادة!$C$5="الكل", TRUE, INDEX($V39:$AG39, 1, VALUE(لوحة_القيادة!$C$5))&gt;0)), 1, 0)</f>
        <v>0</v>
      </c>
      <c r="I39">
        <f>IF(H39=1, SUM($H$2:H39), "")</f>
        <v>0</v>
      </c>
      <c r="J39" s="2">
        <v>236</v>
      </c>
      <c r="K39" s="2">
        <v>265</v>
      </c>
      <c r="L39" s="2">
        <v>169</v>
      </c>
      <c r="M39" s="2">
        <v>183</v>
      </c>
      <c r="N39" s="2">
        <v>191</v>
      </c>
      <c r="O39" s="2">
        <v>259</v>
      </c>
      <c r="P39" s="2">
        <v>93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5</v>
      </c>
      <c r="W39" s="2">
        <v>10</v>
      </c>
      <c r="X39" s="2">
        <v>4</v>
      </c>
      <c r="Y39" s="2">
        <v>7</v>
      </c>
      <c r="Z39" s="2">
        <v>5</v>
      </c>
      <c r="AA39" s="2">
        <v>4</v>
      </c>
      <c r="AB39" s="2">
        <v>3</v>
      </c>
      <c r="AC39" s="2">
        <v>0</v>
      </c>
      <c r="AD39" s="2">
        <v>0</v>
      </c>
      <c r="AE39" s="2">
        <v>0</v>
      </c>
      <c r="AF39" s="2">
        <v>0</v>
      </c>
      <c r="AG39" s="2">
        <v>6</v>
      </c>
      <c r="AH39" s="2">
        <v>3</v>
      </c>
      <c r="AI39" s="2">
        <v>11</v>
      </c>
      <c r="AJ39" s="2">
        <v>4</v>
      </c>
      <c r="AK39" s="2">
        <v>0</v>
      </c>
      <c r="AL39" s="2">
        <v>0</v>
      </c>
      <c r="AM39" s="2">
        <v>14</v>
      </c>
      <c r="AN39" s="2">
        <v>0</v>
      </c>
      <c r="AO39" s="2">
        <v>2</v>
      </c>
      <c r="AP39" s="2">
        <v>1</v>
      </c>
      <c r="AQ39" s="2">
        <v>0</v>
      </c>
      <c r="AR39" s="2">
        <v>2</v>
      </c>
      <c r="AS39" s="2">
        <v>0</v>
      </c>
      <c r="AT39" s="2">
        <v>1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1</v>
      </c>
      <c r="BB39" s="2">
        <v>0</v>
      </c>
      <c r="BC39" s="2">
        <v>0</v>
      </c>
      <c r="BD39" s="2">
        <v>1</v>
      </c>
      <c r="BE39" s="2">
        <v>0</v>
      </c>
      <c r="BF39" s="2">
        <v>1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1</v>
      </c>
      <c r="BM39" s="2">
        <v>3</v>
      </c>
      <c r="BN39" s="2">
        <v>2</v>
      </c>
      <c r="BO39" s="2">
        <v>3</v>
      </c>
      <c r="BP39" s="2">
        <v>1</v>
      </c>
      <c r="BQ39" s="2">
        <v>1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1</v>
      </c>
      <c r="BZ39" s="2">
        <v>0</v>
      </c>
      <c r="CA39" s="2">
        <v>2</v>
      </c>
      <c r="CB39" s="2">
        <v>0</v>
      </c>
      <c r="CC39" s="2">
        <v>0</v>
      </c>
      <c r="CD39" s="2">
        <v>1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4</v>
      </c>
      <c r="DI39" s="2">
        <v>3</v>
      </c>
      <c r="DJ39" s="2">
        <v>1</v>
      </c>
      <c r="DK39" s="2">
        <v>2</v>
      </c>
      <c r="DL39" s="2">
        <v>1</v>
      </c>
      <c r="DM39" s="2">
        <v>3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</row>
    <row r="40" spans="1:123">
      <c r="A40" s="2" t="s">
        <v>13</v>
      </c>
      <c r="B40" s="2" t="s">
        <v>204</v>
      </c>
      <c r="C40" s="2">
        <v>1269</v>
      </c>
      <c r="D40" s="2">
        <v>94</v>
      </c>
      <c r="E40" s="2">
        <v>21.15</v>
      </c>
      <c r="F40" s="2">
        <v>13.5</v>
      </c>
      <c r="G40" s="2" t="s">
        <v>160</v>
      </c>
      <c r="H40">
        <f>IF(AND(OR(لوحة_القيادة!$C$4="الكل", A40=لوحة_القيادة!$C$4), IF(لوحة_القيادة!$C$5="الكل", TRUE, INDEX($V40:$AG40, 1, VALUE(لوحة_القيادة!$C$5))&gt;0)), 1, 0)</f>
        <v>0</v>
      </c>
      <c r="I40">
        <f>IF(H40=1, SUM($H$2:H40), "")</f>
        <v>0</v>
      </c>
      <c r="J40" s="2">
        <v>222</v>
      </c>
      <c r="K40" s="2">
        <v>127</v>
      </c>
      <c r="L40" s="2">
        <v>127</v>
      </c>
      <c r="M40" s="2">
        <v>181</v>
      </c>
      <c r="N40" s="2">
        <v>219</v>
      </c>
      <c r="O40" s="2">
        <v>329</v>
      </c>
      <c r="P40" s="2">
        <v>64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16</v>
      </c>
      <c r="W40" s="2">
        <v>12</v>
      </c>
      <c r="X40" s="2">
        <v>10</v>
      </c>
      <c r="Y40" s="2">
        <v>14</v>
      </c>
      <c r="Z40" s="2">
        <v>18</v>
      </c>
      <c r="AA40" s="2">
        <v>19</v>
      </c>
      <c r="AB40" s="2">
        <v>5</v>
      </c>
      <c r="AC40" s="2">
        <v>0</v>
      </c>
      <c r="AD40" s="2">
        <v>0</v>
      </c>
      <c r="AE40" s="2">
        <v>0</v>
      </c>
      <c r="AF40" s="2">
        <v>0</v>
      </c>
      <c r="AG40" s="2">
        <v>18</v>
      </c>
      <c r="AH40" s="2">
        <v>23</v>
      </c>
      <c r="AI40" s="2">
        <v>18</v>
      </c>
      <c r="AJ40" s="2">
        <v>19</v>
      </c>
      <c r="AK40" s="2">
        <v>0</v>
      </c>
      <c r="AL40" s="2">
        <v>0</v>
      </c>
      <c r="AM40" s="2">
        <v>16</v>
      </c>
      <c r="AN40" s="2">
        <v>3</v>
      </c>
      <c r="AO40" s="2">
        <v>2</v>
      </c>
      <c r="AP40" s="2">
        <v>1</v>
      </c>
      <c r="AQ40" s="2">
        <v>2</v>
      </c>
      <c r="AR40" s="2">
        <v>5</v>
      </c>
      <c r="AS40" s="2">
        <v>4</v>
      </c>
      <c r="AT40" s="2">
        <v>1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4</v>
      </c>
      <c r="BA40" s="2">
        <v>2</v>
      </c>
      <c r="BB40" s="2">
        <v>4</v>
      </c>
      <c r="BC40" s="2">
        <v>3</v>
      </c>
      <c r="BD40" s="2">
        <v>4</v>
      </c>
      <c r="BE40" s="2">
        <v>5</v>
      </c>
      <c r="BF40" s="2">
        <v>1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4</v>
      </c>
      <c r="BM40" s="2">
        <v>3</v>
      </c>
      <c r="BN40" s="2">
        <v>2</v>
      </c>
      <c r="BO40" s="2">
        <v>3</v>
      </c>
      <c r="BP40" s="2">
        <v>3</v>
      </c>
      <c r="BQ40" s="2">
        <v>3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2</v>
      </c>
      <c r="BY40" s="2">
        <v>3</v>
      </c>
      <c r="BZ40" s="2">
        <v>1</v>
      </c>
      <c r="CA40" s="2">
        <v>4</v>
      </c>
      <c r="CB40" s="2">
        <v>3</v>
      </c>
      <c r="CC40" s="2">
        <v>4</v>
      </c>
      <c r="CD40" s="2">
        <v>2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3</v>
      </c>
      <c r="DI40" s="2">
        <v>2</v>
      </c>
      <c r="DJ40" s="2">
        <v>2</v>
      </c>
      <c r="DK40" s="2">
        <v>2</v>
      </c>
      <c r="DL40" s="2">
        <v>3</v>
      </c>
      <c r="DM40" s="2">
        <v>3</v>
      </c>
      <c r="DN40" s="2">
        <v>1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</row>
    <row r="41" spans="1:123">
      <c r="A41" s="2" t="s">
        <v>16</v>
      </c>
      <c r="B41" s="2" t="s">
        <v>205</v>
      </c>
      <c r="C41" s="2">
        <v>1241</v>
      </c>
      <c r="D41" s="2">
        <v>34</v>
      </c>
      <c r="E41" s="2">
        <v>20.68</v>
      </c>
      <c r="F41" s="2">
        <v>36.5</v>
      </c>
      <c r="G41" s="2" t="s">
        <v>170</v>
      </c>
      <c r="H41">
        <f>IF(AND(OR(لوحة_القيادة!$C$4="الكل", A41=لوحة_القيادة!$C$4), IF(لوحة_القيادة!$C$5="الكل", TRUE, INDEX($V41:$AG41, 1, VALUE(لوحة_القيادة!$C$5))&gt;0)), 1, 0)</f>
        <v>0</v>
      </c>
      <c r="I41">
        <f>IF(H41=1, SUM($H$2:H41), "")</f>
        <v>0</v>
      </c>
      <c r="J41" s="2">
        <v>152</v>
      </c>
      <c r="K41" s="2">
        <v>146</v>
      </c>
      <c r="L41" s="2">
        <v>650</v>
      </c>
      <c r="M41" s="2">
        <v>196</v>
      </c>
      <c r="N41" s="2">
        <v>33</v>
      </c>
      <c r="O41" s="2">
        <v>64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8</v>
      </c>
      <c r="W41" s="2">
        <v>9</v>
      </c>
      <c r="X41" s="2">
        <v>9</v>
      </c>
      <c r="Y41" s="2">
        <v>5</v>
      </c>
      <c r="Z41" s="2">
        <v>2</v>
      </c>
      <c r="AA41" s="2">
        <v>1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9</v>
      </c>
      <c r="AH41" s="2">
        <v>5</v>
      </c>
      <c r="AI41" s="2">
        <v>8</v>
      </c>
      <c r="AJ41" s="2">
        <v>8</v>
      </c>
      <c r="AK41" s="2">
        <v>0</v>
      </c>
      <c r="AL41" s="2">
        <v>0</v>
      </c>
      <c r="AM41" s="2">
        <v>4</v>
      </c>
      <c r="AN41" s="2">
        <v>3</v>
      </c>
      <c r="AO41" s="2">
        <v>2</v>
      </c>
      <c r="AP41" s="2">
        <v>1</v>
      </c>
      <c r="AQ41" s="2">
        <v>0</v>
      </c>
      <c r="AR41" s="2">
        <v>2</v>
      </c>
      <c r="AS41" s="2">
        <v>1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1</v>
      </c>
      <c r="BB41" s="2">
        <v>2</v>
      </c>
      <c r="BC41" s="2">
        <v>2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3</v>
      </c>
      <c r="BM41" s="2">
        <v>2</v>
      </c>
      <c r="BN41" s="2">
        <v>1</v>
      </c>
      <c r="BO41" s="2">
        <v>2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2</v>
      </c>
      <c r="BY41" s="2">
        <v>2</v>
      </c>
      <c r="BZ41" s="2">
        <v>3</v>
      </c>
      <c r="CA41" s="2">
        <v>1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2</v>
      </c>
      <c r="DJ41" s="2">
        <v>2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</row>
    <row r="42" spans="1:123">
      <c r="A42" s="2" t="s">
        <v>1</v>
      </c>
      <c r="B42" s="2" t="s">
        <v>206</v>
      </c>
      <c r="C42" s="2">
        <v>1228</v>
      </c>
      <c r="D42" s="2">
        <v>60</v>
      </c>
      <c r="E42" s="2">
        <v>20.47</v>
      </c>
      <c r="F42" s="2">
        <v>20.47</v>
      </c>
      <c r="G42" s="2" t="s">
        <v>160</v>
      </c>
      <c r="H42">
        <f>IF(AND(OR(لوحة_القيادة!$C$4="الكل", A42=لوحة_القيادة!$C$4), IF(لوحة_القيادة!$C$5="الكل", TRUE, INDEX($V42:$AG42, 1, VALUE(لوحة_القيادة!$C$5))&gt;0)), 1, 0)</f>
        <v>0</v>
      </c>
      <c r="I42">
        <f>IF(H42=1, SUM($H$2:H42), "")</f>
        <v>0</v>
      </c>
      <c r="J42" s="2">
        <v>99</v>
      </c>
      <c r="K42" s="2">
        <v>264</v>
      </c>
      <c r="L42" s="2">
        <v>143</v>
      </c>
      <c r="M42" s="2">
        <v>289</v>
      </c>
      <c r="N42" s="2">
        <v>178</v>
      </c>
      <c r="O42" s="2">
        <v>238</v>
      </c>
      <c r="P42" s="2">
        <v>17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8</v>
      </c>
      <c r="W42" s="2">
        <v>10</v>
      </c>
      <c r="X42" s="2">
        <v>2</v>
      </c>
      <c r="Y42" s="2">
        <v>13</v>
      </c>
      <c r="Z42" s="2">
        <v>12</v>
      </c>
      <c r="AA42" s="2">
        <v>13</v>
      </c>
      <c r="AB42" s="2">
        <v>2</v>
      </c>
      <c r="AC42" s="2">
        <v>0</v>
      </c>
      <c r="AD42" s="2">
        <v>0</v>
      </c>
      <c r="AE42" s="2">
        <v>0</v>
      </c>
      <c r="AF42" s="2">
        <v>0</v>
      </c>
      <c r="AG42" s="2">
        <v>14</v>
      </c>
      <c r="AH42" s="2">
        <v>12</v>
      </c>
      <c r="AI42" s="2">
        <v>13</v>
      </c>
      <c r="AJ42" s="2">
        <v>11</v>
      </c>
      <c r="AK42" s="2">
        <v>0</v>
      </c>
      <c r="AL42" s="2">
        <v>0</v>
      </c>
      <c r="AM42" s="2">
        <v>10</v>
      </c>
      <c r="AN42" s="2">
        <v>2</v>
      </c>
      <c r="AO42" s="2">
        <v>3</v>
      </c>
      <c r="AP42" s="2">
        <v>1</v>
      </c>
      <c r="AQ42" s="2">
        <v>2</v>
      </c>
      <c r="AR42" s="2">
        <v>4</v>
      </c>
      <c r="AS42" s="2">
        <v>2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1</v>
      </c>
      <c r="BA42" s="2">
        <v>3</v>
      </c>
      <c r="BB42" s="2">
        <v>0</v>
      </c>
      <c r="BC42" s="2">
        <v>2</v>
      </c>
      <c r="BD42" s="2">
        <v>2</v>
      </c>
      <c r="BE42" s="2">
        <v>4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2</v>
      </c>
      <c r="BM42" s="2">
        <v>2</v>
      </c>
      <c r="BN42" s="2">
        <v>1</v>
      </c>
      <c r="BO42" s="2">
        <v>3</v>
      </c>
      <c r="BP42" s="2">
        <v>1</v>
      </c>
      <c r="BQ42" s="2">
        <v>4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1</v>
      </c>
      <c r="BY42" s="2">
        <v>1</v>
      </c>
      <c r="BZ42" s="2">
        <v>0</v>
      </c>
      <c r="CA42" s="2">
        <v>3</v>
      </c>
      <c r="CB42" s="2">
        <v>3</v>
      </c>
      <c r="CC42" s="2">
        <v>2</v>
      </c>
      <c r="CD42" s="2">
        <v>1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2</v>
      </c>
      <c r="DI42" s="2">
        <v>1</v>
      </c>
      <c r="DJ42" s="2">
        <v>0</v>
      </c>
      <c r="DK42" s="2">
        <v>3</v>
      </c>
      <c r="DL42" s="2">
        <v>2</v>
      </c>
      <c r="DM42" s="2">
        <v>1</v>
      </c>
      <c r="DN42" s="2">
        <v>1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</row>
    <row r="43" spans="1:123">
      <c r="A43" s="2" t="s">
        <v>10</v>
      </c>
      <c r="B43" s="2" t="s">
        <v>207</v>
      </c>
      <c r="C43" s="2">
        <v>1224</v>
      </c>
      <c r="D43" s="2">
        <v>19</v>
      </c>
      <c r="E43" s="2">
        <v>20.4</v>
      </c>
      <c r="F43" s="2">
        <v>64.42</v>
      </c>
      <c r="G43" s="2" t="s">
        <v>208</v>
      </c>
      <c r="H43">
        <f>IF(AND(OR(لوحة_القيادة!$C$4="الكل", A43=لوحة_القيادة!$C$4), IF(لوحة_القيادة!$C$5="الكل", TRUE, INDEX($V43:$AG43, 1, VALUE(لوحة_القيادة!$C$5))&gt;0)), 1, 0)</f>
        <v>0</v>
      </c>
      <c r="I43">
        <f>IF(H43=1, SUM($H$2:H43), "")</f>
        <v>0</v>
      </c>
      <c r="J43" s="2">
        <v>551</v>
      </c>
      <c r="K43" s="2">
        <v>143</v>
      </c>
      <c r="L43" s="2">
        <v>0</v>
      </c>
      <c r="M43" s="2">
        <v>305</v>
      </c>
      <c r="N43" s="2">
        <v>225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7</v>
      </c>
      <c r="W43" s="2">
        <v>4</v>
      </c>
      <c r="X43" s="2">
        <v>0</v>
      </c>
      <c r="Y43" s="2">
        <v>4</v>
      </c>
      <c r="Z43" s="2">
        <v>4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6</v>
      </c>
      <c r="AH43" s="2">
        <v>4</v>
      </c>
      <c r="AI43" s="2">
        <v>4</v>
      </c>
      <c r="AJ43" s="2">
        <v>3</v>
      </c>
      <c r="AK43" s="2">
        <v>0</v>
      </c>
      <c r="AL43" s="2">
        <v>0</v>
      </c>
      <c r="AM43" s="2">
        <v>2</v>
      </c>
      <c r="AN43" s="2">
        <v>3</v>
      </c>
      <c r="AO43" s="2">
        <v>0</v>
      </c>
      <c r="AP43" s="2">
        <v>0</v>
      </c>
      <c r="AQ43" s="2">
        <v>2</v>
      </c>
      <c r="AR43" s="2">
        <v>1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2</v>
      </c>
      <c r="BA43" s="2">
        <v>1</v>
      </c>
      <c r="BB43" s="2">
        <v>0</v>
      </c>
      <c r="BC43" s="2">
        <v>1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1</v>
      </c>
      <c r="BM43" s="2">
        <v>2</v>
      </c>
      <c r="BN43" s="2">
        <v>0</v>
      </c>
      <c r="BO43" s="2">
        <v>0</v>
      </c>
      <c r="BP43" s="2">
        <v>1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1</v>
      </c>
      <c r="BY43" s="2">
        <v>0</v>
      </c>
      <c r="BZ43" s="2">
        <v>0</v>
      </c>
      <c r="CA43" s="2">
        <v>0</v>
      </c>
      <c r="CB43" s="2">
        <v>2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1</v>
      </c>
      <c r="DJ43" s="2">
        <v>0</v>
      </c>
      <c r="DK43" s="2">
        <v>1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</row>
    <row r="44" spans="1:123">
      <c r="A44" s="2" t="s">
        <v>11</v>
      </c>
      <c r="B44" s="2" t="s">
        <v>209</v>
      </c>
      <c r="C44" s="2">
        <v>1221</v>
      </c>
      <c r="D44" s="2">
        <v>55</v>
      </c>
      <c r="E44" s="2">
        <v>20.35</v>
      </c>
      <c r="F44" s="2">
        <v>22.2</v>
      </c>
      <c r="G44" s="2" t="s">
        <v>210</v>
      </c>
      <c r="H44">
        <f>IF(AND(OR(لوحة_القيادة!$C$4="الكل", A44=لوحة_القيادة!$C$4), IF(لوحة_القيادة!$C$5="الكل", TRUE, INDEX($V44:$AG44, 1, VALUE(لوحة_القيادة!$C$5))&gt;0)), 1, 0)</f>
        <v>0</v>
      </c>
      <c r="I44">
        <f>IF(H44=1, SUM($H$2:H44), "")</f>
        <v>0</v>
      </c>
      <c r="J44" s="2">
        <v>137</v>
      </c>
      <c r="K44" s="2">
        <v>267</v>
      </c>
      <c r="L44" s="2">
        <v>401</v>
      </c>
      <c r="M44" s="2">
        <v>339</v>
      </c>
      <c r="N44" s="2">
        <v>77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13</v>
      </c>
      <c r="W44" s="2">
        <v>15</v>
      </c>
      <c r="X44" s="2">
        <v>9</v>
      </c>
      <c r="Y44" s="2">
        <v>12</v>
      </c>
      <c r="Z44" s="2">
        <v>6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13</v>
      </c>
      <c r="AH44" s="2">
        <v>12</v>
      </c>
      <c r="AI44" s="2">
        <v>12</v>
      </c>
      <c r="AJ44" s="2">
        <v>10</v>
      </c>
      <c r="AK44" s="2">
        <v>0</v>
      </c>
      <c r="AL44" s="2">
        <v>0</v>
      </c>
      <c r="AM44" s="2">
        <v>8</v>
      </c>
      <c r="AN44" s="2">
        <v>3</v>
      </c>
      <c r="AO44" s="2">
        <v>4</v>
      </c>
      <c r="AP44" s="2">
        <v>1</v>
      </c>
      <c r="AQ44" s="2">
        <v>3</v>
      </c>
      <c r="AR44" s="2">
        <v>2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4</v>
      </c>
      <c r="BA44" s="2">
        <v>2</v>
      </c>
      <c r="BB44" s="2">
        <v>2</v>
      </c>
      <c r="BC44" s="2">
        <v>3</v>
      </c>
      <c r="BD44" s="2">
        <v>1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2</v>
      </c>
      <c r="BM44" s="2">
        <v>4</v>
      </c>
      <c r="BN44" s="2">
        <v>2</v>
      </c>
      <c r="BO44" s="2">
        <v>2</v>
      </c>
      <c r="BP44" s="2">
        <v>2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2</v>
      </c>
      <c r="BY44" s="2">
        <v>3</v>
      </c>
      <c r="BZ44" s="2">
        <v>3</v>
      </c>
      <c r="CA44" s="2">
        <v>2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2</v>
      </c>
      <c r="DI44" s="2">
        <v>2</v>
      </c>
      <c r="DJ44" s="2">
        <v>1</v>
      </c>
      <c r="DK44" s="2">
        <v>2</v>
      </c>
      <c r="DL44" s="2">
        <v>1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</row>
    <row r="45" spans="1:123">
      <c r="A45" s="2" t="s">
        <v>8</v>
      </c>
      <c r="B45" s="2" t="s">
        <v>211</v>
      </c>
      <c r="C45" s="2">
        <v>1187</v>
      </c>
      <c r="D45" s="2">
        <v>54</v>
      </c>
      <c r="E45" s="2">
        <v>19.78</v>
      </c>
      <c r="F45" s="2">
        <v>21.98</v>
      </c>
      <c r="G45" s="2" t="s">
        <v>160</v>
      </c>
      <c r="H45">
        <f>IF(AND(OR(لوحة_القيادة!$C$4="الكل", A45=لوحة_القيادة!$C$4), IF(لوحة_القيادة!$C$5="الكل", TRUE, INDEX($V45:$AG45, 1, VALUE(لوحة_القيادة!$C$5))&gt;0)), 1, 0)</f>
        <v>0</v>
      </c>
      <c r="I45">
        <f>IF(H45=1, SUM($H$2:H45), "")</f>
        <v>0</v>
      </c>
      <c r="J45" s="2">
        <v>304</v>
      </c>
      <c r="K45" s="2">
        <v>175</v>
      </c>
      <c r="L45" s="2">
        <v>91</v>
      </c>
      <c r="M45" s="2">
        <v>27</v>
      </c>
      <c r="N45" s="2">
        <v>70</v>
      </c>
      <c r="O45" s="2">
        <v>452</v>
      </c>
      <c r="P45" s="2">
        <v>68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10</v>
      </c>
      <c r="W45" s="2">
        <v>12</v>
      </c>
      <c r="X45" s="2">
        <v>7</v>
      </c>
      <c r="Y45" s="2">
        <v>3</v>
      </c>
      <c r="Z45" s="2">
        <v>5</v>
      </c>
      <c r="AA45" s="2">
        <v>14</v>
      </c>
      <c r="AB45" s="2">
        <v>3</v>
      </c>
      <c r="AC45" s="2">
        <v>0</v>
      </c>
      <c r="AD45" s="2">
        <v>0</v>
      </c>
      <c r="AE45" s="2">
        <v>0</v>
      </c>
      <c r="AF45" s="2">
        <v>0</v>
      </c>
      <c r="AG45" s="2">
        <v>12</v>
      </c>
      <c r="AH45" s="2">
        <v>11</v>
      </c>
      <c r="AI45" s="2">
        <v>11</v>
      </c>
      <c r="AJ45" s="2">
        <v>9</v>
      </c>
      <c r="AK45" s="2">
        <v>0</v>
      </c>
      <c r="AL45" s="2">
        <v>0</v>
      </c>
      <c r="AM45" s="2">
        <v>11</v>
      </c>
      <c r="AN45" s="2">
        <v>3</v>
      </c>
      <c r="AO45" s="2">
        <v>2</v>
      </c>
      <c r="AP45" s="2">
        <v>2</v>
      </c>
      <c r="AQ45" s="2">
        <v>1</v>
      </c>
      <c r="AR45" s="2">
        <v>1</v>
      </c>
      <c r="AS45" s="2">
        <v>3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1</v>
      </c>
      <c r="BA45" s="2">
        <v>3</v>
      </c>
      <c r="BB45" s="2">
        <v>2</v>
      </c>
      <c r="BC45" s="2">
        <v>1</v>
      </c>
      <c r="BD45" s="2">
        <v>0</v>
      </c>
      <c r="BE45" s="2">
        <v>3</v>
      </c>
      <c r="BF45" s="2">
        <v>1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2</v>
      </c>
      <c r="BM45" s="2">
        <v>4</v>
      </c>
      <c r="BN45" s="2">
        <v>1</v>
      </c>
      <c r="BO45" s="2">
        <v>1</v>
      </c>
      <c r="BP45" s="2">
        <v>0</v>
      </c>
      <c r="BQ45" s="2">
        <v>3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2</v>
      </c>
      <c r="BY45" s="2">
        <v>1</v>
      </c>
      <c r="BZ45" s="2">
        <v>1</v>
      </c>
      <c r="CA45" s="2">
        <v>0</v>
      </c>
      <c r="CB45" s="2">
        <v>1</v>
      </c>
      <c r="CC45" s="2">
        <v>3</v>
      </c>
      <c r="CD45" s="2">
        <v>1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2</v>
      </c>
      <c r="DI45" s="2">
        <v>2</v>
      </c>
      <c r="DJ45" s="2">
        <v>1</v>
      </c>
      <c r="DK45" s="2">
        <v>0</v>
      </c>
      <c r="DL45" s="2">
        <v>3</v>
      </c>
      <c r="DM45" s="2">
        <v>2</v>
      </c>
      <c r="DN45" s="2">
        <v>1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</row>
    <row r="46" spans="1:123">
      <c r="A46" s="2" t="s">
        <v>8</v>
      </c>
      <c r="B46" s="2" t="s">
        <v>212</v>
      </c>
      <c r="C46" s="2">
        <v>1167</v>
      </c>
      <c r="D46" s="2">
        <v>3</v>
      </c>
      <c r="E46" s="2">
        <v>19.45</v>
      </c>
      <c r="F46" s="2">
        <v>389</v>
      </c>
      <c r="G46" s="2" t="s">
        <v>29</v>
      </c>
      <c r="H46">
        <f>IF(AND(OR(لوحة_القيادة!$C$4="الكل", A46=لوحة_القيادة!$C$4), IF(لوحة_القيادة!$C$5="الكل", TRUE, INDEX($V46:$AG46, 1, VALUE(لوحة_القيادة!$C$5))&gt;0)), 1, 0)</f>
        <v>0</v>
      </c>
      <c r="I46">
        <f>IF(H46=1, SUM($H$2:H46), "")</f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1167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3</v>
      </c>
      <c r="AC46" s="2">
        <v>0</v>
      </c>
      <c r="AD46" s="2">
        <v>0</v>
      </c>
      <c r="AE46" s="2">
        <v>0</v>
      </c>
      <c r="AF46" s="2">
        <v>0</v>
      </c>
      <c r="AG46" s="2">
        <v>1</v>
      </c>
      <c r="AH46" s="2">
        <v>0</v>
      </c>
      <c r="AI46" s="2">
        <v>1</v>
      </c>
      <c r="AJ46" s="2">
        <v>1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1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1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1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</row>
    <row r="47" spans="1:123">
      <c r="A47" s="2" t="s">
        <v>6</v>
      </c>
      <c r="B47" s="2" t="s">
        <v>213</v>
      </c>
      <c r="C47" s="2">
        <v>1130</v>
      </c>
      <c r="D47" s="2">
        <v>86</v>
      </c>
      <c r="E47" s="2">
        <v>18.83</v>
      </c>
      <c r="F47" s="2">
        <v>13.14</v>
      </c>
      <c r="G47" s="2" t="s">
        <v>160</v>
      </c>
      <c r="H47">
        <f>IF(AND(OR(لوحة_القيادة!$C$4="الكل", A47=لوحة_القيادة!$C$4), IF(لوحة_القيادة!$C$5="الكل", TRUE, INDEX($V47:$AG47, 1, VALUE(لوحة_القيادة!$C$5))&gt;0)), 1, 0)</f>
        <v>0</v>
      </c>
      <c r="I47">
        <f>IF(H47=1, SUM($H$2:H47), "")</f>
        <v>0</v>
      </c>
      <c r="J47" s="2">
        <v>220</v>
      </c>
      <c r="K47" s="2">
        <v>142</v>
      </c>
      <c r="L47" s="2">
        <v>124</v>
      </c>
      <c r="M47" s="2">
        <v>263</v>
      </c>
      <c r="N47" s="2">
        <v>149</v>
      </c>
      <c r="O47" s="2">
        <v>218</v>
      </c>
      <c r="P47" s="2">
        <v>14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16</v>
      </c>
      <c r="W47" s="2">
        <v>11</v>
      </c>
      <c r="X47" s="2">
        <v>7</v>
      </c>
      <c r="Y47" s="2">
        <v>14</v>
      </c>
      <c r="Z47" s="2">
        <v>17</v>
      </c>
      <c r="AA47" s="2">
        <v>18</v>
      </c>
      <c r="AB47" s="2">
        <v>3</v>
      </c>
      <c r="AC47" s="2">
        <v>0</v>
      </c>
      <c r="AD47" s="2">
        <v>0</v>
      </c>
      <c r="AE47" s="2">
        <v>0</v>
      </c>
      <c r="AF47" s="2">
        <v>0</v>
      </c>
      <c r="AG47" s="2">
        <v>21</v>
      </c>
      <c r="AH47" s="2">
        <v>19</v>
      </c>
      <c r="AI47" s="2">
        <v>17</v>
      </c>
      <c r="AJ47" s="2">
        <v>15</v>
      </c>
      <c r="AK47" s="2">
        <v>0</v>
      </c>
      <c r="AL47" s="2">
        <v>0</v>
      </c>
      <c r="AM47" s="2">
        <v>14</v>
      </c>
      <c r="AN47" s="2">
        <v>4</v>
      </c>
      <c r="AO47" s="2">
        <v>2</v>
      </c>
      <c r="AP47" s="2">
        <v>2</v>
      </c>
      <c r="AQ47" s="2">
        <v>3</v>
      </c>
      <c r="AR47" s="2">
        <v>5</v>
      </c>
      <c r="AS47" s="2">
        <v>4</v>
      </c>
      <c r="AT47" s="2">
        <v>1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4</v>
      </c>
      <c r="BA47" s="2">
        <v>2</v>
      </c>
      <c r="BB47" s="2">
        <v>3</v>
      </c>
      <c r="BC47" s="2">
        <v>2</v>
      </c>
      <c r="BD47" s="2">
        <v>4</v>
      </c>
      <c r="BE47" s="2">
        <v>4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4</v>
      </c>
      <c r="BM47" s="2">
        <v>2</v>
      </c>
      <c r="BN47" s="2">
        <v>1</v>
      </c>
      <c r="BO47" s="2">
        <v>4</v>
      </c>
      <c r="BP47" s="2">
        <v>3</v>
      </c>
      <c r="BQ47" s="2">
        <v>3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2</v>
      </c>
      <c r="BY47" s="2">
        <v>4</v>
      </c>
      <c r="BZ47" s="2">
        <v>0</v>
      </c>
      <c r="CA47" s="2">
        <v>2</v>
      </c>
      <c r="CB47" s="2">
        <v>3</v>
      </c>
      <c r="CC47" s="2">
        <v>3</v>
      </c>
      <c r="CD47" s="2">
        <v>1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2</v>
      </c>
      <c r="DI47" s="2">
        <v>1</v>
      </c>
      <c r="DJ47" s="2">
        <v>1</v>
      </c>
      <c r="DK47" s="2">
        <v>3</v>
      </c>
      <c r="DL47" s="2">
        <v>2</v>
      </c>
      <c r="DM47" s="2">
        <v>4</v>
      </c>
      <c r="DN47" s="2">
        <v>1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</row>
    <row r="48" spans="1:123">
      <c r="A48" s="2" t="s">
        <v>21</v>
      </c>
      <c r="B48" s="2" t="s">
        <v>214</v>
      </c>
      <c r="C48" s="2">
        <v>1119</v>
      </c>
      <c r="D48" s="2">
        <v>51</v>
      </c>
      <c r="E48" s="2">
        <v>18.65</v>
      </c>
      <c r="F48" s="2">
        <v>21.94</v>
      </c>
      <c r="G48" s="2" t="s">
        <v>160</v>
      </c>
      <c r="H48">
        <f>IF(AND(OR(لوحة_القيادة!$C$4="الكل", A48=لوحة_القيادة!$C$4), IF(لوحة_القيادة!$C$5="الكل", TRUE, INDEX($V48:$AG48, 1, VALUE(لوحة_القيادة!$C$5))&gt;0)), 1, 0)</f>
        <v>0</v>
      </c>
      <c r="I48">
        <f>IF(H48=1, SUM($H$2:H48), "")</f>
        <v>0</v>
      </c>
      <c r="J48" s="2">
        <v>114</v>
      </c>
      <c r="K48" s="2">
        <v>55</v>
      </c>
      <c r="L48" s="2">
        <v>343</v>
      </c>
      <c r="M48" s="2">
        <v>234</v>
      </c>
      <c r="N48" s="2">
        <v>61</v>
      </c>
      <c r="O48" s="2">
        <v>230</v>
      </c>
      <c r="P48" s="2">
        <v>82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6</v>
      </c>
      <c r="W48" s="2">
        <v>7</v>
      </c>
      <c r="X48" s="2">
        <v>10</v>
      </c>
      <c r="Y48" s="2">
        <v>10</v>
      </c>
      <c r="Z48" s="2">
        <v>6</v>
      </c>
      <c r="AA48" s="2">
        <v>8</v>
      </c>
      <c r="AB48" s="2">
        <v>4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13</v>
      </c>
      <c r="AI48" s="2">
        <v>13</v>
      </c>
      <c r="AJ48" s="2">
        <v>14</v>
      </c>
      <c r="AK48" s="2">
        <v>0</v>
      </c>
      <c r="AL48" s="2">
        <v>0</v>
      </c>
      <c r="AM48" s="2">
        <v>11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2</v>
      </c>
      <c r="BA48" s="2">
        <v>3</v>
      </c>
      <c r="BB48" s="2">
        <v>2</v>
      </c>
      <c r="BC48" s="2">
        <v>2</v>
      </c>
      <c r="BD48" s="2">
        <v>1</v>
      </c>
      <c r="BE48" s="2">
        <v>2</v>
      </c>
      <c r="BF48" s="2">
        <v>1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2</v>
      </c>
      <c r="BM48" s="2">
        <v>2</v>
      </c>
      <c r="BN48" s="2">
        <v>3</v>
      </c>
      <c r="BO48" s="2">
        <v>3</v>
      </c>
      <c r="BP48" s="2">
        <v>1</v>
      </c>
      <c r="BQ48" s="2">
        <v>2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1</v>
      </c>
      <c r="BY48" s="2">
        <v>0</v>
      </c>
      <c r="BZ48" s="2">
        <v>3</v>
      </c>
      <c r="CA48" s="2">
        <v>4</v>
      </c>
      <c r="CB48" s="2">
        <v>2</v>
      </c>
      <c r="CC48" s="2">
        <v>2</v>
      </c>
      <c r="CD48" s="2">
        <v>2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1</v>
      </c>
      <c r="DI48" s="2">
        <v>2</v>
      </c>
      <c r="DJ48" s="2">
        <v>2</v>
      </c>
      <c r="DK48" s="2">
        <v>1</v>
      </c>
      <c r="DL48" s="2">
        <v>2</v>
      </c>
      <c r="DM48" s="2">
        <v>2</v>
      </c>
      <c r="DN48" s="2">
        <v>1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</row>
    <row r="49" spans="1:123">
      <c r="A49" s="2" t="s">
        <v>13</v>
      </c>
      <c r="B49" s="2" t="s">
        <v>215</v>
      </c>
      <c r="C49" s="2">
        <v>1117</v>
      </c>
      <c r="D49" s="2">
        <v>89</v>
      </c>
      <c r="E49" s="2">
        <v>18.62</v>
      </c>
      <c r="F49" s="2">
        <v>12.55</v>
      </c>
      <c r="G49" s="2" t="s">
        <v>160</v>
      </c>
      <c r="H49">
        <f>IF(AND(OR(لوحة_القيادة!$C$4="الكل", A49=لوحة_القيادة!$C$4), IF(لوحة_القيادة!$C$5="الكل", TRUE, INDEX($V49:$AG49, 1, VALUE(لوحة_القيادة!$C$5))&gt;0)), 1, 0)</f>
        <v>0</v>
      </c>
      <c r="I49">
        <f>IF(H49=1, SUM($H$2:H49), "")</f>
        <v>0</v>
      </c>
      <c r="J49" s="2">
        <v>101</v>
      </c>
      <c r="K49" s="2">
        <v>137</v>
      </c>
      <c r="L49" s="2">
        <v>157</v>
      </c>
      <c r="M49" s="2">
        <v>250</v>
      </c>
      <c r="N49" s="2">
        <v>189</v>
      </c>
      <c r="O49" s="2">
        <v>216</v>
      </c>
      <c r="P49" s="2">
        <v>67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12</v>
      </c>
      <c r="W49" s="2">
        <v>12</v>
      </c>
      <c r="X49" s="2">
        <v>11</v>
      </c>
      <c r="Y49" s="2">
        <v>16</v>
      </c>
      <c r="Z49" s="2">
        <v>16</v>
      </c>
      <c r="AA49" s="2">
        <v>17</v>
      </c>
      <c r="AB49" s="2">
        <v>5</v>
      </c>
      <c r="AC49" s="2">
        <v>0</v>
      </c>
      <c r="AD49" s="2">
        <v>0</v>
      </c>
      <c r="AE49" s="2">
        <v>0</v>
      </c>
      <c r="AF49" s="2">
        <v>0</v>
      </c>
      <c r="AG49" s="2">
        <v>16</v>
      </c>
      <c r="AH49" s="2">
        <v>22</v>
      </c>
      <c r="AI49" s="2">
        <v>17</v>
      </c>
      <c r="AJ49" s="2">
        <v>16</v>
      </c>
      <c r="AK49" s="2">
        <v>0</v>
      </c>
      <c r="AL49" s="2">
        <v>0</v>
      </c>
      <c r="AM49" s="2">
        <v>18</v>
      </c>
      <c r="AN49" s="2">
        <v>2</v>
      </c>
      <c r="AO49" s="2">
        <v>0</v>
      </c>
      <c r="AP49" s="2">
        <v>2</v>
      </c>
      <c r="AQ49" s="2">
        <v>3</v>
      </c>
      <c r="AR49" s="2">
        <v>5</v>
      </c>
      <c r="AS49" s="2">
        <v>3</v>
      </c>
      <c r="AT49" s="2">
        <v>1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3</v>
      </c>
      <c r="BA49" s="2">
        <v>3</v>
      </c>
      <c r="BB49" s="2">
        <v>4</v>
      </c>
      <c r="BC49" s="2">
        <v>3</v>
      </c>
      <c r="BD49" s="2">
        <v>3</v>
      </c>
      <c r="BE49" s="2">
        <v>5</v>
      </c>
      <c r="BF49" s="2">
        <v>1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2</v>
      </c>
      <c r="BM49" s="2">
        <v>3</v>
      </c>
      <c r="BN49" s="2">
        <v>2</v>
      </c>
      <c r="BO49" s="2">
        <v>3</v>
      </c>
      <c r="BP49" s="2">
        <v>3</v>
      </c>
      <c r="BQ49" s="2">
        <v>4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1</v>
      </c>
      <c r="BY49" s="2">
        <v>3</v>
      </c>
      <c r="BZ49" s="2">
        <v>1</v>
      </c>
      <c r="CA49" s="2">
        <v>4</v>
      </c>
      <c r="CB49" s="2">
        <v>2</v>
      </c>
      <c r="CC49" s="2">
        <v>3</v>
      </c>
      <c r="CD49" s="2">
        <v>2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4</v>
      </c>
      <c r="DI49" s="2">
        <v>3</v>
      </c>
      <c r="DJ49" s="2">
        <v>2</v>
      </c>
      <c r="DK49" s="2">
        <v>3</v>
      </c>
      <c r="DL49" s="2">
        <v>3</v>
      </c>
      <c r="DM49" s="2">
        <v>2</v>
      </c>
      <c r="DN49" s="2">
        <v>1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</row>
    <row r="50" spans="1:123">
      <c r="A50" s="2" t="s">
        <v>13</v>
      </c>
      <c r="B50" s="2" t="s">
        <v>216</v>
      </c>
      <c r="C50" s="2">
        <v>1115</v>
      </c>
      <c r="D50" s="2">
        <v>52</v>
      </c>
      <c r="E50" s="2">
        <v>18.58</v>
      </c>
      <c r="F50" s="2">
        <v>21.44</v>
      </c>
      <c r="G50" s="2" t="s">
        <v>160</v>
      </c>
      <c r="H50">
        <f>IF(AND(OR(لوحة_القيادة!$C$4="الكل", A50=لوحة_القيادة!$C$4), IF(لوحة_القيادة!$C$5="الكل", TRUE, INDEX($V50:$AG50, 1, VALUE(لوحة_القيادة!$C$5))&gt;0)), 1, 0)</f>
        <v>0</v>
      </c>
      <c r="I50">
        <f>IF(H50=1, SUM($H$2:H50), "")</f>
        <v>0</v>
      </c>
      <c r="J50" s="2">
        <v>240</v>
      </c>
      <c r="K50" s="2">
        <v>99</v>
      </c>
      <c r="L50" s="2">
        <v>213</v>
      </c>
      <c r="M50" s="2">
        <v>183</v>
      </c>
      <c r="N50" s="2">
        <v>111</v>
      </c>
      <c r="O50" s="2">
        <v>221</v>
      </c>
      <c r="P50" s="2">
        <v>48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13</v>
      </c>
      <c r="W50" s="2">
        <v>8</v>
      </c>
      <c r="X50" s="2">
        <v>6</v>
      </c>
      <c r="Y50" s="2">
        <v>7</v>
      </c>
      <c r="Z50" s="2">
        <v>8</v>
      </c>
      <c r="AA50" s="2">
        <v>8</v>
      </c>
      <c r="AB50" s="2">
        <v>2</v>
      </c>
      <c r="AC50" s="2">
        <v>0</v>
      </c>
      <c r="AD50" s="2">
        <v>0</v>
      </c>
      <c r="AE50" s="2">
        <v>0</v>
      </c>
      <c r="AF50" s="2">
        <v>0</v>
      </c>
      <c r="AG50" s="2">
        <v>11</v>
      </c>
      <c r="AH50" s="2">
        <v>11</v>
      </c>
      <c r="AI50" s="2">
        <v>7</v>
      </c>
      <c r="AJ50" s="2">
        <v>12</v>
      </c>
      <c r="AK50" s="2">
        <v>0</v>
      </c>
      <c r="AL50" s="2">
        <v>0</v>
      </c>
      <c r="AM50" s="2">
        <v>11</v>
      </c>
      <c r="AN50" s="2">
        <v>2</v>
      </c>
      <c r="AO50" s="2">
        <v>2</v>
      </c>
      <c r="AP50" s="2">
        <v>2</v>
      </c>
      <c r="AQ50" s="2">
        <v>0</v>
      </c>
      <c r="AR50" s="2">
        <v>3</v>
      </c>
      <c r="AS50" s="2">
        <v>2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3</v>
      </c>
      <c r="BA50" s="2">
        <v>1</v>
      </c>
      <c r="BB50" s="2">
        <v>2</v>
      </c>
      <c r="BC50" s="2">
        <v>2</v>
      </c>
      <c r="BD50" s="2">
        <v>3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3</v>
      </c>
      <c r="BM50" s="2">
        <v>2</v>
      </c>
      <c r="BN50" s="2">
        <v>0</v>
      </c>
      <c r="BO50" s="2">
        <v>2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3</v>
      </c>
      <c r="BY50" s="2">
        <v>2</v>
      </c>
      <c r="BZ50" s="2">
        <v>0</v>
      </c>
      <c r="CA50" s="2">
        <v>2</v>
      </c>
      <c r="CB50" s="2">
        <v>1</v>
      </c>
      <c r="CC50" s="2">
        <v>3</v>
      </c>
      <c r="CD50" s="2">
        <v>1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2</v>
      </c>
      <c r="DI50" s="2">
        <v>1</v>
      </c>
      <c r="DJ50" s="2">
        <v>2</v>
      </c>
      <c r="DK50" s="2">
        <v>1</v>
      </c>
      <c r="DL50" s="2">
        <v>1</v>
      </c>
      <c r="DM50" s="2">
        <v>3</v>
      </c>
      <c r="DN50" s="2">
        <v>1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</row>
    <row r="51" spans="1:123">
      <c r="A51" s="2" t="s">
        <v>11</v>
      </c>
      <c r="B51" s="2" t="s">
        <v>217</v>
      </c>
      <c r="C51" s="2">
        <v>1111</v>
      </c>
      <c r="D51" s="2">
        <v>28</v>
      </c>
      <c r="E51" s="2">
        <v>18.52</v>
      </c>
      <c r="F51" s="2">
        <v>39.68</v>
      </c>
      <c r="G51" s="2" t="s">
        <v>170</v>
      </c>
      <c r="H51">
        <f>IF(AND(OR(لوحة_القيادة!$C$4="الكل", A51=لوحة_القيادة!$C$4), IF(لوحة_القيادة!$C$5="الكل", TRUE, INDEX($V51:$AG51, 1, VALUE(لوحة_القيادة!$C$5))&gt;0)), 1, 0)</f>
        <v>0</v>
      </c>
      <c r="I51">
        <f>IF(H51=1, SUM($H$2:H51), "")</f>
        <v>0</v>
      </c>
      <c r="J51" s="2">
        <v>160</v>
      </c>
      <c r="K51" s="2">
        <v>196</v>
      </c>
      <c r="L51" s="2">
        <v>241</v>
      </c>
      <c r="M51" s="2">
        <v>65</v>
      </c>
      <c r="N51" s="2">
        <v>298</v>
      </c>
      <c r="O51" s="2">
        <v>151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2</v>
      </c>
      <c r="W51" s="2">
        <v>7</v>
      </c>
      <c r="X51" s="2">
        <v>5</v>
      </c>
      <c r="Y51" s="2">
        <v>2</v>
      </c>
      <c r="Z51" s="2">
        <v>8</v>
      </c>
      <c r="AA51" s="2">
        <v>4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4</v>
      </c>
      <c r="AH51" s="2">
        <v>6</v>
      </c>
      <c r="AI51" s="2">
        <v>5</v>
      </c>
      <c r="AJ51" s="2">
        <v>7</v>
      </c>
      <c r="AK51" s="2">
        <v>0</v>
      </c>
      <c r="AL51" s="2">
        <v>0</v>
      </c>
      <c r="AM51" s="2">
        <v>6</v>
      </c>
      <c r="AN51" s="2">
        <v>0</v>
      </c>
      <c r="AO51" s="2">
        <v>1</v>
      </c>
      <c r="AP51" s="2">
        <v>0</v>
      </c>
      <c r="AQ51" s="2">
        <v>0</v>
      </c>
      <c r="AR51" s="2">
        <v>2</v>
      </c>
      <c r="AS51" s="2">
        <v>1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1</v>
      </c>
      <c r="BB51" s="2">
        <v>1</v>
      </c>
      <c r="BC51" s="2">
        <v>1</v>
      </c>
      <c r="BD51" s="2">
        <v>2</v>
      </c>
      <c r="BE51" s="2">
        <v>1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1</v>
      </c>
      <c r="BN51" s="2">
        <v>2</v>
      </c>
      <c r="BO51" s="2">
        <v>1</v>
      </c>
      <c r="BP51" s="2">
        <v>1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1</v>
      </c>
      <c r="BY51" s="2">
        <v>2</v>
      </c>
      <c r="BZ51" s="2">
        <v>1</v>
      </c>
      <c r="CA51" s="2">
        <v>0</v>
      </c>
      <c r="CB51" s="2">
        <v>2</v>
      </c>
      <c r="CC51" s="2">
        <v>1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1</v>
      </c>
      <c r="DI51" s="2">
        <v>2</v>
      </c>
      <c r="DJ51" s="2">
        <v>1</v>
      </c>
      <c r="DK51" s="2">
        <v>0</v>
      </c>
      <c r="DL51" s="2">
        <v>1</v>
      </c>
      <c r="DM51" s="2">
        <v>1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</row>
    <row r="52" spans="1:123">
      <c r="A52" s="2" t="s">
        <v>18</v>
      </c>
      <c r="B52" s="2" t="s">
        <v>218</v>
      </c>
      <c r="C52" s="2">
        <v>1104</v>
      </c>
      <c r="D52" s="2">
        <v>5</v>
      </c>
      <c r="E52" s="2">
        <v>18.4</v>
      </c>
      <c r="F52" s="2">
        <v>220.8</v>
      </c>
      <c r="G52" s="2" t="s">
        <v>219</v>
      </c>
      <c r="H52">
        <f>IF(AND(OR(لوحة_القيادة!$C$4="الكل", A52=لوحة_القيادة!$C$4), IF(لوحة_القيادة!$C$5="الكل", TRUE, INDEX($V52:$AG52, 1, VALUE(لوحة_القيادة!$C$5))&gt;0)), 1, 0)</f>
        <v>0</v>
      </c>
      <c r="I52">
        <f>IF(H52=1, SUM($H$2:H52), "")</f>
        <v>0</v>
      </c>
      <c r="J52" s="2">
        <v>0</v>
      </c>
      <c r="K52" s="2">
        <v>49</v>
      </c>
      <c r="L52" s="2">
        <v>596</v>
      </c>
      <c r="M52" s="2">
        <v>0</v>
      </c>
      <c r="N52" s="2">
        <v>0</v>
      </c>
      <c r="O52" s="2">
        <v>453</v>
      </c>
      <c r="P52" s="2">
        <v>6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1</v>
      </c>
      <c r="X52" s="2">
        <v>2</v>
      </c>
      <c r="Y52" s="2">
        <v>0</v>
      </c>
      <c r="Z52" s="2">
        <v>0</v>
      </c>
      <c r="AA52" s="2">
        <v>1</v>
      </c>
      <c r="AB52" s="2">
        <v>1</v>
      </c>
      <c r="AC52" s="2">
        <v>0</v>
      </c>
      <c r="AD52" s="2">
        <v>0</v>
      </c>
      <c r="AE52" s="2">
        <v>0</v>
      </c>
      <c r="AF52" s="2">
        <v>0</v>
      </c>
      <c r="AG52" s="2">
        <v>2</v>
      </c>
      <c r="AH52" s="2">
        <v>2</v>
      </c>
      <c r="AI52" s="2">
        <v>0</v>
      </c>
      <c r="AJ52" s="2">
        <v>0</v>
      </c>
      <c r="AK52" s="2">
        <v>0</v>
      </c>
      <c r="AL52" s="2">
        <v>0</v>
      </c>
      <c r="AM52" s="2">
        <v>1</v>
      </c>
      <c r="AN52" s="2">
        <v>0</v>
      </c>
      <c r="AO52" s="2">
        <v>0</v>
      </c>
      <c r="AP52" s="2">
        <v>1</v>
      </c>
      <c r="AQ52" s="2">
        <v>0</v>
      </c>
      <c r="AR52" s="2">
        <v>0</v>
      </c>
      <c r="AS52" s="2">
        <v>0</v>
      </c>
      <c r="AT52" s="2">
        <v>1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1</v>
      </c>
      <c r="BC52" s="2">
        <v>0</v>
      </c>
      <c r="BD52" s="2">
        <v>0</v>
      </c>
      <c r="BE52" s="2">
        <v>1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1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</row>
    <row r="53" spans="1:123">
      <c r="A53" s="2" t="s">
        <v>16</v>
      </c>
      <c r="B53" s="2" t="s">
        <v>220</v>
      </c>
      <c r="C53" s="2">
        <v>1088</v>
      </c>
      <c r="D53" s="2">
        <v>30</v>
      </c>
      <c r="E53" s="2">
        <v>18.13</v>
      </c>
      <c r="F53" s="2">
        <v>36.27</v>
      </c>
      <c r="G53" s="2" t="s">
        <v>160</v>
      </c>
      <c r="H53">
        <f>IF(AND(OR(لوحة_القيادة!$C$4="الكل", A53=لوحة_القيادة!$C$4), IF(لوحة_القيادة!$C$5="الكل", TRUE, INDEX($V53:$AG53, 1, VALUE(لوحة_القيادة!$C$5))&gt;0)), 1, 0)</f>
        <v>0</v>
      </c>
      <c r="I53">
        <f>IF(H53=1, SUM($H$2:H53), "")</f>
        <v>0</v>
      </c>
      <c r="J53" s="2">
        <v>76</v>
      </c>
      <c r="K53" s="2">
        <v>85</v>
      </c>
      <c r="L53" s="2">
        <v>216</v>
      </c>
      <c r="M53" s="2">
        <v>346</v>
      </c>
      <c r="N53" s="2">
        <v>98</v>
      </c>
      <c r="O53" s="2">
        <v>112</v>
      </c>
      <c r="P53" s="2">
        <v>155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3</v>
      </c>
      <c r="W53" s="2">
        <v>5</v>
      </c>
      <c r="X53" s="2">
        <v>6</v>
      </c>
      <c r="Y53" s="2">
        <v>7</v>
      </c>
      <c r="Z53" s="2">
        <v>3</v>
      </c>
      <c r="AA53" s="2">
        <v>3</v>
      </c>
      <c r="AB53" s="2">
        <v>3</v>
      </c>
      <c r="AC53" s="2">
        <v>0</v>
      </c>
      <c r="AD53" s="2">
        <v>0</v>
      </c>
      <c r="AE53" s="2">
        <v>0</v>
      </c>
      <c r="AF53" s="2">
        <v>0</v>
      </c>
      <c r="AG53" s="2">
        <v>5</v>
      </c>
      <c r="AH53" s="2">
        <v>8</v>
      </c>
      <c r="AI53" s="2">
        <v>5</v>
      </c>
      <c r="AJ53" s="2">
        <v>5</v>
      </c>
      <c r="AK53" s="2">
        <v>0</v>
      </c>
      <c r="AL53" s="2">
        <v>0</v>
      </c>
      <c r="AM53" s="2">
        <v>7</v>
      </c>
      <c r="AN53" s="2">
        <v>0</v>
      </c>
      <c r="AO53" s="2">
        <v>1</v>
      </c>
      <c r="AP53" s="2">
        <v>0</v>
      </c>
      <c r="AQ53" s="2">
        <v>1</v>
      </c>
      <c r="AR53" s="2">
        <v>2</v>
      </c>
      <c r="AS53" s="2">
        <v>0</v>
      </c>
      <c r="AT53" s="2">
        <v>1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1</v>
      </c>
      <c r="BA53" s="2">
        <v>2</v>
      </c>
      <c r="BB53" s="2">
        <v>2</v>
      </c>
      <c r="BC53" s="2">
        <v>2</v>
      </c>
      <c r="BD53" s="2">
        <v>1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1</v>
      </c>
      <c r="BM53" s="2">
        <v>0</v>
      </c>
      <c r="BN53" s="2">
        <v>2</v>
      </c>
      <c r="BO53" s="2">
        <v>1</v>
      </c>
      <c r="BP53" s="2">
        <v>0</v>
      </c>
      <c r="BQ53" s="2">
        <v>0</v>
      </c>
      <c r="BR53" s="2">
        <v>1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1</v>
      </c>
      <c r="CA53" s="2">
        <v>2</v>
      </c>
      <c r="CB53" s="2">
        <v>0</v>
      </c>
      <c r="CC53" s="2">
        <v>2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1</v>
      </c>
      <c r="DI53" s="2">
        <v>2</v>
      </c>
      <c r="DJ53" s="2">
        <v>1</v>
      </c>
      <c r="DK53" s="2">
        <v>1</v>
      </c>
      <c r="DL53" s="2">
        <v>0</v>
      </c>
      <c r="DM53" s="2">
        <v>1</v>
      </c>
      <c r="DN53" s="2">
        <v>1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</row>
    <row r="54" spans="1:123">
      <c r="A54" s="2" t="s">
        <v>7</v>
      </c>
      <c r="B54" s="2" t="s">
        <v>221</v>
      </c>
      <c r="C54" s="2">
        <v>1081</v>
      </c>
      <c r="D54" s="2">
        <v>43</v>
      </c>
      <c r="E54" s="2">
        <v>18.02</v>
      </c>
      <c r="F54" s="2">
        <v>25.14</v>
      </c>
      <c r="G54" s="2" t="s">
        <v>160</v>
      </c>
      <c r="H54">
        <f>IF(AND(OR(لوحة_القيادة!$C$4="الكل", A54=لوحة_القيادة!$C$4), IF(لوحة_القيادة!$C$5="الكل", TRUE, INDEX($V54:$AG54, 1, VALUE(لوحة_القيادة!$C$5))&gt;0)), 1, 0)</f>
        <v>0</v>
      </c>
      <c r="I54">
        <f>IF(H54=1, SUM($H$2:H54), "")</f>
        <v>0</v>
      </c>
      <c r="J54" s="2">
        <v>44</v>
      </c>
      <c r="K54" s="2">
        <v>39</v>
      </c>
      <c r="L54" s="2">
        <v>171</v>
      </c>
      <c r="M54" s="2">
        <v>57</v>
      </c>
      <c r="N54" s="2">
        <v>102</v>
      </c>
      <c r="O54" s="2">
        <v>219</v>
      </c>
      <c r="P54" s="2">
        <v>449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5</v>
      </c>
      <c r="W54" s="2">
        <v>7</v>
      </c>
      <c r="X54" s="2">
        <v>7</v>
      </c>
      <c r="Y54" s="2">
        <v>6</v>
      </c>
      <c r="Z54" s="2">
        <v>8</v>
      </c>
      <c r="AA54" s="2">
        <v>7</v>
      </c>
      <c r="AB54" s="2">
        <v>3</v>
      </c>
      <c r="AC54" s="2">
        <v>0</v>
      </c>
      <c r="AD54" s="2">
        <v>0</v>
      </c>
      <c r="AE54" s="2">
        <v>0</v>
      </c>
      <c r="AF54" s="2">
        <v>0</v>
      </c>
      <c r="AG54" s="2">
        <v>8</v>
      </c>
      <c r="AH54" s="2">
        <v>10</v>
      </c>
      <c r="AI54" s="2">
        <v>8</v>
      </c>
      <c r="AJ54" s="2">
        <v>10</v>
      </c>
      <c r="AK54" s="2">
        <v>0</v>
      </c>
      <c r="AL54" s="2">
        <v>0</v>
      </c>
      <c r="AM54" s="2">
        <v>7</v>
      </c>
      <c r="AN54" s="2">
        <v>2</v>
      </c>
      <c r="AO54" s="2">
        <v>1</v>
      </c>
      <c r="AP54" s="2">
        <v>1</v>
      </c>
      <c r="AQ54" s="2">
        <v>0</v>
      </c>
      <c r="AR54" s="2">
        <v>2</v>
      </c>
      <c r="AS54" s="2">
        <v>1</v>
      </c>
      <c r="AT54" s="2">
        <v>1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1</v>
      </c>
      <c r="BA54" s="2">
        <v>1</v>
      </c>
      <c r="BB54" s="2">
        <v>1</v>
      </c>
      <c r="BC54" s="2">
        <v>2</v>
      </c>
      <c r="BD54" s="2">
        <v>2</v>
      </c>
      <c r="BE54" s="2">
        <v>2</v>
      </c>
      <c r="BF54" s="2">
        <v>1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1</v>
      </c>
      <c r="BM54" s="2">
        <v>2</v>
      </c>
      <c r="BN54" s="2">
        <v>2</v>
      </c>
      <c r="BO54" s="2">
        <v>0</v>
      </c>
      <c r="BP54" s="2">
        <v>1</v>
      </c>
      <c r="BQ54" s="2">
        <v>2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2</v>
      </c>
      <c r="BZ54" s="2">
        <v>2</v>
      </c>
      <c r="CA54" s="2">
        <v>2</v>
      </c>
      <c r="CB54" s="2">
        <v>3</v>
      </c>
      <c r="CC54" s="2">
        <v>0</v>
      </c>
      <c r="CD54" s="2">
        <v>1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1</v>
      </c>
      <c r="DI54" s="2">
        <v>1</v>
      </c>
      <c r="DJ54" s="2">
        <v>1</v>
      </c>
      <c r="DK54" s="2">
        <v>2</v>
      </c>
      <c r="DL54" s="2">
        <v>0</v>
      </c>
      <c r="DM54" s="2">
        <v>2</v>
      </c>
      <c r="DN54" s="2">
        <v>0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</row>
    <row r="55" spans="1:123">
      <c r="A55" s="2" t="s">
        <v>21</v>
      </c>
      <c r="B55" s="2" t="s">
        <v>222</v>
      </c>
      <c r="C55" s="2">
        <v>1078</v>
      </c>
      <c r="D55" s="2">
        <v>62</v>
      </c>
      <c r="E55" s="2">
        <v>17.97</v>
      </c>
      <c r="F55" s="2">
        <v>17.39</v>
      </c>
      <c r="G55" s="2" t="s">
        <v>160</v>
      </c>
      <c r="H55">
        <f>IF(AND(OR(لوحة_القيادة!$C$4="الكل", A55=لوحة_القيادة!$C$4), IF(لوحة_القيادة!$C$5="الكل", TRUE, INDEX($V55:$AG55, 1, VALUE(لوحة_القيادة!$C$5))&gt;0)), 1, 0)</f>
        <v>0</v>
      </c>
      <c r="I55">
        <f>IF(H55=1, SUM($H$2:H55), "")</f>
        <v>0</v>
      </c>
      <c r="J55" s="2">
        <v>46</v>
      </c>
      <c r="K55" s="2">
        <v>88</v>
      </c>
      <c r="L55" s="2">
        <v>175</v>
      </c>
      <c r="M55" s="2">
        <v>239</v>
      </c>
      <c r="N55" s="2">
        <v>110</v>
      </c>
      <c r="O55" s="2">
        <v>319</v>
      </c>
      <c r="P55" s="2">
        <v>101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5</v>
      </c>
      <c r="W55" s="2">
        <v>9</v>
      </c>
      <c r="X55" s="2">
        <v>8</v>
      </c>
      <c r="Y55" s="2">
        <v>15</v>
      </c>
      <c r="Z55" s="2">
        <v>13</v>
      </c>
      <c r="AA55" s="2">
        <v>9</v>
      </c>
      <c r="AB55" s="2">
        <v>3</v>
      </c>
      <c r="AC55" s="2">
        <v>0</v>
      </c>
      <c r="AD55" s="2">
        <v>0</v>
      </c>
      <c r="AE55" s="2">
        <v>0</v>
      </c>
      <c r="AF55" s="2">
        <v>0</v>
      </c>
      <c r="AG55" s="2">
        <v>10</v>
      </c>
      <c r="AH55" s="2">
        <v>16</v>
      </c>
      <c r="AI55" s="2">
        <v>13</v>
      </c>
      <c r="AJ55" s="2">
        <v>13</v>
      </c>
      <c r="AK55" s="2">
        <v>0</v>
      </c>
      <c r="AL55" s="2">
        <v>0</v>
      </c>
      <c r="AM55" s="2">
        <v>10</v>
      </c>
      <c r="AN55" s="2">
        <v>1</v>
      </c>
      <c r="AO55" s="2">
        <v>3</v>
      </c>
      <c r="AP55" s="2">
        <v>1</v>
      </c>
      <c r="AQ55" s="2">
        <v>3</v>
      </c>
      <c r="AR55" s="2">
        <v>2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2</v>
      </c>
      <c r="BA55" s="2">
        <v>1</v>
      </c>
      <c r="BB55" s="2">
        <v>1</v>
      </c>
      <c r="BC55" s="2">
        <v>4</v>
      </c>
      <c r="BD55" s="2">
        <v>4</v>
      </c>
      <c r="BE55" s="2">
        <v>3</v>
      </c>
      <c r="BF55" s="2">
        <v>1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2</v>
      </c>
      <c r="BN55" s="2">
        <v>2</v>
      </c>
      <c r="BO55" s="2">
        <v>3</v>
      </c>
      <c r="BP55" s="2">
        <v>3</v>
      </c>
      <c r="BQ55" s="2">
        <v>2</v>
      </c>
      <c r="BR55" s="2">
        <v>1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1</v>
      </c>
      <c r="BY55" s="2">
        <v>2</v>
      </c>
      <c r="BZ55" s="2">
        <v>3</v>
      </c>
      <c r="CA55" s="2">
        <v>3</v>
      </c>
      <c r="CB55" s="2">
        <v>2</v>
      </c>
      <c r="CC55" s="2">
        <v>1</v>
      </c>
      <c r="CD55" s="2">
        <v>1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1</v>
      </c>
      <c r="DI55" s="2">
        <v>1</v>
      </c>
      <c r="DJ55" s="2">
        <v>1</v>
      </c>
      <c r="DK55" s="2">
        <v>2</v>
      </c>
      <c r="DL55" s="2">
        <v>2</v>
      </c>
      <c r="DM55" s="2">
        <v>3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</row>
    <row r="56" spans="1:123">
      <c r="A56" s="2" t="s">
        <v>22</v>
      </c>
      <c r="B56" s="2" t="s">
        <v>223</v>
      </c>
      <c r="C56" s="2">
        <v>1029</v>
      </c>
      <c r="D56" s="2">
        <v>70</v>
      </c>
      <c r="E56" s="2">
        <v>17.15</v>
      </c>
      <c r="F56" s="2">
        <v>14.7</v>
      </c>
      <c r="G56" s="2" t="s">
        <v>160</v>
      </c>
      <c r="H56">
        <f>IF(AND(OR(لوحة_القيادة!$C$4="الكل", A56=لوحة_القيادة!$C$4), IF(لوحة_القيادة!$C$5="الكل", TRUE, INDEX($V56:$AG56, 1, VALUE(لوحة_القيادة!$C$5))&gt;0)), 1, 0)</f>
        <v>0</v>
      </c>
      <c r="I56">
        <f>IF(H56=1, SUM($H$2:H56), "")</f>
        <v>0</v>
      </c>
      <c r="J56" s="2">
        <v>309</v>
      </c>
      <c r="K56" s="2">
        <v>101</v>
      </c>
      <c r="L56" s="2">
        <v>342</v>
      </c>
      <c r="M56" s="2">
        <v>77</v>
      </c>
      <c r="N56" s="2">
        <v>71</v>
      </c>
      <c r="O56" s="2">
        <v>72</v>
      </c>
      <c r="P56" s="2">
        <v>57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16</v>
      </c>
      <c r="W56" s="2">
        <v>11</v>
      </c>
      <c r="X56" s="2">
        <v>11</v>
      </c>
      <c r="Y56" s="2">
        <v>10</v>
      </c>
      <c r="Z56" s="2">
        <v>7</v>
      </c>
      <c r="AA56" s="2">
        <v>9</v>
      </c>
      <c r="AB56" s="2">
        <v>6</v>
      </c>
      <c r="AC56" s="2">
        <v>0</v>
      </c>
      <c r="AD56" s="2">
        <v>0</v>
      </c>
      <c r="AE56" s="2">
        <v>0</v>
      </c>
      <c r="AF56" s="2">
        <v>0</v>
      </c>
      <c r="AG56" s="2">
        <v>15</v>
      </c>
      <c r="AH56" s="2">
        <v>12</v>
      </c>
      <c r="AI56" s="2">
        <v>15</v>
      </c>
      <c r="AJ56" s="2">
        <v>15</v>
      </c>
      <c r="AK56" s="2">
        <v>0</v>
      </c>
      <c r="AL56" s="2">
        <v>0</v>
      </c>
      <c r="AM56" s="2">
        <v>13</v>
      </c>
      <c r="AN56" s="2">
        <v>3</v>
      </c>
      <c r="AO56" s="2">
        <v>3</v>
      </c>
      <c r="AP56" s="2">
        <v>1</v>
      </c>
      <c r="AQ56" s="2">
        <v>2</v>
      </c>
      <c r="AR56" s="2">
        <v>3</v>
      </c>
      <c r="AS56" s="2">
        <v>2</v>
      </c>
      <c r="AT56" s="2">
        <v>1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3</v>
      </c>
      <c r="BA56" s="2">
        <v>2</v>
      </c>
      <c r="BB56" s="2">
        <v>3</v>
      </c>
      <c r="BC56" s="2">
        <v>2</v>
      </c>
      <c r="BD56" s="2">
        <v>0</v>
      </c>
      <c r="BE56" s="2">
        <v>1</v>
      </c>
      <c r="BF56" s="2">
        <v>1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4</v>
      </c>
      <c r="BM56" s="2">
        <v>2</v>
      </c>
      <c r="BN56" s="2">
        <v>3</v>
      </c>
      <c r="BO56" s="2">
        <v>2</v>
      </c>
      <c r="BP56" s="2">
        <v>1</v>
      </c>
      <c r="BQ56" s="2">
        <v>2</v>
      </c>
      <c r="BR56" s="2">
        <v>1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3</v>
      </c>
      <c r="BY56" s="2">
        <v>2</v>
      </c>
      <c r="BZ56" s="2">
        <v>3</v>
      </c>
      <c r="CA56" s="2">
        <v>2</v>
      </c>
      <c r="CB56" s="2">
        <v>2</v>
      </c>
      <c r="CC56" s="2">
        <v>1</v>
      </c>
      <c r="CD56" s="2">
        <v>2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3</v>
      </c>
      <c r="DI56" s="2">
        <v>2</v>
      </c>
      <c r="DJ56" s="2">
        <v>1</v>
      </c>
      <c r="DK56" s="2">
        <v>2</v>
      </c>
      <c r="DL56" s="2">
        <v>1</v>
      </c>
      <c r="DM56" s="2">
        <v>3</v>
      </c>
      <c r="DN56" s="2">
        <v>1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</row>
    <row r="57" spans="1:123">
      <c r="A57" s="2" t="s">
        <v>11</v>
      </c>
      <c r="B57" s="2" t="s">
        <v>224</v>
      </c>
      <c r="C57" s="2">
        <v>1028</v>
      </c>
      <c r="D57" s="2">
        <v>35</v>
      </c>
      <c r="E57" s="2">
        <v>17.13</v>
      </c>
      <c r="F57" s="2">
        <v>29.37</v>
      </c>
      <c r="G57" s="2" t="s">
        <v>170</v>
      </c>
      <c r="H57">
        <f>IF(AND(OR(لوحة_القيادة!$C$4="الكل", A57=لوحة_القيادة!$C$4), IF(لوحة_القيادة!$C$5="الكل", TRUE, INDEX($V57:$AG57, 1, VALUE(لوحة_القيادة!$C$5))&gt;0)), 1, 0)</f>
        <v>0</v>
      </c>
      <c r="I57">
        <f>IF(H57=1, SUM($H$2:H57), "")</f>
        <v>0</v>
      </c>
      <c r="J57" s="2">
        <v>99</v>
      </c>
      <c r="K57" s="2">
        <v>115</v>
      </c>
      <c r="L57" s="2">
        <v>255</v>
      </c>
      <c r="M57" s="2">
        <v>116</v>
      </c>
      <c r="N57" s="2">
        <v>377</v>
      </c>
      <c r="O57" s="2">
        <v>66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3</v>
      </c>
      <c r="W57" s="2">
        <v>6</v>
      </c>
      <c r="X57" s="2">
        <v>9</v>
      </c>
      <c r="Y57" s="2">
        <v>8</v>
      </c>
      <c r="Z57" s="2">
        <v>4</v>
      </c>
      <c r="AA57" s="2">
        <v>5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3</v>
      </c>
      <c r="AH57" s="2">
        <v>14</v>
      </c>
      <c r="AI57" s="2">
        <v>8</v>
      </c>
      <c r="AJ57" s="2">
        <v>7</v>
      </c>
      <c r="AK57" s="2">
        <v>0</v>
      </c>
      <c r="AL57" s="2">
        <v>0</v>
      </c>
      <c r="AM57" s="2">
        <v>3</v>
      </c>
      <c r="AN57" s="2">
        <v>0</v>
      </c>
      <c r="AO57" s="2">
        <v>1</v>
      </c>
      <c r="AP57" s="2">
        <v>1</v>
      </c>
      <c r="AQ57" s="2">
        <v>1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2</v>
      </c>
      <c r="BA57" s="2">
        <v>3</v>
      </c>
      <c r="BB57" s="2">
        <v>3</v>
      </c>
      <c r="BC57" s="2">
        <v>1</v>
      </c>
      <c r="BD57" s="2">
        <v>2</v>
      </c>
      <c r="BE57" s="2">
        <v>3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1</v>
      </c>
      <c r="BM57" s="2">
        <v>2</v>
      </c>
      <c r="BN57" s="2">
        <v>2</v>
      </c>
      <c r="BO57" s="2">
        <v>1</v>
      </c>
      <c r="BP57" s="2">
        <v>2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2</v>
      </c>
      <c r="CA57" s="2">
        <v>4</v>
      </c>
      <c r="CB57" s="2">
        <v>0</v>
      </c>
      <c r="CC57" s="2">
        <v>1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1</v>
      </c>
      <c r="DK57" s="2">
        <v>1</v>
      </c>
      <c r="DL57" s="2">
        <v>0</v>
      </c>
      <c r="DM57" s="2">
        <v>1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</row>
    <row r="58" spans="1:123">
      <c r="A58" s="2" t="s">
        <v>17</v>
      </c>
      <c r="B58" s="2" t="s">
        <v>225</v>
      </c>
      <c r="C58" s="2">
        <v>1015</v>
      </c>
      <c r="D58" s="2">
        <v>25</v>
      </c>
      <c r="E58" s="2">
        <v>16.92</v>
      </c>
      <c r="F58" s="2">
        <v>40.6</v>
      </c>
      <c r="G58" s="2" t="s">
        <v>160</v>
      </c>
      <c r="H58">
        <f>IF(AND(OR(لوحة_القيادة!$C$4="الكل", A58=لوحة_القيادة!$C$4), IF(لوحة_القيادة!$C$5="الكل", TRUE, INDEX($V58:$AG58, 1, VALUE(لوحة_القيادة!$C$5))&gt;0)), 1, 0)</f>
        <v>0</v>
      </c>
      <c r="I58">
        <f>IF(H58=1, SUM($H$2:H58), "")</f>
        <v>0</v>
      </c>
      <c r="J58" s="2">
        <v>271</v>
      </c>
      <c r="K58" s="2">
        <v>59</v>
      </c>
      <c r="L58" s="2">
        <v>116</v>
      </c>
      <c r="M58" s="2">
        <v>125</v>
      </c>
      <c r="N58" s="2">
        <v>95</v>
      </c>
      <c r="O58" s="2">
        <v>219</v>
      </c>
      <c r="P58" s="2">
        <v>130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6</v>
      </c>
      <c r="W58" s="2">
        <v>2</v>
      </c>
      <c r="X58" s="2">
        <v>3</v>
      </c>
      <c r="Y58" s="2">
        <v>4</v>
      </c>
      <c r="Z58" s="2">
        <v>3</v>
      </c>
      <c r="AA58" s="2">
        <v>4</v>
      </c>
      <c r="AB58" s="2">
        <v>3</v>
      </c>
      <c r="AC58" s="2">
        <v>0</v>
      </c>
      <c r="AD58" s="2">
        <v>0</v>
      </c>
      <c r="AE58" s="2">
        <v>0</v>
      </c>
      <c r="AF58" s="2">
        <v>0</v>
      </c>
      <c r="AG58" s="2">
        <v>8</v>
      </c>
      <c r="AH58" s="2">
        <v>5</v>
      </c>
      <c r="AI58" s="2">
        <v>3</v>
      </c>
      <c r="AJ58" s="2">
        <v>4</v>
      </c>
      <c r="AK58" s="2">
        <v>0</v>
      </c>
      <c r="AL58" s="2">
        <v>0</v>
      </c>
      <c r="AM58" s="2">
        <v>5</v>
      </c>
      <c r="AN58" s="2">
        <v>2</v>
      </c>
      <c r="AO58" s="2">
        <v>0</v>
      </c>
      <c r="AP58" s="2">
        <v>0</v>
      </c>
      <c r="AQ58" s="2">
        <v>1</v>
      </c>
      <c r="AR58" s="2">
        <v>2</v>
      </c>
      <c r="AS58" s="2">
        <v>2</v>
      </c>
      <c r="AT58" s="2">
        <v>1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1</v>
      </c>
      <c r="BA58" s="2">
        <v>0</v>
      </c>
      <c r="BB58" s="2">
        <v>3</v>
      </c>
      <c r="BC58" s="2">
        <v>1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2</v>
      </c>
      <c r="BR58" s="2">
        <v>1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1</v>
      </c>
      <c r="BZ58" s="2">
        <v>0</v>
      </c>
      <c r="CA58" s="2">
        <v>2</v>
      </c>
      <c r="CB58" s="2">
        <v>0</v>
      </c>
      <c r="CC58" s="2">
        <v>0</v>
      </c>
      <c r="CD58" s="2">
        <v>1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3</v>
      </c>
      <c r="DI58" s="2">
        <v>1</v>
      </c>
      <c r="DJ58" s="2">
        <v>0</v>
      </c>
      <c r="DK58" s="2">
        <v>0</v>
      </c>
      <c r="DL58" s="2">
        <v>1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</row>
    <row r="59" spans="1:123">
      <c r="A59" s="2" t="s">
        <v>18</v>
      </c>
      <c r="B59" s="2" t="s">
        <v>226</v>
      </c>
      <c r="C59" s="2">
        <v>977</v>
      </c>
      <c r="D59" s="2">
        <v>36</v>
      </c>
      <c r="E59" s="2">
        <v>16.28</v>
      </c>
      <c r="F59" s="2">
        <v>27.14</v>
      </c>
      <c r="G59" s="2" t="s">
        <v>170</v>
      </c>
      <c r="H59">
        <f>IF(AND(OR(لوحة_القيادة!$C$4="الكل", A59=لوحة_القيادة!$C$4), IF(لوحة_القيادة!$C$5="الكل", TRUE, INDEX($V59:$AG59, 1, VALUE(لوحة_القيادة!$C$5))&gt;0)), 1, 0)</f>
        <v>0</v>
      </c>
      <c r="I59">
        <f>IF(H59=1, SUM($H$2:H59), "")</f>
        <v>0</v>
      </c>
      <c r="J59" s="2">
        <v>208</v>
      </c>
      <c r="K59" s="2">
        <v>178</v>
      </c>
      <c r="L59" s="2">
        <v>92</v>
      </c>
      <c r="M59" s="2">
        <v>87</v>
      </c>
      <c r="N59" s="2">
        <v>147</v>
      </c>
      <c r="O59" s="2">
        <v>265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10</v>
      </c>
      <c r="W59" s="2">
        <v>13</v>
      </c>
      <c r="X59" s="2">
        <v>6</v>
      </c>
      <c r="Y59" s="2">
        <v>2</v>
      </c>
      <c r="Z59" s="2">
        <v>2</v>
      </c>
      <c r="AA59" s="2">
        <v>3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10</v>
      </c>
      <c r="AH59" s="2">
        <v>8</v>
      </c>
      <c r="AI59" s="2">
        <v>10</v>
      </c>
      <c r="AJ59" s="2">
        <v>6</v>
      </c>
      <c r="AK59" s="2">
        <v>0</v>
      </c>
      <c r="AL59" s="2">
        <v>0</v>
      </c>
      <c r="AM59" s="2">
        <v>2</v>
      </c>
      <c r="AN59" s="2">
        <v>2</v>
      </c>
      <c r="AO59" s="2">
        <v>3</v>
      </c>
      <c r="AP59" s="2">
        <v>1</v>
      </c>
      <c r="AQ59" s="2">
        <v>2</v>
      </c>
      <c r="AR59" s="2">
        <v>1</v>
      </c>
      <c r="AS59" s="2">
        <v>1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3</v>
      </c>
      <c r="BA59" s="2">
        <v>3</v>
      </c>
      <c r="BB59" s="2">
        <v>1</v>
      </c>
      <c r="BC59" s="2">
        <v>0</v>
      </c>
      <c r="BD59" s="2">
        <v>0</v>
      </c>
      <c r="BE59" s="2">
        <v>1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3</v>
      </c>
      <c r="BM59" s="2">
        <v>4</v>
      </c>
      <c r="BN59" s="2">
        <v>3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1</v>
      </c>
      <c r="BY59" s="2">
        <v>2</v>
      </c>
      <c r="BZ59" s="2">
        <v>1</v>
      </c>
      <c r="CA59" s="2">
        <v>0</v>
      </c>
      <c r="CB59" s="2">
        <v>1</v>
      </c>
      <c r="CC59" s="2">
        <v>1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1</v>
      </c>
      <c r="DI59" s="2">
        <v>1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</row>
    <row r="60" spans="1:123">
      <c r="A60" s="2" t="s">
        <v>13</v>
      </c>
      <c r="B60" s="2" t="s">
        <v>227</v>
      </c>
      <c r="C60" s="2">
        <v>976</v>
      </c>
      <c r="D60" s="2">
        <v>30</v>
      </c>
      <c r="E60" s="2">
        <v>16.27</v>
      </c>
      <c r="F60" s="2">
        <v>32.53</v>
      </c>
      <c r="G60" s="2" t="s">
        <v>160</v>
      </c>
      <c r="H60">
        <f>IF(AND(OR(لوحة_القيادة!$C$4="الكل", A60=لوحة_القيادة!$C$4), IF(لوحة_القيادة!$C$5="الكل", TRUE, INDEX($V60:$AG60, 1, VALUE(لوحة_القيادة!$C$5))&gt;0)), 1, 0)</f>
        <v>0</v>
      </c>
      <c r="I60">
        <f>IF(H60=1, SUM($H$2:H60), "")</f>
        <v>0</v>
      </c>
      <c r="J60" s="2">
        <v>215</v>
      </c>
      <c r="K60" s="2">
        <v>157</v>
      </c>
      <c r="L60" s="2">
        <v>181</v>
      </c>
      <c r="M60" s="2">
        <v>95</v>
      </c>
      <c r="N60" s="2">
        <v>105</v>
      </c>
      <c r="O60" s="2">
        <v>124</v>
      </c>
      <c r="P60" s="2">
        <v>99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8</v>
      </c>
      <c r="W60" s="2">
        <v>5</v>
      </c>
      <c r="X60" s="2">
        <v>4</v>
      </c>
      <c r="Y60" s="2">
        <v>5</v>
      </c>
      <c r="Z60" s="2">
        <v>4</v>
      </c>
      <c r="AA60" s="2">
        <v>3</v>
      </c>
      <c r="AB60" s="2">
        <v>1</v>
      </c>
      <c r="AC60" s="2">
        <v>0</v>
      </c>
      <c r="AD60" s="2">
        <v>0</v>
      </c>
      <c r="AE60" s="2">
        <v>0</v>
      </c>
      <c r="AF60" s="2">
        <v>0</v>
      </c>
      <c r="AG60" s="2">
        <v>7</v>
      </c>
      <c r="AH60" s="2">
        <v>5</v>
      </c>
      <c r="AI60" s="2">
        <v>7</v>
      </c>
      <c r="AJ60" s="2">
        <v>9</v>
      </c>
      <c r="AK60" s="2">
        <v>0</v>
      </c>
      <c r="AL60" s="2">
        <v>0</v>
      </c>
      <c r="AM60" s="2">
        <v>2</v>
      </c>
      <c r="AN60" s="2">
        <v>2</v>
      </c>
      <c r="AO60" s="2">
        <v>1</v>
      </c>
      <c r="AP60" s="2">
        <v>1</v>
      </c>
      <c r="AQ60" s="2">
        <v>0</v>
      </c>
      <c r="AR60" s="2">
        <v>1</v>
      </c>
      <c r="AS60" s="2">
        <v>2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2</v>
      </c>
      <c r="BA60" s="2">
        <v>1</v>
      </c>
      <c r="BB60" s="2">
        <v>0</v>
      </c>
      <c r="BC60" s="2">
        <v>2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2</v>
      </c>
      <c r="BM60" s="2">
        <v>1</v>
      </c>
      <c r="BN60" s="2">
        <v>1</v>
      </c>
      <c r="BO60" s="2">
        <v>1</v>
      </c>
      <c r="BP60" s="2">
        <v>1</v>
      </c>
      <c r="BQ60" s="2">
        <v>1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1</v>
      </c>
      <c r="BY60" s="2">
        <v>2</v>
      </c>
      <c r="BZ60" s="2">
        <v>1</v>
      </c>
      <c r="CA60" s="2">
        <v>2</v>
      </c>
      <c r="CB60" s="2">
        <v>2</v>
      </c>
      <c r="CC60" s="2">
        <v>0</v>
      </c>
      <c r="CD60" s="2">
        <v>1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1</v>
      </c>
      <c r="DI60" s="2">
        <v>0</v>
      </c>
      <c r="DJ60" s="2">
        <v>1</v>
      </c>
      <c r="DK60" s="2">
        <v>0</v>
      </c>
      <c r="DL60" s="2">
        <v>0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</row>
    <row r="61" spans="1:123">
      <c r="A61" s="2" t="s">
        <v>22</v>
      </c>
      <c r="B61" s="2" t="s">
        <v>228</v>
      </c>
      <c r="C61" s="2">
        <v>933</v>
      </c>
      <c r="D61" s="2">
        <v>50</v>
      </c>
      <c r="E61" s="2">
        <v>15.55</v>
      </c>
      <c r="F61" s="2">
        <v>18.66</v>
      </c>
      <c r="G61" s="2" t="s">
        <v>160</v>
      </c>
      <c r="H61">
        <f>IF(AND(OR(لوحة_القيادة!$C$4="الكل", A61=لوحة_القيادة!$C$4), IF(لوحة_القيادة!$C$5="الكل", TRUE, INDEX($V61:$AG61, 1, VALUE(لوحة_القيادة!$C$5))&gt;0)), 1, 0)</f>
        <v>0</v>
      </c>
      <c r="I61">
        <f>IF(H61=1, SUM($H$2:H61), "")</f>
        <v>0</v>
      </c>
      <c r="J61" s="2">
        <v>46</v>
      </c>
      <c r="K61" s="2">
        <v>200</v>
      </c>
      <c r="L61" s="2">
        <v>251</v>
      </c>
      <c r="M61" s="2">
        <v>135</v>
      </c>
      <c r="N61" s="2">
        <v>84</v>
      </c>
      <c r="O61" s="2">
        <v>212</v>
      </c>
      <c r="P61" s="2">
        <v>5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5</v>
      </c>
      <c r="W61" s="2">
        <v>12</v>
      </c>
      <c r="X61" s="2">
        <v>7</v>
      </c>
      <c r="Y61" s="2">
        <v>10</v>
      </c>
      <c r="Z61" s="2">
        <v>8</v>
      </c>
      <c r="AA61" s="2">
        <v>7</v>
      </c>
      <c r="AB61" s="2">
        <v>1</v>
      </c>
      <c r="AC61" s="2">
        <v>0</v>
      </c>
      <c r="AD61" s="2">
        <v>0</v>
      </c>
      <c r="AE61" s="2">
        <v>0</v>
      </c>
      <c r="AF61" s="2">
        <v>0</v>
      </c>
      <c r="AG61" s="2">
        <v>8</v>
      </c>
      <c r="AH61" s="2">
        <v>15</v>
      </c>
      <c r="AI61" s="2">
        <v>9</v>
      </c>
      <c r="AJ61" s="2">
        <v>9</v>
      </c>
      <c r="AK61" s="2">
        <v>0</v>
      </c>
      <c r="AL61" s="2">
        <v>0</v>
      </c>
      <c r="AM61" s="2">
        <v>9</v>
      </c>
      <c r="AN61" s="2">
        <v>1</v>
      </c>
      <c r="AO61" s="2">
        <v>3</v>
      </c>
      <c r="AP61" s="2">
        <v>0</v>
      </c>
      <c r="AQ61" s="2">
        <v>2</v>
      </c>
      <c r="AR61" s="2">
        <v>2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2</v>
      </c>
      <c r="BA61" s="2">
        <v>3</v>
      </c>
      <c r="BB61" s="2">
        <v>2</v>
      </c>
      <c r="BC61" s="2">
        <v>3</v>
      </c>
      <c r="BD61" s="2">
        <v>3</v>
      </c>
      <c r="BE61" s="2">
        <v>2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2</v>
      </c>
      <c r="BN61" s="2">
        <v>2</v>
      </c>
      <c r="BO61" s="2">
        <v>1</v>
      </c>
      <c r="BP61" s="2">
        <v>2</v>
      </c>
      <c r="BQ61" s="2">
        <v>1</v>
      </c>
      <c r="BR61" s="2">
        <v>1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2</v>
      </c>
      <c r="BZ61" s="2">
        <v>2</v>
      </c>
      <c r="CA61" s="2">
        <v>2</v>
      </c>
      <c r="CB61" s="2">
        <v>1</v>
      </c>
      <c r="CC61" s="2">
        <v>2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2</v>
      </c>
      <c r="DI61" s="2">
        <v>2</v>
      </c>
      <c r="DJ61" s="2">
        <v>1</v>
      </c>
      <c r="DK61" s="2">
        <v>2</v>
      </c>
      <c r="DL61" s="2">
        <v>0</v>
      </c>
      <c r="DM61" s="2">
        <v>2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</row>
    <row r="62" spans="1:123">
      <c r="A62" s="2" t="s">
        <v>16</v>
      </c>
      <c r="B62" s="2" t="s">
        <v>229</v>
      </c>
      <c r="C62" s="2">
        <v>926</v>
      </c>
      <c r="D62" s="2">
        <v>54</v>
      </c>
      <c r="E62" s="2">
        <v>15.43</v>
      </c>
      <c r="F62" s="2">
        <v>17.15</v>
      </c>
      <c r="G62" s="2" t="s">
        <v>160</v>
      </c>
      <c r="H62">
        <f>IF(AND(OR(لوحة_القيادة!$C$4="الكل", A62=لوحة_القيادة!$C$4), IF(لوحة_القيادة!$C$5="الكل", TRUE, INDEX($V62:$AG62, 1, VALUE(لوحة_القيادة!$C$5))&gt;0)), 1, 0)</f>
        <v>0</v>
      </c>
      <c r="I62">
        <f>IF(H62=1, SUM($H$2:H62), "")</f>
        <v>0</v>
      </c>
      <c r="J62" s="2">
        <v>151</v>
      </c>
      <c r="K62" s="2">
        <v>228</v>
      </c>
      <c r="L62" s="2">
        <v>355</v>
      </c>
      <c r="M62" s="2">
        <v>162</v>
      </c>
      <c r="N62" s="2">
        <v>25</v>
      </c>
      <c r="O62" s="2">
        <v>1</v>
      </c>
      <c r="P62" s="2">
        <v>4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9</v>
      </c>
      <c r="W62" s="2">
        <v>16</v>
      </c>
      <c r="X62" s="2">
        <v>15</v>
      </c>
      <c r="Y62" s="2">
        <v>9</v>
      </c>
      <c r="Z62" s="2">
        <v>3</v>
      </c>
      <c r="AA62" s="2">
        <v>1</v>
      </c>
      <c r="AB62" s="2">
        <v>1</v>
      </c>
      <c r="AC62" s="2">
        <v>0</v>
      </c>
      <c r="AD62" s="2">
        <v>0</v>
      </c>
      <c r="AE62" s="2">
        <v>0</v>
      </c>
      <c r="AF62" s="2">
        <v>0</v>
      </c>
      <c r="AG62" s="2">
        <v>10</v>
      </c>
      <c r="AH62" s="2">
        <v>11</v>
      </c>
      <c r="AI62" s="2">
        <v>12</v>
      </c>
      <c r="AJ62" s="2">
        <v>12</v>
      </c>
      <c r="AK62" s="2">
        <v>0</v>
      </c>
      <c r="AL62" s="2">
        <v>0</v>
      </c>
      <c r="AM62" s="2">
        <v>9</v>
      </c>
      <c r="AN62" s="2">
        <v>1</v>
      </c>
      <c r="AO62" s="2">
        <v>3</v>
      </c>
      <c r="AP62" s="2">
        <v>2</v>
      </c>
      <c r="AQ62" s="2">
        <v>1</v>
      </c>
      <c r="AR62" s="2">
        <v>1</v>
      </c>
      <c r="AS62" s="2">
        <v>1</v>
      </c>
      <c r="AT62" s="2">
        <v>1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2</v>
      </c>
      <c r="BA62" s="2">
        <v>2</v>
      </c>
      <c r="BB62" s="2">
        <v>4</v>
      </c>
      <c r="BC62" s="2">
        <v>2</v>
      </c>
      <c r="BD62" s="2">
        <v>1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2</v>
      </c>
      <c r="BM62" s="2">
        <v>4</v>
      </c>
      <c r="BN62" s="2">
        <v>4</v>
      </c>
      <c r="BO62" s="2">
        <v>2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2</v>
      </c>
      <c r="BY62" s="2">
        <v>3</v>
      </c>
      <c r="BZ62" s="2">
        <v>3</v>
      </c>
      <c r="CA62" s="2">
        <v>3</v>
      </c>
      <c r="CB62" s="2">
        <v>1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2</v>
      </c>
      <c r="DI62" s="2">
        <v>4</v>
      </c>
      <c r="DJ62" s="2">
        <v>2</v>
      </c>
      <c r="DK62" s="2">
        <v>1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</row>
    <row r="63" spans="1:123">
      <c r="A63" s="2" t="s">
        <v>3</v>
      </c>
      <c r="B63" s="2" t="s">
        <v>230</v>
      </c>
      <c r="C63" s="2">
        <v>885</v>
      </c>
      <c r="D63" s="2">
        <v>45</v>
      </c>
      <c r="E63" s="2">
        <v>14.75</v>
      </c>
      <c r="F63" s="2">
        <v>19.67</v>
      </c>
      <c r="G63" s="2" t="s">
        <v>160</v>
      </c>
      <c r="H63">
        <f>IF(AND(OR(لوحة_القيادة!$C$4="الكل", A63=لوحة_القيادة!$C$4), IF(لوحة_القيادة!$C$5="الكل", TRUE, INDEX($V63:$AG63, 1, VALUE(لوحة_القيادة!$C$5))&gt;0)), 1, 0)</f>
        <v>0</v>
      </c>
      <c r="I63">
        <f>IF(H63=1, SUM($H$2:H63), "")</f>
        <v>0</v>
      </c>
      <c r="J63" s="2">
        <v>140</v>
      </c>
      <c r="K63" s="2">
        <v>26</v>
      </c>
      <c r="L63" s="2">
        <v>18</v>
      </c>
      <c r="M63" s="2">
        <v>24</v>
      </c>
      <c r="N63" s="2">
        <v>378</v>
      </c>
      <c r="O63" s="2">
        <v>98</v>
      </c>
      <c r="P63" s="2">
        <v>201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6</v>
      </c>
      <c r="W63" s="2">
        <v>6</v>
      </c>
      <c r="X63" s="2">
        <v>4</v>
      </c>
      <c r="Y63" s="2">
        <v>6</v>
      </c>
      <c r="Z63" s="2">
        <v>9</v>
      </c>
      <c r="AA63" s="2">
        <v>10</v>
      </c>
      <c r="AB63" s="2">
        <v>4</v>
      </c>
      <c r="AC63" s="2">
        <v>0</v>
      </c>
      <c r="AD63" s="2">
        <v>0</v>
      </c>
      <c r="AE63" s="2">
        <v>0</v>
      </c>
      <c r="AF63" s="2">
        <v>0</v>
      </c>
      <c r="AG63" s="2">
        <v>3</v>
      </c>
      <c r="AH63" s="2">
        <v>14</v>
      </c>
      <c r="AI63" s="2">
        <v>12</v>
      </c>
      <c r="AJ63" s="2">
        <v>9</v>
      </c>
      <c r="AK63" s="2">
        <v>0</v>
      </c>
      <c r="AL63" s="2">
        <v>0</v>
      </c>
      <c r="AM63" s="2">
        <v>7</v>
      </c>
      <c r="AN63" s="2">
        <v>0</v>
      </c>
      <c r="AO63" s="2">
        <v>0</v>
      </c>
      <c r="AP63" s="2">
        <v>0</v>
      </c>
      <c r="AQ63" s="2">
        <v>0</v>
      </c>
      <c r="AR63" s="2">
        <v>2</v>
      </c>
      <c r="AS63" s="2">
        <v>0</v>
      </c>
      <c r="AT63" s="2">
        <v>1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2</v>
      </c>
      <c r="BA63" s="2">
        <v>2</v>
      </c>
      <c r="BB63" s="2">
        <v>2</v>
      </c>
      <c r="BC63" s="2">
        <v>1</v>
      </c>
      <c r="BD63" s="2">
        <v>4</v>
      </c>
      <c r="BE63" s="2">
        <v>3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4</v>
      </c>
      <c r="BM63" s="2">
        <v>2</v>
      </c>
      <c r="BN63" s="2">
        <v>1</v>
      </c>
      <c r="BO63" s="2">
        <v>1</v>
      </c>
      <c r="BP63" s="2">
        <v>1</v>
      </c>
      <c r="BQ63" s="2">
        <v>3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2</v>
      </c>
      <c r="BZ63" s="2">
        <v>0</v>
      </c>
      <c r="CA63" s="2">
        <v>3</v>
      </c>
      <c r="CB63" s="2">
        <v>1</v>
      </c>
      <c r="CC63" s="2">
        <v>1</v>
      </c>
      <c r="CD63" s="2">
        <v>2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1</v>
      </c>
      <c r="DK63" s="2">
        <v>1</v>
      </c>
      <c r="DL63" s="2">
        <v>1</v>
      </c>
      <c r="DM63" s="2">
        <v>3</v>
      </c>
      <c r="DN63" s="2">
        <v>1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</row>
    <row r="64" spans="1:123">
      <c r="A64" s="2" t="s">
        <v>13</v>
      </c>
      <c r="B64" s="2" t="s">
        <v>231</v>
      </c>
      <c r="C64" s="2">
        <v>863</v>
      </c>
      <c r="D64" s="2">
        <v>6</v>
      </c>
      <c r="E64" s="2">
        <v>14.38</v>
      </c>
      <c r="F64" s="2">
        <v>143.83</v>
      </c>
      <c r="G64" s="2" t="s">
        <v>232</v>
      </c>
      <c r="H64">
        <f>IF(AND(OR(لوحة_القيادة!$C$4="الكل", A64=لوحة_القيادة!$C$4), IF(لوحة_القيادة!$C$5="الكل", TRUE, INDEX($V64:$AG64, 1, VALUE(لوحة_القيادة!$C$5))&gt;0)), 1, 0)</f>
        <v>0</v>
      </c>
      <c r="I64">
        <f>IF(H64=1, SUM($H$2:H64), "")</f>
        <v>0</v>
      </c>
      <c r="J64" s="2">
        <v>13</v>
      </c>
      <c r="K64" s="2">
        <v>0</v>
      </c>
      <c r="L64" s="2">
        <v>0</v>
      </c>
      <c r="M64" s="2">
        <v>670</v>
      </c>
      <c r="N64" s="2">
        <v>0</v>
      </c>
      <c r="O64" s="2">
        <v>180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1</v>
      </c>
      <c r="W64" s="2">
        <v>0</v>
      </c>
      <c r="X64" s="2">
        <v>0</v>
      </c>
      <c r="Y64" s="2">
        <v>3</v>
      </c>
      <c r="Z64" s="2">
        <v>0</v>
      </c>
      <c r="AA64" s="2">
        <v>2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2</v>
      </c>
      <c r="AH64" s="2">
        <v>2</v>
      </c>
      <c r="AI64" s="2">
        <v>1</v>
      </c>
      <c r="AJ64" s="2">
        <v>0</v>
      </c>
      <c r="AK64" s="2">
        <v>0</v>
      </c>
      <c r="AL64" s="2">
        <v>0</v>
      </c>
      <c r="AM64" s="2">
        <v>1</v>
      </c>
      <c r="AN64" s="2">
        <v>0</v>
      </c>
      <c r="AO64" s="2">
        <v>0</v>
      </c>
      <c r="AP64" s="2">
        <v>0</v>
      </c>
      <c r="AQ64" s="2">
        <v>1</v>
      </c>
      <c r="AR64" s="2">
        <v>0</v>
      </c>
      <c r="AS64" s="2">
        <v>1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1</v>
      </c>
      <c r="BA64" s="2">
        <v>0</v>
      </c>
      <c r="BB64" s="2">
        <v>0</v>
      </c>
      <c r="BC64" s="2">
        <v>1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1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1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</row>
    <row r="65" spans="1:123">
      <c r="A65" s="2" t="s">
        <v>13</v>
      </c>
      <c r="B65" s="2" t="s">
        <v>233</v>
      </c>
      <c r="C65" s="2">
        <v>853</v>
      </c>
      <c r="D65" s="2">
        <v>56</v>
      </c>
      <c r="E65" s="2">
        <v>14.22</v>
      </c>
      <c r="F65" s="2">
        <v>15.23</v>
      </c>
      <c r="G65" s="2" t="s">
        <v>160</v>
      </c>
      <c r="H65">
        <f>IF(AND(OR(لوحة_القيادة!$C$4="الكل", A65=لوحة_القيادة!$C$4), IF(لوحة_القيادة!$C$5="الكل", TRUE, INDEX($V65:$AG65, 1, VALUE(لوحة_القيادة!$C$5))&gt;0)), 1, 0)</f>
        <v>0</v>
      </c>
      <c r="I65">
        <f>IF(H65=1, SUM($H$2:H65), "")</f>
        <v>0</v>
      </c>
      <c r="J65" s="2">
        <v>66</v>
      </c>
      <c r="K65" s="2">
        <v>140</v>
      </c>
      <c r="L65" s="2">
        <v>66</v>
      </c>
      <c r="M65" s="2">
        <v>59</v>
      </c>
      <c r="N65" s="2">
        <v>145</v>
      </c>
      <c r="O65" s="2">
        <v>305</v>
      </c>
      <c r="P65" s="2">
        <v>72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8</v>
      </c>
      <c r="W65" s="2">
        <v>12</v>
      </c>
      <c r="X65" s="2">
        <v>8</v>
      </c>
      <c r="Y65" s="2">
        <v>5</v>
      </c>
      <c r="Z65" s="2">
        <v>10</v>
      </c>
      <c r="AA65" s="2">
        <v>10</v>
      </c>
      <c r="AB65" s="2">
        <v>3</v>
      </c>
      <c r="AC65" s="2">
        <v>0</v>
      </c>
      <c r="AD65" s="2">
        <v>0</v>
      </c>
      <c r="AE65" s="2">
        <v>0</v>
      </c>
      <c r="AF65" s="2">
        <v>0</v>
      </c>
      <c r="AG65" s="2">
        <v>8</v>
      </c>
      <c r="AH65" s="2">
        <v>13</v>
      </c>
      <c r="AI65" s="2">
        <v>14</v>
      </c>
      <c r="AJ65" s="2">
        <v>12</v>
      </c>
      <c r="AK65" s="2">
        <v>0</v>
      </c>
      <c r="AL65" s="2">
        <v>0</v>
      </c>
      <c r="AM65" s="2">
        <v>9</v>
      </c>
      <c r="AN65" s="2">
        <v>2</v>
      </c>
      <c r="AO65" s="2">
        <v>2</v>
      </c>
      <c r="AP65" s="2">
        <v>0</v>
      </c>
      <c r="AQ65" s="2">
        <v>0</v>
      </c>
      <c r="AR65" s="2">
        <v>1</v>
      </c>
      <c r="AS65" s="2">
        <v>2</v>
      </c>
      <c r="AT65" s="2">
        <v>1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1</v>
      </c>
      <c r="BA65" s="2">
        <v>3</v>
      </c>
      <c r="BB65" s="2">
        <v>2</v>
      </c>
      <c r="BC65" s="2">
        <v>0</v>
      </c>
      <c r="BD65" s="2">
        <v>2</v>
      </c>
      <c r="BE65" s="2">
        <v>4</v>
      </c>
      <c r="BF65" s="2">
        <v>1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3</v>
      </c>
      <c r="BM65" s="2">
        <v>2</v>
      </c>
      <c r="BN65" s="2">
        <v>2</v>
      </c>
      <c r="BO65" s="2">
        <v>2</v>
      </c>
      <c r="BP65" s="2">
        <v>3</v>
      </c>
      <c r="BQ65" s="2">
        <v>2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2</v>
      </c>
      <c r="BY65" s="2">
        <v>2</v>
      </c>
      <c r="BZ65" s="2">
        <v>2</v>
      </c>
      <c r="CA65" s="2">
        <v>3</v>
      </c>
      <c r="CB65" s="2">
        <v>2</v>
      </c>
      <c r="CC65" s="2">
        <v>1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3</v>
      </c>
      <c r="DJ65" s="2">
        <v>2</v>
      </c>
      <c r="DK65" s="2">
        <v>0</v>
      </c>
      <c r="DL65" s="2">
        <v>2</v>
      </c>
      <c r="DM65" s="2">
        <v>1</v>
      </c>
      <c r="DN65" s="2">
        <v>1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</row>
    <row r="66" spans="1:123">
      <c r="A66" s="2" t="s">
        <v>22</v>
      </c>
      <c r="B66" s="2" t="s">
        <v>234</v>
      </c>
      <c r="C66" s="2">
        <v>850</v>
      </c>
      <c r="D66" s="2">
        <v>23</v>
      </c>
      <c r="E66" s="2">
        <v>14.17</v>
      </c>
      <c r="F66" s="2">
        <v>36.96</v>
      </c>
      <c r="G66" s="2" t="s">
        <v>160</v>
      </c>
      <c r="H66">
        <f>IF(AND(OR(لوحة_القيادة!$C$4="الكل", A66=لوحة_القيادة!$C$4), IF(لوحة_القيادة!$C$5="الكل", TRUE, INDEX($V66:$AG66, 1, VALUE(لوحة_القيادة!$C$5))&gt;0)), 1, 0)</f>
        <v>0</v>
      </c>
      <c r="I66">
        <f>IF(H66=1, SUM($H$2:H66), "")</f>
        <v>0</v>
      </c>
      <c r="J66" s="2">
        <v>10</v>
      </c>
      <c r="K66" s="2">
        <v>55</v>
      </c>
      <c r="L66" s="2">
        <v>302</v>
      </c>
      <c r="M66" s="2">
        <v>319</v>
      </c>
      <c r="N66" s="2">
        <v>65</v>
      </c>
      <c r="O66" s="2">
        <v>22</v>
      </c>
      <c r="P66" s="2">
        <v>77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3</v>
      </c>
      <c r="W66" s="2">
        <v>2</v>
      </c>
      <c r="X66" s="2">
        <v>7</v>
      </c>
      <c r="Y66" s="2">
        <v>6</v>
      </c>
      <c r="Z66" s="2">
        <v>2</v>
      </c>
      <c r="AA66" s="2">
        <v>1</v>
      </c>
      <c r="AB66" s="2">
        <v>2</v>
      </c>
      <c r="AC66" s="2">
        <v>0</v>
      </c>
      <c r="AD66" s="2">
        <v>0</v>
      </c>
      <c r="AE66" s="2">
        <v>0</v>
      </c>
      <c r="AF66" s="2">
        <v>0</v>
      </c>
      <c r="AG66" s="2">
        <v>4</v>
      </c>
      <c r="AH66" s="2">
        <v>5</v>
      </c>
      <c r="AI66" s="2">
        <v>5</v>
      </c>
      <c r="AJ66" s="2">
        <v>5</v>
      </c>
      <c r="AK66" s="2">
        <v>0</v>
      </c>
      <c r="AL66" s="2">
        <v>0</v>
      </c>
      <c r="AM66" s="2">
        <v>4</v>
      </c>
      <c r="AN66" s="2">
        <v>1</v>
      </c>
      <c r="AO66" s="2">
        <v>2</v>
      </c>
      <c r="AP66" s="2">
        <v>0</v>
      </c>
      <c r="AQ66" s="2">
        <v>0</v>
      </c>
      <c r="AR66" s="2">
        <v>0</v>
      </c>
      <c r="AS66" s="2">
        <v>1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2</v>
      </c>
      <c r="BC66" s="2">
        <v>1</v>
      </c>
      <c r="BD66" s="2">
        <v>2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1</v>
      </c>
      <c r="BM66" s="2">
        <v>0</v>
      </c>
      <c r="BN66" s="2">
        <v>2</v>
      </c>
      <c r="BO66" s="2">
        <v>2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1</v>
      </c>
      <c r="BY66" s="2">
        <v>0</v>
      </c>
      <c r="BZ66" s="2">
        <v>2</v>
      </c>
      <c r="CA66" s="2">
        <v>1</v>
      </c>
      <c r="CB66" s="2">
        <v>0</v>
      </c>
      <c r="CC66" s="2">
        <v>0</v>
      </c>
      <c r="CD66" s="2">
        <v>1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1</v>
      </c>
      <c r="DK66" s="2">
        <v>2</v>
      </c>
      <c r="DL66" s="2">
        <v>0</v>
      </c>
      <c r="DM66" s="2">
        <v>0</v>
      </c>
      <c r="DN66" s="2">
        <v>1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</row>
    <row r="67" spans="1:123">
      <c r="A67" s="2" t="s">
        <v>13</v>
      </c>
      <c r="B67" s="2" t="s">
        <v>235</v>
      </c>
      <c r="C67" s="2">
        <v>832</v>
      </c>
      <c r="D67" s="2">
        <v>62</v>
      </c>
      <c r="E67" s="2">
        <v>13.87</v>
      </c>
      <c r="F67" s="2">
        <v>13.42</v>
      </c>
      <c r="G67" s="2" t="s">
        <v>160</v>
      </c>
      <c r="H67">
        <f>IF(AND(OR(لوحة_القيادة!$C$4="الكل", A67=لوحة_القيادة!$C$4), IF(لوحة_القيادة!$C$5="الكل", TRUE, INDEX($V67:$AG67, 1, VALUE(لوحة_القيادة!$C$5))&gt;0)), 1, 0)</f>
        <v>0</v>
      </c>
      <c r="I67">
        <f>IF(H67=1, SUM($H$2:H67), "")</f>
        <v>0</v>
      </c>
      <c r="J67" s="2">
        <v>124</v>
      </c>
      <c r="K67" s="2">
        <v>21</v>
      </c>
      <c r="L67" s="2">
        <v>117</v>
      </c>
      <c r="M67" s="2">
        <v>95</v>
      </c>
      <c r="N67" s="2">
        <v>191</v>
      </c>
      <c r="O67" s="2">
        <v>237</v>
      </c>
      <c r="P67" s="2">
        <v>47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11</v>
      </c>
      <c r="W67" s="2">
        <v>3</v>
      </c>
      <c r="X67" s="2">
        <v>1</v>
      </c>
      <c r="Y67" s="2">
        <v>10</v>
      </c>
      <c r="Z67" s="2">
        <v>16</v>
      </c>
      <c r="AA67" s="2">
        <v>18</v>
      </c>
      <c r="AB67" s="2">
        <v>3</v>
      </c>
      <c r="AC67" s="2">
        <v>0</v>
      </c>
      <c r="AD67" s="2">
        <v>0</v>
      </c>
      <c r="AE67" s="2">
        <v>0</v>
      </c>
      <c r="AF67" s="2">
        <v>0</v>
      </c>
      <c r="AG67" s="2">
        <v>15</v>
      </c>
      <c r="AH67" s="2">
        <v>16</v>
      </c>
      <c r="AI67" s="2">
        <v>11</v>
      </c>
      <c r="AJ67" s="2">
        <v>12</v>
      </c>
      <c r="AK67" s="2">
        <v>0</v>
      </c>
      <c r="AL67" s="2">
        <v>0</v>
      </c>
      <c r="AM67" s="2">
        <v>8</v>
      </c>
      <c r="AN67" s="2">
        <v>4</v>
      </c>
      <c r="AO67" s="2">
        <v>1</v>
      </c>
      <c r="AP67" s="2">
        <v>0</v>
      </c>
      <c r="AQ67" s="2">
        <v>2</v>
      </c>
      <c r="AR67" s="2">
        <v>5</v>
      </c>
      <c r="AS67" s="2">
        <v>3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2</v>
      </c>
      <c r="BA67" s="2">
        <v>1</v>
      </c>
      <c r="BB67" s="2">
        <v>1</v>
      </c>
      <c r="BC67" s="2">
        <v>2</v>
      </c>
      <c r="BD67" s="2">
        <v>4</v>
      </c>
      <c r="BE67" s="2">
        <v>5</v>
      </c>
      <c r="BF67" s="2">
        <v>1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3</v>
      </c>
      <c r="BM67" s="2">
        <v>0</v>
      </c>
      <c r="BN67" s="2">
        <v>0</v>
      </c>
      <c r="BO67" s="2">
        <v>2</v>
      </c>
      <c r="BP67" s="2">
        <v>2</v>
      </c>
      <c r="BQ67" s="2">
        <v>4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1</v>
      </c>
      <c r="BY67" s="2">
        <v>1</v>
      </c>
      <c r="BZ67" s="2">
        <v>0</v>
      </c>
      <c r="CA67" s="2">
        <v>3</v>
      </c>
      <c r="CB67" s="2">
        <v>2</v>
      </c>
      <c r="CC67" s="2">
        <v>4</v>
      </c>
      <c r="CD67" s="2">
        <v>1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1</v>
      </c>
      <c r="DI67" s="2">
        <v>0</v>
      </c>
      <c r="DJ67" s="2">
        <v>0</v>
      </c>
      <c r="DK67" s="2">
        <v>1</v>
      </c>
      <c r="DL67" s="2">
        <v>3</v>
      </c>
      <c r="DM67" s="2">
        <v>2</v>
      </c>
      <c r="DN67" s="2">
        <v>1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</row>
    <row r="68" spans="1:123">
      <c r="A68" s="2" t="s">
        <v>3</v>
      </c>
      <c r="B68" s="2" t="s">
        <v>236</v>
      </c>
      <c r="C68" s="2">
        <v>827</v>
      </c>
      <c r="D68" s="2">
        <v>61</v>
      </c>
      <c r="E68" s="2">
        <v>13.78</v>
      </c>
      <c r="F68" s="2">
        <v>13.56</v>
      </c>
      <c r="G68" s="2" t="s">
        <v>160</v>
      </c>
      <c r="H68">
        <f>IF(AND(OR(لوحة_القيادة!$C$4="الكل", A68=لوحة_القيادة!$C$4), IF(لوحة_القيادة!$C$5="الكل", TRUE, INDEX($V68:$AG68, 1, VALUE(لوحة_القيادة!$C$5))&gt;0)), 1, 0)</f>
        <v>0</v>
      </c>
      <c r="I68">
        <f>IF(H68=1, SUM($H$2:H68), "")</f>
        <v>0</v>
      </c>
      <c r="J68" s="2">
        <v>72</v>
      </c>
      <c r="K68" s="2">
        <v>142</v>
      </c>
      <c r="L68" s="2">
        <v>165</v>
      </c>
      <c r="M68" s="2">
        <v>106</v>
      </c>
      <c r="N68" s="2">
        <v>101</v>
      </c>
      <c r="O68" s="2">
        <v>154</v>
      </c>
      <c r="P68" s="2">
        <v>87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7</v>
      </c>
      <c r="W68" s="2">
        <v>15</v>
      </c>
      <c r="X68" s="2">
        <v>10</v>
      </c>
      <c r="Y68" s="2">
        <v>8</v>
      </c>
      <c r="Z68" s="2">
        <v>10</v>
      </c>
      <c r="AA68" s="2">
        <v>9</v>
      </c>
      <c r="AB68" s="2">
        <v>2</v>
      </c>
      <c r="AC68" s="2">
        <v>0</v>
      </c>
      <c r="AD68" s="2">
        <v>0</v>
      </c>
      <c r="AE68" s="2">
        <v>0</v>
      </c>
      <c r="AF68" s="2">
        <v>0</v>
      </c>
      <c r="AG68" s="2">
        <v>9</v>
      </c>
      <c r="AH68" s="2">
        <v>11</v>
      </c>
      <c r="AI68" s="2">
        <v>13</v>
      </c>
      <c r="AJ68" s="2">
        <v>10</v>
      </c>
      <c r="AK68" s="2">
        <v>0</v>
      </c>
      <c r="AL68" s="2">
        <v>0</v>
      </c>
      <c r="AM68" s="2">
        <v>18</v>
      </c>
      <c r="AN68" s="2">
        <v>1</v>
      </c>
      <c r="AO68" s="2">
        <v>3</v>
      </c>
      <c r="AP68" s="2">
        <v>0</v>
      </c>
      <c r="AQ68" s="2">
        <v>0</v>
      </c>
      <c r="AR68" s="2">
        <v>3</v>
      </c>
      <c r="AS68" s="2">
        <v>2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2</v>
      </c>
      <c r="BA68" s="2">
        <v>2</v>
      </c>
      <c r="BB68" s="2">
        <v>2</v>
      </c>
      <c r="BC68" s="2">
        <v>1</v>
      </c>
      <c r="BD68" s="2">
        <v>2</v>
      </c>
      <c r="BE68" s="2">
        <v>1</v>
      </c>
      <c r="BF68" s="2">
        <v>1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3</v>
      </c>
      <c r="BN68" s="2">
        <v>3</v>
      </c>
      <c r="BO68" s="2">
        <v>3</v>
      </c>
      <c r="BP68" s="2">
        <v>1</v>
      </c>
      <c r="BQ68" s="2">
        <v>2</v>
      </c>
      <c r="BR68" s="2">
        <v>1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1</v>
      </c>
      <c r="BY68" s="2">
        <v>4</v>
      </c>
      <c r="BZ68" s="2">
        <v>3</v>
      </c>
      <c r="CA68" s="2">
        <v>1</v>
      </c>
      <c r="CB68" s="2">
        <v>0</v>
      </c>
      <c r="CC68" s="2">
        <v>1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3</v>
      </c>
      <c r="DI68" s="2">
        <v>3</v>
      </c>
      <c r="DJ68" s="2">
        <v>2</v>
      </c>
      <c r="DK68" s="2">
        <v>3</v>
      </c>
      <c r="DL68" s="2">
        <v>4</v>
      </c>
      <c r="DM68" s="2">
        <v>3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</row>
    <row r="69" spans="1:123">
      <c r="A69" s="2" t="s">
        <v>6</v>
      </c>
      <c r="B69" s="2" t="s">
        <v>237</v>
      </c>
      <c r="C69" s="2">
        <v>817</v>
      </c>
      <c r="D69" s="2">
        <v>51</v>
      </c>
      <c r="E69" s="2">
        <v>13.62</v>
      </c>
      <c r="F69" s="2">
        <v>16.02</v>
      </c>
      <c r="G69" s="2" t="s">
        <v>160</v>
      </c>
      <c r="H69">
        <f>IF(AND(OR(لوحة_القيادة!$C$4="الكل", A69=لوحة_القيادة!$C$4), IF(لوحة_القيادة!$C$5="الكل", TRUE, INDEX($V69:$AG69, 1, VALUE(لوحة_القيادة!$C$5))&gt;0)), 1, 0)</f>
        <v>0</v>
      </c>
      <c r="I69">
        <f>IF(H69=1, SUM($H$2:H69), "")</f>
        <v>0</v>
      </c>
      <c r="J69" s="2">
        <v>111</v>
      </c>
      <c r="K69" s="2">
        <v>93</v>
      </c>
      <c r="L69" s="2">
        <v>164</v>
      </c>
      <c r="M69" s="2">
        <v>160</v>
      </c>
      <c r="N69" s="2">
        <v>68</v>
      </c>
      <c r="O69" s="2">
        <v>160</v>
      </c>
      <c r="P69" s="2">
        <v>61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6</v>
      </c>
      <c r="W69" s="2">
        <v>7</v>
      </c>
      <c r="X69" s="2">
        <v>9</v>
      </c>
      <c r="Y69" s="2">
        <v>7</v>
      </c>
      <c r="Z69" s="2">
        <v>5</v>
      </c>
      <c r="AA69" s="2">
        <v>13</v>
      </c>
      <c r="AB69" s="2">
        <v>4</v>
      </c>
      <c r="AC69" s="2">
        <v>0</v>
      </c>
      <c r="AD69" s="2">
        <v>0</v>
      </c>
      <c r="AE69" s="2">
        <v>0</v>
      </c>
      <c r="AF69" s="2">
        <v>0</v>
      </c>
      <c r="AG69" s="2">
        <v>8</v>
      </c>
      <c r="AH69" s="2">
        <v>12</v>
      </c>
      <c r="AI69" s="2">
        <v>8</v>
      </c>
      <c r="AJ69" s="2">
        <v>10</v>
      </c>
      <c r="AK69" s="2">
        <v>0</v>
      </c>
      <c r="AL69" s="2">
        <v>0</v>
      </c>
      <c r="AM69" s="2">
        <v>13</v>
      </c>
      <c r="AN69" s="2">
        <v>0</v>
      </c>
      <c r="AO69" s="2">
        <v>1</v>
      </c>
      <c r="AP69" s="2">
        <v>2</v>
      </c>
      <c r="AQ69" s="2">
        <v>1</v>
      </c>
      <c r="AR69" s="2">
        <v>1</v>
      </c>
      <c r="AS69" s="2">
        <v>2</v>
      </c>
      <c r="AT69" s="2">
        <v>1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1</v>
      </c>
      <c r="BA69" s="2">
        <v>2</v>
      </c>
      <c r="BB69" s="2">
        <v>2</v>
      </c>
      <c r="BC69" s="2">
        <v>1</v>
      </c>
      <c r="BD69" s="2">
        <v>0</v>
      </c>
      <c r="BE69" s="2">
        <v>5</v>
      </c>
      <c r="BF69" s="2">
        <v>1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2</v>
      </c>
      <c r="BM69" s="2">
        <v>0</v>
      </c>
      <c r="BN69" s="2">
        <v>2</v>
      </c>
      <c r="BO69" s="2">
        <v>2</v>
      </c>
      <c r="BP69" s="2">
        <v>0</v>
      </c>
      <c r="BQ69" s="2">
        <v>1</v>
      </c>
      <c r="BR69" s="2">
        <v>1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1</v>
      </c>
      <c r="BY69" s="2">
        <v>1</v>
      </c>
      <c r="BZ69" s="2">
        <v>3</v>
      </c>
      <c r="CA69" s="2">
        <v>1</v>
      </c>
      <c r="CB69" s="2">
        <v>0</v>
      </c>
      <c r="CC69" s="2">
        <v>3</v>
      </c>
      <c r="CD69" s="2">
        <v>1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2</v>
      </c>
      <c r="DI69" s="2">
        <v>3</v>
      </c>
      <c r="DJ69" s="2">
        <v>0</v>
      </c>
      <c r="DK69" s="2">
        <v>2</v>
      </c>
      <c r="DL69" s="2">
        <v>4</v>
      </c>
      <c r="DM69" s="2">
        <v>2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</row>
    <row r="70" spans="1:123">
      <c r="A70" s="2" t="s">
        <v>16</v>
      </c>
      <c r="B70" s="2" t="s">
        <v>238</v>
      </c>
      <c r="C70" s="2">
        <v>808</v>
      </c>
      <c r="D70" s="2">
        <v>24</v>
      </c>
      <c r="E70" s="2">
        <v>13.47</v>
      </c>
      <c r="F70" s="2">
        <v>33.67</v>
      </c>
      <c r="G70" s="2" t="s">
        <v>160</v>
      </c>
      <c r="H70">
        <f>IF(AND(OR(لوحة_القيادة!$C$4="الكل", A70=لوحة_القيادة!$C$4), IF(لوحة_القيادة!$C$5="الكل", TRUE, INDEX($V70:$AG70, 1, VALUE(لوحة_القيادة!$C$5))&gt;0)), 1, 0)</f>
        <v>0</v>
      </c>
      <c r="I70">
        <f>IF(H70=1, SUM($H$2:H70), "")</f>
        <v>0</v>
      </c>
      <c r="J70" s="2">
        <v>242</v>
      </c>
      <c r="K70" s="2">
        <v>251</v>
      </c>
      <c r="L70" s="2">
        <v>104</v>
      </c>
      <c r="M70" s="2">
        <v>115</v>
      </c>
      <c r="N70" s="2">
        <v>6</v>
      </c>
      <c r="O70" s="2">
        <v>63</v>
      </c>
      <c r="P70" s="2">
        <v>27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4</v>
      </c>
      <c r="W70" s="2">
        <v>5</v>
      </c>
      <c r="X70" s="2">
        <v>5</v>
      </c>
      <c r="Y70" s="2">
        <v>3</v>
      </c>
      <c r="Z70" s="2">
        <v>1</v>
      </c>
      <c r="AA70" s="2">
        <v>4</v>
      </c>
      <c r="AB70" s="2">
        <v>2</v>
      </c>
      <c r="AC70" s="2">
        <v>0</v>
      </c>
      <c r="AD70" s="2">
        <v>0</v>
      </c>
      <c r="AE70" s="2">
        <v>0</v>
      </c>
      <c r="AF70" s="2">
        <v>0</v>
      </c>
      <c r="AG70" s="2">
        <v>7</v>
      </c>
      <c r="AH70" s="2">
        <v>4</v>
      </c>
      <c r="AI70" s="2">
        <v>2</v>
      </c>
      <c r="AJ70" s="2">
        <v>6</v>
      </c>
      <c r="AK70" s="2">
        <v>0</v>
      </c>
      <c r="AL70" s="2">
        <v>0</v>
      </c>
      <c r="AM70" s="2">
        <v>5</v>
      </c>
      <c r="AN70" s="2">
        <v>2</v>
      </c>
      <c r="AO70" s="2">
        <v>3</v>
      </c>
      <c r="AP70" s="2">
        <v>0</v>
      </c>
      <c r="AQ70" s="2">
        <v>0</v>
      </c>
      <c r="AR70" s="2">
        <v>1</v>
      </c>
      <c r="AS70" s="2">
        <v>1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2</v>
      </c>
      <c r="BC70" s="2">
        <v>0</v>
      </c>
      <c r="BD70" s="2">
        <v>0</v>
      </c>
      <c r="BE70" s="2">
        <v>2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1</v>
      </c>
      <c r="BM70" s="2">
        <v>1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2</v>
      </c>
      <c r="CA70" s="2">
        <v>1</v>
      </c>
      <c r="CB70" s="2">
        <v>0</v>
      </c>
      <c r="CC70" s="2">
        <v>1</v>
      </c>
      <c r="CD70" s="2">
        <v>2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1</v>
      </c>
      <c r="DI70" s="2">
        <v>1</v>
      </c>
      <c r="DJ70" s="2">
        <v>1</v>
      </c>
      <c r="DK70" s="2">
        <v>2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</row>
    <row r="71" spans="1:123">
      <c r="A71" s="2" t="s">
        <v>16</v>
      </c>
      <c r="B71" s="2" t="s">
        <v>239</v>
      </c>
      <c r="C71" s="2">
        <v>791</v>
      </c>
      <c r="D71" s="2">
        <v>14</v>
      </c>
      <c r="E71" s="2">
        <v>13.18</v>
      </c>
      <c r="F71" s="2">
        <v>56.5</v>
      </c>
      <c r="G71" s="2" t="s">
        <v>240</v>
      </c>
      <c r="H71">
        <f>IF(AND(OR(لوحة_القيادة!$C$4="الكل", A71=لوحة_القيادة!$C$4), IF(لوحة_القيادة!$C$5="الكل", TRUE, INDEX($V71:$AG71, 1, VALUE(لوحة_القيادة!$C$5))&gt;0)), 1, 0)</f>
        <v>0</v>
      </c>
      <c r="I71">
        <f>IF(H71=1, SUM($H$2:H71), "")</f>
        <v>0</v>
      </c>
      <c r="J71" s="2">
        <v>91</v>
      </c>
      <c r="K71" s="2">
        <v>0</v>
      </c>
      <c r="L71" s="2">
        <v>165</v>
      </c>
      <c r="M71" s="2">
        <v>69</v>
      </c>
      <c r="N71" s="2">
        <v>27</v>
      </c>
      <c r="O71" s="2">
        <v>351</v>
      </c>
      <c r="P71" s="2">
        <v>88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1</v>
      </c>
      <c r="W71" s="2">
        <v>0</v>
      </c>
      <c r="X71" s="2">
        <v>4</v>
      </c>
      <c r="Y71" s="2">
        <v>2</v>
      </c>
      <c r="Z71" s="2">
        <v>1</v>
      </c>
      <c r="AA71" s="2">
        <v>5</v>
      </c>
      <c r="AB71" s="2">
        <v>1</v>
      </c>
      <c r="AC71" s="2">
        <v>0</v>
      </c>
      <c r="AD71" s="2">
        <v>0</v>
      </c>
      <c r="AE71" s="2">
        <v>0</v>
      </c>
      <c r="AF71" s="2">
        <v>0</v>
      </c>
      <c r="AG71" s="2">
        <v>2</v>
      </c>
      <c r="AH71" s="2">
        <v>4</v>
      </c>
      <c r="AI71" s="2">
        <v>3</v>
      </c>
      <c r="AJ71" s="2">
        <v>2</v>
      </c>
      <c r="AK71" s="2">
        <v>0</v>
      </c>
      <c r="AL71" s="2">
        <v>0</v>
      </c>
      <c r="AM71" s="2">
        <v>3</v>
      </c>
      <c r="AN71" s="2">
        <v>0</v>
      </c>
      <c r="AO71" s="2">
        <v>0</v>
      </c>
      <c r="AP71" s="2">
        <v>1</v>
      </c>
      <c r="AQ71" s="2">
        <v>0</v>
      </c>
      <c r="AR71" s="2">
        <v>0</v>
      </c>
      <c r="AS71" s="2">
        <v>1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2</v>
      </c>
      <c r="BC71" s="2">
        <v>0</v>
      </c>
      <c r="BD71" s="2">
        <v>0</v>
      </c>
      <c r="BE71" s="2">
        <v>1</v>
      </c>
      <c r="BF71" s="2">
        <v>1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1</v>
      </c>
      <c r="BO71" s="2">
        <v>1</v>
      </c>
      <c r="BP71" s="2">
        <v>0</v>
      </c>
      <c r="BQ71" s="2">
        <v>1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1</v>
      </c>
      <c r="BY71" s="2">
        <v>0</v>
      </c>
      <c r="BZ71" s="2">
        <v>0</v>
      </c>
      <c r="CA71" s="2">
        <v>0</v>
      </c>
      <c r="CB71" s="2">
        <v>0</v>
      </c>
      <c r="CC71" s="2">
        <v>1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1</v>
      </c>
      <c r="DL71" s="2">
        <v>1</v>
      </c>
      <c r="DM71" s="2">
        <v>1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</row>
    <row r="72" spans="1:123">
      <c r="A72" s="2" t="s">
        <v>1</v>
      </c>
      <c r="B72" s="2" t="s">
        <v>241</v>
      </c>
      <c r="C72" s="2">
        <v>776</v>
      </c>
      <c r="D72" s="2">
        <v>48</v>
      </c>
      <c r="E72" s="2">
        <v>12.93</v>
      </c>
      <c r="F72" s="2">
        <v>16.17</v>
      </c>
      <c r="G72" s="2" t="s">
        <v>160</v>
      </c>
      <c r="H72">
        <f>IF(AND(OR(لوحة_القيادة!$C$4="الكل", A72=لوحة_القيادة!$C$4), IF(لوحة_القيادة!$C$5="الكل", TRUE, INDEX($V72:$AG72, 1, VALUE(لوحة_القيادة!$C$5))&gt;0)), 1, 0)</f>
        <v>0</v>
      </c>
      <c r="I72">
        <f>IF(H72=1, SUM($H$2:H72), "")</f>
        <v>0</v>
      </c>
      <c r="J72" s="2">
        <v>91</v>
      </c>
      <c r="K72" s="2">
        <v>82</v>
      </c>
      <c r="L72" s="2">
        <v>41</v>
      </c>
      <c r="M72" s="2">
        <v>151</v>
      </c>
      <c r="N72" s="2">
        <v>134</v>
      </c>
      <c r="O72" s="2">
        <v>178</v>
      </c>
      <c r="P72" s="2">
        <v>99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9</v>
      </c>
      <c r="W72" s="2">
        <v>8</v>
      </c>
      <c r="X72" s="2">
        <v>4</v>
      </c>
      <c r="Y72" s="2">
        <v>7</v>
      </c>
      <c r="Z72" s="2">
        <v>9</v>
      </c>
      <c r="AA72" s="2">
        <v>8</v>
      </c>
      <c r="AB72" s="2">
        <v>3</v>
      </c>
      <c r="AC72" s="2">
        <v>0</v>
      </c>
      <c r="AD72" s="2">
        <v>0</v>
      </c>
      <c r="AE72" s="2">
        <v>0</v>
      </c>
      <c r="AF72" s="2">
        <v>0</v>
      </c>
      <c r="AG72" s="2">
        <v>14</v>
      </c>
      <c r="AH72" s="2">
        <v>13</v>
      </c>
      <c r="AI72" s="2">
        <v>7</v>
      </c>
      <c r="AJ72" s="2">
        <v>4</v>
      </c>
      <c r="AK72" s="2">
        <v>0</v>
      </c>
      <c r="AL72" s="2">
        <v>0</v>
      </c>
      <c r="AM72" s="2">
        <v>10</v>
      </c>
      <c r="AN72" s="2">
        <v>2</v>
      </c>
      <c r="AO72" s="2">
        <v>4</v>
      </c>
      <c r="AP72" s="2">
        <v>1</v>
      </c>
      <c r="AQ72" s="2">
        <v>1</v>
      </c>
      <c r="AR72" s="2">
        <v>4</v>
      </c>
      <c r="AS72" s="2">
        <v>2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1</v>
      </c>
      <c r="BA72" s="2">
        <v>3</v>
      </c>
      <c r="BB72" s="2">
        <v>1</v>
      </c>
      <c r="BC72" s="2">
        <v>3</v>
      </c>
      <c r="BD72" s="2">
        <v>2</v>
      </c>
      <c r="BE72" s="2">
        <v>2</v>
      </c>
      <c r="BF72" s="2">
        <v>1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2</v>
      </c>
      <c r="BM72" s="2">
        <v>0</v>
      </c>
      <c r="BN72" s="2">
        <v>1</v>
      </c>
      <c r="BO72" s="2">
        <v>2</v>
      </c>
      <c r="BP72" s="2">
        <v>0</v>
      </c>
      <c r="BQ72" s="2">
        <v>2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1</v>
      </c>
      <c r="BY72" s="2">
        <v>0</v>
      </c>
      <c r="BZ72" s="2">
        <v>1</v>
      </c>
      <c r="CA72" s="2">
        <v>0</v>
      </c>
      <c r="CB72" s="2">
        <v>0</v>
      </c>
      <c r="CC72" s="2">
        <v>1</v>
      </c>
      <c r="CD72" s="2">
        <v>1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3</v>
      </c>
      <c r="DI72" s="2">
        <v>1</v>
      </c>
      <c r="DJ72" s="2">
        <v>0</v>
      </c>
      <c r="DK72" s="2">
        <v>1</v>
      </c>
      <c r="DL72" s="2">
        <v>3</v>
      </c>
      <c r="DM72" s="2">
        <v>1</v>
      </c>
      <c r="DN72" s="2">
        <v>1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</row>
    <row r="73" spans="1:123">
      <c r="A73" s="2" t="s">
        <v>2</v>
      </c>
      <c r="B73" s="2" t="s">
        <v>242</v>
      </c>
      <c r="C73" s="2">
        <v>772</v>
      </c>
      <c r="D73" s="2">
        <v>58</v>
      </c>
      <c r="E73" s="2">
        <v>12.87</v>
      </c>
      <c r="F73" s="2">
        <v>13.31</v>
      </c>
      <c r="G73" s="2" t="s">
        <v>170</v>
      </c>
      <c r="H73">
        <f>IF(AND(OR(لوحة_القيادة!$C$4="الكل", A73=لوحة_القيادة!$C$4), IF(لوحة_القيادة!$C$5="الكل", TRUE, INDEX($V73:$AG73, 1, VALUE(لوحة_القيادة!$C$5))&gt;0)), 1, 0)</f>
        <v>0</v>
      </c>
      <c r="I73">
        <f>IF(H73=1, SUM($H$2:H73), "")</f>
        <v>0</v>
      </c>
      <c r="J73" s="2">
        <v>81</v>
      </c>
      <c r="K73" s="2">
        <v>62</v>
      </c>
      <c r="L73" s="2">
        <v>231</v>
      </c>
      <c r="M73" s="2">
        <v>181</v>
      </c>
      <c r="N73" s="2">
        <v>195</v>
      </c>
      <c r="O73" s="2">
        <v>22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12</v>
      </c>
      <c r="W73" s="2">
        <v>10</v>
      </c>
      <c r="X73" s="2">
        <v>10</v>
      </c>
      <c r="Y73" s="2">
        <v>12</v>
      </c>
      <c r="Z73" s="2">
        <v>9</v>
      </c>
      <c r="AA73" s="2">
        <v>5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10</v>
      </c>
      <c r="AH73" s="2">
        <v>13</v>
      </c>
      <c r="AI73" s="2">
        <v>12</v>
      </c>
      <c r="AJ73" s="2">
        <v>11</v>
      </c>
      <c r="AK73" s="2">
        <v>0</v>
      </c>
      <c r="AL73" s="2">
        <v>0</v>
      </c>
      <c r="AM73" s="2">
        <v>12</v>
      </c>
      <c r="AN73" s="2">
        <v>1</v>
      </c>
      <c r="AO73" s="2">
        <v>2</v>
      </c>
      <c r="AP73" s="2">
        <v>1</v>
      </c>
      <c r="AQ73" s="2">
        <v>2</v>
      </c>
      <c r="AR73" s="2">
        <v>2</v>
      </c>
      <c r="AS73" s="2">
        <v>2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2</v>
      </c>
      <c r="BA73" s="2">
        <v>3</v>
      </c>
      <c r="BB73" s="2">
        <v>2</v>
      </c>
      <c r="BC73" s="2">
        <v>4</v>
      </c>
      <c r="BD73" s="2">
        <v>1</v>
      </c>
      <c r="BE73" s="2">
        <v>1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3</v>
      </c>
      <c r="BM73" s="2">
        <v>2</v>
      </c>
      <c r="BN73" s="2">
        <v>3</v>
      </c>
      <c r="BO73" s="2">
        <v>2</v>
      </c>
      <c r="BP73" s="2">
        <v>2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3</v>
      </c>
      <c r="BY73" s="2">
        <v>1</v>
      </c>
      <c r="BZ73" s="2">
        <v>2</v>
      </c>
      <c r="CA73" s="2">
        <v>2</v>
      </c>
      <c r="CB73" s="2">
        <v>2</v>
      </c>
      <c r="CC73" s="2">
        <v>1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3</v>
      </c>
      <c r="DI73" s="2">
        <v>2</v>
      </c>
      <c r="DJ73" s="2">
        <v>2</v>
      </c>
      <c r="DK73" s="2">
        <v>2</v>
      </c>
      <c r="DL73" s="2">
        <v>2</v>
      </c>
      <c r="DM73" s="2">
        <v>1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</row>
    <row r="74" spans="1:123">
      <c r="A74" s="2" t="s">
        <v>6</v>
      </c>
      <c r="B74" s="2" t="s">
        <v>243</v>
      </c>
      <c r="C74" s="2">
        <v>769</v>
      </c>
      <c r="D74" s="2">
        <v>67</v>
      </c>
      <c r="E74" s="2">
        <v>12.82</v>
      </c>
      <c r="F74" s="2">
        <v>11.48</v>
      </c>
      <c r="G74" s="2" t="s">
        <v>160</v>
      </c>
      <c r="H74">
        <f>IF(AND(OR(لوحة_القيادة!$C$4="الكل", A74=لوحة_القيادة!$C$4), IF(لوحة_القيادة!$C$5="الكل", TRUE, INDEX($V74:$AG74, 1, VALUE(لوحة_القيادة!$C$5))&gt;0)), 1, 0)</f>
        <v>0</v>
      </c>
      <c r="I74">
        <f>IF(H74=1, SUM($H$2:H74), "")</f>
        <v>0</v>
      </c>
      <c r="J74" s="2">
        <v>139</v>
      </c>
      <c r="K74" s="2">
        <v>95</v>
      </c>
      <c r="L74" s="2">
        <v>129</v>
      </c>
      <c r="M74" s="2">
        <v>90</v>
      </c>
      <c r="N74" s="2">
        <v>91</v>
      </c>
      <c r="O74" s="2">
        <v>206</v>
      </c>
      <c r="P74" s="2">
        <v>19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16</v>
      </c>
      <c r="W74" s="2">
        <v>11</v>
      </c>
      <c r="X74" s="2">
        <v>13</v>
      </c>
      <c r="Y74" s="2">
        <v>9</v>
      </c>
      <c r="Z74" s="2">
        <v>8</v>
      </c>
      <c r="AA74" s="2">
        <v>8</v>
      </c>
      <c r="AB74" s="2">
        <v>2</v>
      </c>
      <c r="AC74" s="2">
        <v>0</v>
      </c>
      <c r="AD74" s="2">
        <v>0</v>
      </c>
      <c r="AE74" s="2">
        <v>0</v>
      </c>
      <c r="AF74" s="2">
        <v>0</v>
      </c>
      <c r="AG74" s="2">
        <v>14</v>
      </c>
      <c r="AH74" s="2">
        <v>17</v>
      </c>
      <c r="AI74" s="2">
        <v>16</v>
      </c>
      <c r="AJ74" s="2">
        <v>13</v>
      </c>
      <c r="AK74" s="2">
        <v>0</v>
      </c>
      <c r="AL74" s="2">
        <v>0</v>
      </c>
      <c r="AM74" s="2">
        <v>7</v>
      </c>
      <c r="AN74" s="2">
        <v>4</v>
      </c>
      <c r="AO74" s="2">
        <v>2</v>
      </c>
      <c r="AP74" s="2">
        <v>2</v>
      </c>
      <c r="AQ74" s="2">
        <v>2</v>
      </c>
      <c r="AR74" s="2">
        <v>4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4</v>
      </c>
      <c r="BA74" s="2">
        <v>2</v>
      </c>
      <c r="BB74" s="2">
        <v>4</v>
      </c>
      <c r="BC74" s="2">
        <v>2</v>
      </c>
      <c r="BD74" s="2">
        <v>1</v>
      </c>
      <c r="BE74" s="2">
        <v>4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4</v>
      </c>
      <c r="BM74" s="2">
        <v>3</v>
      </c>
      <c r="BN74" s="2">
        <v>4</v>
      </c>
      <c r="BO74" s="2">
        <v>2</v>
      </c>
      <c r="BP74" s="2">
        <v>1</v>
      </c>
      <c r="BQ74" s="2">
        <v>1</v>
      </c>
      <c r="BR74" s="2">
        <v>1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2</v>
      </c>
      <c r="BY74" s="2">
        <v>3</v>
      </c>
      <c r="BZ74" s="2">
        <v>2</v>
      </c>
      <c r="CA74" s="2">
        <v>2</v>
      </c>
      <c r="CB74" s="2">
        <v>1</v>
      </c>
      <c r="CC74" s="2">
        <v>2</v>
      </c>
      <c r="CD74" s="2">
        <v>1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2</v>
      </c>
      <c r="DI74" s="2">
        <v>1</v>
      </c>
      <c r="DJ74" s="2">
        <v>1</v>
      </c>
      <c r="DK74" s="2">
        <v>1</v>
      </c>
      <c r="DL74" s="2">
        <v>1</v>
      </c>
      <c r="DM74" s="2">
        <v>1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</row>
    <row r="75" spans="1:123">
      <c r="A75" s="2" t="s">
        <v>13</v>
      </c>
      <c r="B75" s="2" t="s">
        <v>244</v>
      </c>
      <c r="C75" s="2">
        <v>765</v>
      </c>
      <c r="D75" s="2">
        <v>43</v>
      </c>
      <c r="E75" s="2">
        <v>12.75</v>
      </c>
      <c r="F75" s="2">
        <v>17.79</v>
      </c>
      <c r="G75" s="2" t="s">
        <v>160</v>
      </c>
      <c r="H75">
        <f>IF(AND(OR(لوحة_القيادة!$C$4="الكل", A75=لوحة_القيادة!$C$4), IF(لوحة_القيادة!$C$5="الكل", TRUE, INDEX($V75:$AG75, 1, VALUE(لوحة_القيادة!$C$5))&gt;0)), 1, 0)</f>
        <v>0</v>
      </c>
      <c r="I75">
        <f>IF(H75=1, SUM($H$2:H75), "")</f>
        <v>0</v>
      </c>
      <c r="J75" s="2">
        <v>40</v>
      </c>
      <c r="K75" s="2">
        <v>53</v>
      </c>
      <c r="L75" s="2">
        <v>151</v>
      </c>
      <c r="M75" s="2">
        <v>7</v>
      </c>
      <c r="N75" s="2">
        <v>269</v>
      </c>
      <c r="O75" s="2">
        <v>58</v>
      </c>
      <c r="P75" s="2">
        <v>187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7</v>
      </c>
      <c r="W75" s="2">
        <v>5</v>
      </c>
      <c r="X75" s="2">
        <v>9</v>
      </c>
      <c r="Y75" s="2">
        <v>3</v>
      </c>
      <c r="Z75" s="2">
        <v>9</v>
      </c>
      <c r="AA75" s="2">
        <v>6</v>
      </c>
      <c r="AB75" s="2">
        <v>4</v>
      </c>
      <c r="AC75" s="2">
        <v>0</v>
      </c>
      <c r="AD75" s="2">
        <v>0</v>
      </c>
      <c r="AE75" s="2">
        <v>0</v>
      </c>
      <c r="AF75" s="2">
        <v>0</v>
      </c>
      <c r="AG75" s="2">
        <v>8</v>
      </c>
      <c r="AH75" s="2">
        <v>11</v>
      </c>
      <c r="AI75" s="2">
        <v>9</v>
      </c>
      <c r="AJ75" s="2">
        <v>7</v>
      </c>
      <c r="AK75" s="2">
        <v>0</v>
      </c>
      <c r="AL75" s="2">
        <v>0</v>
      </c>
      <c r="AM75" s="2">
        <v>8</v>
      </c>
      <c r="AN75" s="2">
        <v>2</v>
      </c>
      <c r="AO75" s="2">
        <v>1</v>
      </c>
      <c r="AP75" s="2">
        <v>1</v>
      </c>
      <c r="AQ75" s="2">
        <v>0</v>
      </c>
      <c r="AR75" s="2">
        <v>3</v>
      </c>
      <c r="AS75" s="2">
        <v>1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1</v>
      </c>
      <c r="BA75" s="2">
        <v>2</v>
      </c>
      <c r="BB75" s="2">
        <v>3</v>
      </c>
      <c r="BC75" s="2">
        <v>1</v>
      </c>
      <c r="BD75" s="2">
        <v>2</v>
      </c>
      <c r="BE75" s="2">
        <v>1</v>
      </c>
      <c r="BF75" s="2">
        <v>1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2</v>
      </c>
      <c r="BM75" s="2">
        <v>1</v>
      </c>
      <c r="BN75" s="2">
        <v>3</v>
      </c>
      <c r="BO75" s="2">
        <v>1</v>
      </c>
      <c r="BP75" s="2">
        <v>0</v>
      </c>
      <c r="BQ75" s="2">
        <v>1</v>
      </c>
      <c r="BR75" s="2">
        <v>1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1</v>
      </c>
      <c r="BZ75" s="2">
        <v>0</v>
      </c>
      <c r="CA75" s="2">
        <v>1</v>
      </c>
      <c r="CB75" s="2">
        <v>2</v>
      </c>
      <c r="CC75" s="2">
        <v>2</v>
      </c>
      <c r="CD75" s="2">
        <v>1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2</v>
      </c>
      <c r="DI75" s="2">
        <v>0</v>
      </c>
      <c r="DJ75" s="2">
        <v>2</v>
      </c>
      <c r="DK75" s="2">
        <v>0</v>
      </c>
      <c r="DL75" s="2">
        <v>2</v>
      </c>
      <c r="DM75" s="2">
        <v>1</v>
      </c>
      <c r="DN75" s="2">
        <v>1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</row>
    <row r="76" spans="1:123">
      <c r="A76" s="2" t="s">
        <v>1</v>
      </c>
      <c r="B76" s="2" t="s">
        <v>245</v>
      </c>
      <c r="C76" s="2">
        <v>750</v>
      </c>
      <c r="D76" s="2">
        <v>41</v>
      </c>
      <c r="E76" s="2">
        <v>12.5</v>
      </c>
      <c r="F76" s="2">
        <v>18.29</v>
      </c>
      <c r="G76" s="2" t="s">
        <v>160</v>
      </c>
      <c r="H76">
        <f>IF(AND(OR(لوحة_القيادة!$C$4="الكل", A76=لوحة_القيادة!$C$4), IF(لوحة_القيادة!$C$5="الكل", TRUE, INDEX($V76:$AG76, 1, VALUE(لوحة_القيادة!$C$5))&gt;0)), 1, 0)</f>
        <v>0</v>
      </c>
      <c r="I76">
        <f>IF(H76=1, SUM($H$2:H76), "")</f>
        <v>0</v>
      </c>
      <c r="J76" s="2">
        <v>250</v>
      </c>
      <c r="K76" s="2">
        <v>89</v>
      </c>
      <c r="L76" s="2">
        <v>108</v>
      </c>
      <c r="M76" s="2">
        <v>115</v>
      </c>
      <c r="N76" s="2">
        <v>60</v>
      </c>
      <c r="O76" s="2">
        <v>92</v>
      </c>
      <c r="P76" s="2">
        <v>36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6</v>
      </c>
      <c r="W76" s="2">
        <v>9</v>
      </c>
      <c r="X76" s="2">
        <v>2</v>
      </c>
      <c r="Y76" s="2">
        <v>7</v>
      </c>
      <c r="Z76" s="2">
        <v>6</v>
      </c>
      <c r="AA76" s="2">
        <v>9</v>
      </c>
      <c r="AB76" s="2">
        <v>2</v>
      </c>
      <c r="AC76" s="2">
        <v>0</v>
      </c>
      <c r="AD76" s="2">
        <v>0</v>
      </c>
      <c r="AE76" s="2">
        <v>0</v>
      </c>
      <c r="AF76" s="2">
        <v>0</v>
      </c>
      <c r="AG76" s="2">
        <v>13</v>
      </c>
      <c r="AH76" s="2">
        <v>11</v>
      </c>
      <c r="AI76" s="2">
        <v>5</v>
      </c>
      <c r="AJ76" s="2">
        <v>3</v>
      </c>
      <c r="AK76" s="2">
        <v>0</v>
      </c>
      <c r="AL76" s="2">
        <v>0</v>
      </c>
      <c r="AM76" s="2">
        <v>9</v>
      </c>
      <c r="AN76" s="2">
        <v>1</v>
      </c>
      <c r="AO76" s="2">
        <v>3</v>
      </c>
      <c r="AP76" s="2">
        <v>1</v>
      </c>
      <c r="AQ76" s="2">
        <v>3</v>
      </c>
      <c r="AR76" s="2">
        <v>1</v>
      </c>
      <c r="AS76" s="2">
        <v>3</v>
      </c>
      <c r="AT76" s="2">
        <v>1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3</v>
      </c>
      <c r="BA76" s="2">
        <v>3</v>
      </c>
      <c r="BB76" s="2">
        <v>0</v>
      </c>
      <c r="BC76" s="2">
        <v>2</v>
      </c>
      <c r="BD76" s="2">
        <v>1</v>
      </c>
      <c r="BE76" s="2">
        <v>2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2</v>
      </c>
      <c r="BN76" s="2">
        <v>0</v>
      </c>
      <c r="BO76" s="2">
        <v>0</v>
      </c>
      <c r="BP76" s="2">
        <v>2</v>
      </c>
      <c r="BQ76" s="2">
        <v>1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1</v>
      </c>
      <c r="CA76" s="2">
        <v>0</v>
      </c>
      <c r="CB76" s="2">
        <v>1</v>
      </c>
      <c r="CC76" s="2">
        <v>1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2</v>
      </c>
      <c r="DI76" s="2">
        <v>1</v>
      </c>
      <c r="DJ76" s="2">
        <v>0</v>
      </c>
      <c r="DK76" s="2">
        <v>2</v>
      </c>
      <c r="DL76" s="2">
        <v>1</v>
      </c>
      <c r="DM76" s="2">
        <v>2</v>
      </c>
      <c r="DN76" s="2">
        <v>1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</row>
    <row r="77" spans="1:123">
      <c r="A77" s="2" t="s">
        <v>7</v>
      </c>
      <c r="B77" s="2" t="s">
        <v>246</v>
      </c>
      <c r="C77" s="2">
        <v>737</v>
      </c>
      <c r="D77" s="2">
        <v>20</v>
      </c>
      <c r="E77" s="2">
        <v>12.28</v>
      </c>
      <c r="F77" s="2">
        <v>36.85</v>
      </c>
      <c r="G77" s="2" t="s">
        <v>160</v>
      </c>
      <c r="H77">
        <f>IF(AND(OR(لوحة_القيادة!$C$4="الكل", A77=لوحة_القيادة!$C$4), IF(لوحة_القيادة!$C$5="الكل", TRUE, INDEX($V77:$AG77, 1, VALUE(لوحة_القيادة!$C$5))&gt;0)), 1, 0)</f>
        <v>0</v>
      </c>
      <c r="I77">
        <f>IF(H77=1, SUM($H$2:H77), "")</f>
        <v>0</v>
      </c>
      <c r="J77" s="2">
        <v>40</v>
      </c>
      <c r="K77" s="2">
        <v>109</v>
      </c>
      <c r="L77" s="2">
        <v>203</v>
      </c>
      <c r="M77" s="2">
        <v>166</v>
      </c>
      <c r="N77" s="2">
        <v>46</v>
      </c>
      <c r="O77" s="2">
        <v>124</v>
      </c>
      <c r="P77" s="2">
        <v>49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2</v>
      </c>
      <c r="W77" s="2">
        <v>4</v>
      </c>
      <c r="X77" s="2">
        <v>4</v>
      </c>
      <c r="Y77" s="2">
        <v>3</v>
      </c>
      <c r="Z77" s="2">
        <v>2</v>
      </c>
      <c r="AA77" s="2">
        <v>3</v>
      </c>
      <c r="AB77" s="2">
        <v>2</v>
      </c>
      <c r="AC77" s="2">
        <v>0</v>
      </c>
      <c r="AD77" s="2">
        <v>0</v>
      </c>
      <c r="AE77" s="2">
        <v>0</v>
      </c>
      <c r="AF77" s="2">
        <v>0</v>
      </c>
      <c r="AG77" s="2">
        <v>7</v>
      </c>
      <c r="AH77" s="2">
        <v>4</v>
      </c>
      <c r="AI77" s="2">
        <v>4</v>
      </c>
      <c r="AJ77" s="2">
        <v>5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1</v>
      </c>
      <c r="AQ77" s="2">
        <v>2</v>
      </c>
      <c r="AR77" s="2">
        <v>2</v>
      </c>
      <c r="AS77" s="2">
        <v>1</v>
      </c>
      <c r="AT77" s="2">
        <v>1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1</v>
      </c>
      <c r="BB77" s="2">
        <v>2</v>
      </c>
      <c r="BC77" s="2">
        <v>0</v>
      </c>
      <c r="BD77" s="2">
        <v>0</v>
      </c>
      <c r="BE77" s="2">
        <v>1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2</v>
      </c>
      <c r="BM77" s="2">
        <v>0</v>
      </c>
      <c r="BN77" s="2">
        <v>0</v>
      </c>
      <c r="BO77" s="2">
        <v>1</v>
      </c>
      <c r="BP77" s="2">
        <v>0</v>
      </c>
      <c r="BQ77" s="2">
        <v>0</v>
      </c>
      <c r="BR77" s="2">
        <v>1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3</v>
      </c>
      <c r="BZ77" s="2">
        <v>1</v>
      </c>
      <c r="CA77" s="2">
        <v>0</v>
      </c>
      <c r="CB77" s="2">
        <v>0</v>
      </c>
      <c r="CC77" s="2">
        <v>1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</row>
    <row r="78" spans="1:123">
      <c r="A78" s="2" t="s">
        <v>22</v>
      </c>
      <c r="B78" s="2" t="s">
        <v>247</v>
      </c>
      <c r="C78" s="2">
        <v>725</v>
      </c>
      <c r="D78" s="2">
        <v>60</v>
      </c>
      <c r="E78" s="2">
        <v>12.08</v>
      </c>
      <c r="F78" s="2">
        <v>12.08</v>
      </c>
      <c r="G78" s="2" t="s">
        <v>160</v>
      </c>
      <c r="H78">
        <f>IF(AND(OR(لوحة_القيادة!$C$4="الكل", A78=لوحة_القيادة!$C$4), IF(لوحة_القيادة!$C$5="الكل", TRUE, INDEX($V78:$AG78, 1, VALUE(لوحة_القيادة!$C$5))&gt;0)), 1, 0)</f>
        <v>0</v>
      </c>
      <c r="I78">
        <f>IF(H78=1, SUM($H$2:H78), "")</f>
        <v>0</v>
      </c>
      <c r="J78" s="2">
        <v>100</v>
      </c>
      <c r="K78" s="2">
        <v>164</v>
      </c>
      <c r="L78" s="2">
        <v>314</v>
      </c>
      <c r="M78" s="2">
        <v>48</v>
      </c>
      <c r="N78" s="2">
        <v>9</v>
      </c>
      <c r="O78" s="2">
        <v>21</v>
      </c>
      <c r="P78" s="2">
        <v>69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13</v>
      </c>
      <c r="W78" s="2">
        <v>16</v>
      </c>
      <c r="X78" s="2">
        <v>9</v>
      </c>
      <c r="Y78" s="2">
        <v>6</v>
      </c>
      <c r="Z78" s="2">
        <v>3</v>
      </c>
      <c r="AA78" s="2">
        <v>7</v>
      </c>
      <c r="AB78" s="2">
        <v>6</v>
      </c>
      <c r="AC78" s="2">
        <v>0</v>
      </c>
      <c r="AD78" s="2">
        <v>0</v>
      </c>
      <c r="AE78" s="2">
        <v>0</v>
      </c>
      <c r="AF78" s="2">
        <v>0</v>
      </c>
      <c r="AG78" s="2">
        <v>10</v>
      </c>
      <c r="AH78" s="2">
        <v>13</v>
      </c>
      <c r="AI78" s="2">
        <v>11</v>
      </c>
      <c r="AJ78" s="2">
        <v>14</v>
      </c>
      <c r="AK78" s="2">
        <v>0</v>
      </c>
      <c r="AL78" s="2">
        <v>0</v>
      </c>
      <c r="AM78" s="2">
        <v>12</v>
      </c>
      <c r="AN78" s="2">
        <v>3</v>
      </c>
      <c r="AO78" s="2">
        <v>4</v>
      </c>
      <c r="AP78" s="2">
        <v>1</v>
      </c>
      <c r="AQ78" s="2">
        <v>1</v>
      </c>
      <c r="AR78" s="2">
        <v>0</v>
      </c>
      <c r="AS78" s="2">
        <v>0</v>
      </c>
      <c r="AT78" s="2">
        <v>1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3</v>
      </c>
      <c r="BA78" s="2">
        <v>3</v>
      </c>
      <c r="BB78" s="2">
        <v>2</v>
      </c>
      <c r="BC78" s="2">
        <v>3</v>
      </c>
      <c r="BD78" s="2">
        <v>1</v>
      </c>
      <c r="BE78" s="2">
        <v>0</v>
      </c>
      <c r="BF78" s="2">
        <v>1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3</v>
      </c>
      <c r="BM78" s="2">
        <v>4</v>
      </c>
      <c r="BN78" s="2">
        <v>2</v>
      </c>
      <c r="BO78" s="2">
        <v>0</v>
      </c>
      <c r="BP78" s="2">
        <v>0</v>
      </c>
      <c r="BQ78" s="2">
        <v>1</v>
      </c>
      <c r="BR78" s="2">
        <v>1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2</v>
      </c>
      <c r="BY78" s="2">
        <v>3</v>
      </c>
      <c r="BZ78" s="2">
        <v>2</v>
      </c>
      <c r="CA78" s="2">
        <v>2</v>
      </c>
      <c r="CB78" s="2">
        <v>1</v>
      </c>
      <c r="CC78" s="2">
        <v>2</v>
      </c>
      <c r="CD78" s="2">
        <v>2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0</v>
      </c>
      <c r="DH78" s="2">
        <v>2</v>
      </c>
      <c r="DI78" s="2">
        <v>2</v>
      </c>
      <c r="DJ78" s="2">
        <v>2</v>
      </c>
      <c r="DK78" s="2">
        <v>0</v>
      </c>
      <c r="DL78" s="2">
        <v>1</v>
      </c>
      <c r="DM78" s="2">
        <v>4</v>
      </c>
      <c r="DN78" s="2">
        <v>1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</row>
    <row r="79" spans="1:123">
      <c r="A79" s="2" t="s">
        <v>11</v>
      </c>
      <c r="B79" s="2" t="s">
        <v>248</v>
      </c>
      <c r="C79" s="2">
        <v>723</v>
      </c>
      <c r="D79" s="2">
        <v>26</v>
      </c>
      <c r="E79" s="2">
        <v>12.05</v>
      </c>
      <c r="F79" s="2">
        <v>27.81</v>
      </c>
      <c r="G79" s="2" t="s">
        <v>249</v>
      </c>
      <c r="H79">
        <f>IF(AND(OR(لوحة_القيادة!$C$4="الكل", A79=لوحة_القيادة!$C$4), IF(لوحة_القيادة!$C$5="الكل", TRUE, INDEX($V79:$AG79, 1, VALUE(لوحة_القيادة!$C$5))&gt;0)), 1, 0)</f>
        <v>0</v>
      </c>
      <c r="I79">
        <f>IF(H79=1, SUM($H$2:H79), "")</f>
        <v>0</v>
      </c>
      <c r="J79" s="2">
        <v>51</v>
      </c>
      <c r="K79" s="2">
        <v>50</v>
      </c>
      <c r="L79" s="2">
        <v>463</v>
      </c>
      <c r="M79" s="2">
        <v>126</v>
      </c>
      <c r="N79" s="2">
        <v>0</v>
      </c>
      <c r="O79" s="2">
        <v>33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5</v>
      </c>
      <c r="W79" s="2">
        <v>3</v>
      </c>
      <c r="X79" s="2">
        <v>13</v>
      </c>
      <c r="Y79" s="2">
        <v>4</v>
      </c>
      <c r="Z79" s="2">
        <v>0</v>
      </c>
      <c r="AA79" s="2">
        <v>1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4</v>
      </c>
      <c r="AH79" s="2">
        <v>7</v>
      </c>
      <c r="AI79" s="2">
        <v>5</v>
      </c>
      <c r="AJ79" s="2">
        <v>5</v>
      </c>
      <c r="AK79" s="2">
        <v>0</v>
      </c>
      <c r="AL79" s="2">
        <v>2</v>
      </c>
      <c r="AM79" s="2">
        <v>3</v>
      </c>
      <c r="AN79" s="2">
        <v>1</v>
      </c>
      <c r="AO79" s="2">
        <v>0</v>
      </c>
      <c r="AP79" s="2">
        <v>2</v>
      </c>
      <c r="AQ79" s="2">
        <v>1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1</v>
      </c>
      <c r="BA79" s="2">
        <v>1</v>
      </c>
      <c r="BB79" s="2">
        <v>3</v>
      </c>
      <c r="BC79" s="2">
        <v>1</v>
      </c>
      <c r="BD79" s="2">
        <v>0</v>
      </c>
      <c r="BE79" s="2">
        <v>1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1</v>
      </c>
      <c r="BM79" s="2">
        <v>1</v>
      </c>
      <c r="BN79" s="2">
        <v>3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2</v>
      </c>
      <c r="BY79" s="2">
        <v>0</v>
      </c>
      <c r="BZ79" s="2">
        <v>2</v>
      </c>
      <c r="CA79" s="2">
        <v>1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1</v>
      </c>
      <c r="CY79" s="2">
        <v>1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1</v>
      </c>
      <c r="DJ79" s="2">
        <v>2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</row>
    <row r="80" spans="1:123">
      <c r="A80" s="2" t="s">
        <v>11</v>
      </c>
      <c r="B80" s="2" t="s">
        <v>250</v>
      </c>
      <c r="C80" s="2">
        <v>720</v>
      </c>
      <c r="D80" s="2">
        <v>16</v>
      </c>
      <c r="E80" s="2">
        <v>12</v>
      </c>
      <c r="F80" s="2">
        <v>45</v>
      </c>
      <c r="G80" s="2" t="s">
        <v>160</v>
      </c>
      <c r="H80">
        <f>IF(AND(OR(لوحة_القيادة!$C$4="الكل", A80=لوحة_القيادة!$C$4), IF(لوحة_القيادة!$C$5="الكل", TRUE, INDEX($V80:$AG80, 1, VALUE(لوحة_القيادة!$C$5))&gt;0)), 1, 0)</f>
        <v>0</v>
      </c>
      <c r="I80">
        <f>IF(H80=1, SUM($H$2:H80), "")</f>
        <v>0</v>
      </c>
      <c r="J80" s="2">
        <v>228</v>
      </c>
      <c r="K80" s="2">
        <v>4</v>
      </c>
      <c r="L80" s="2">
        <v>428</v>
      </c>
      <c r="M80" s="2">
        <v>15</v>
      </c>
      <c r="N80" s="2">
        <v>11</v>
      </c>
      <c r="O80" s="2">
        <v>24</v>
      </c>
      <c r="P80" s="2">
        <v>10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3</v>
      </c>
      <c r="W80" s="2">
        <v>2</v>
      </c>
      <c r="X80" s="2">
        <v>3</v>
      </c>
      <c r="Y80" s="2">
        <v>1</v>
      </c>
      <c r="Z80" s="2">
        <v>1</v>
      </c>
      <c r="AA80" s="2">
        <v>5</v>
      </c>
      <c r="AB80" s="2">
        <v>1</v>
      </c>
      <c r="AC80" s="2">
        <v>0</v>
      </c>
      <c r="AD80" s="2">
        <v>0</v>
      </c>
      <c r="AE80" s="2">
        <v>0</v>
      </c>
      <c r="AF80" s="2">
        <v>0</v>
      </c>
      <c r="AG80" s="2">
        <v>3</v>
      </c>
      <c r="AH80" s="2">
        <v>3</v>
      </c>
      <c r="AI80" s="2">
        <v>0</v>
      </c>
      <c r="AJ80" s="2">
        <v>3</v>
      </c>
      <c r="AK80" s="2">
        <v>2</v>
      </c>
      <c r="AL80" s="2">
        <v>1</v>
      </c>
      <c r="AM80" s="2">
        <v>4</v>
      </c>
      <c r="AN80" s="2">
        <v>1</v>
      </c>
      <c r="AO80" s="2">
        <v>0</v>
      </c>
      <c r="AP80" s="2">
        <v>1</v>
      </c>
      <c r="AQ80" s="2">
        <v>0</v>
      </c>
      <c r="AR80" s="2">
        <v>0</v>
      </c>
      <c r="AS80" s="2">
        <v>1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1</v>
      </c>
      <c r="BC80" s="2">
        <v>0</v>
      </c>
      <c r="BD80" s="2">
        <v>1</v>
      </c>
      <c r="BE80" s="2">
        <v>1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1</v>
      </c>
      <c r="BZ80" s="2">
        <v>0</v>
      </c>
      <c r="CA80" s="2">
        <v>0</v>
      </c>
      <c r="CB80" s="2">
        <v>0</v>
      </c>
      <c r="CC80" s="2">
        <v>2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1</v>
      </c>
      <c r="CL80" s="2">
        <v>0</v>
      </c>
      <c r="CM80" s="2">
        <v>1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1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0</v>
      </c>
      <c r="DH80" s="2">
        <v>2</v>
      </c>
      <c r="DI80" s="2">
        <v>0</v>
      </c>
      <c r="DJ80" s="2">
        <v>1</v>
      </c>
      <c r="DK80" s="2">
        <v>0</v>
      </c>
      <c r="DL80" s="2">
        <v>0</v>
      </c>
      <c r="DM80" s="2">
        <v>0</v>
      </c>
      <c r="DN80" s="2">
        <v>1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</row>
    <row r="81" spans="1:123">
      <c r="A81" s="2" t="s">
        <v>11</v>
      </c>
      <c r="B81" s="2" t="s">
        <v>251</v>
      </c>
      <c r="C81" s="2">
        <v>715</v>
      </c>
      <c r="D81" s="2">
        <v>49</v>
      </c>
      <c r="E81" s="2">
        <v>11.92</v>
      </c>
      <c r="F81" s="2">
        <v>14.59</v>
      </c>
      <c r="G81" s="2" t="s">
        <v>252</v>
      </c>
      <c r="H81">
        <f>IF(AND(OR(لوحة_القيادة!$C$4="الكل", A81=لوحة_القيادة!$C$4), IF(لوحة_القيادة!$C$5="الكل", TRUE, INDEX($V81:$AG81, 1, VALUE(لوحة_القيادة!$C$5))&gt;0)), 1, 0)</f>
        <v>0</v>
      </c>
      <c r="I81">
        <f>IF(H81=1, SUM($H$2:H81), "")</f>
        <v>0</v>
      </c>
      <c r="J81" s="2">
        <v>125</v>
      </c>
      <c r="K81" s="2">
        <v>108</v>
      </c>
      <c r="L81" s="2">
        <v>119</v>
      </c>
      <c r="M81" s="2">
        <v>260</v>
      </c>
      <c r="N81" s="2">
        <v>95</v>
      </c>
      <c r="O81" s="2">
        <v>0</v>
      </c>
      <c r="P81" s="2">
        <v>8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11</v>
      </c>
      <c r="W81" s="2">
        <v>9</v>
      </c>
      <c r="X81" s="2">
        <v>7</v>
      </c>
      <c r="Y81" s="2">
        <v>14</v>
      </c>
      <c r="Z81" s="2">
        <v>7</v>
      </c>
      <c r="AA81" s="2">
        <v>0</v>
      </c>
      <c r="AB81" s="2">
        <v>1</v>
      </c>
      <c r="AC81" s="2">
        <v>0</v>
      </c>
      <c r="AD81" s="2">
        <v>0</v>
      </c>
      <c r="AE81" s="2">
        <v>0</v>
      </c>
      <c r="AF81" s="2">
        <v>0</v>
      </c>
      <c r="AG81" s="2">
        <v>10</v>
      </c>
      <c r="AH81" s="2">
        <v>13</v>
      </c>
      <c r="AI81" s="2">
        <v>11</v>
      </c>
      <c r="AJ81" s="2">
        <v>9</v>
      </c>
      <c r="AK81" s="2">
        <v>0</v>
      </c>
      <c r="AL81" s="2">
        <v>0</v>
      </c>
      <c r="AM81" s="2">
        <v>6</v>
      </c>
      <c r="AN81" s="2">
        <v>2</v>
      </c>
      <c r="AO81" s="2">
        <v>2</v>
      </c>
      <c r="AP81" s="2">
        <v>2</v>
      </c>
      <c r="AQ81" s="2">
        <v>2</v>
      </c>
      <c r="AR81" s="2">
        <v>2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2</v>
      </c>
      <c r="BA81" s="2">
        <v>3</v>
      </c>
      <c r="BB81" s="2">
        <v>3</v>
      </c>
      <c r="BC81" s="2">
        <v>3</v>
      </c>
      <c r="BD81" s="2">
        <v>2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4</v>
      </c>
      <c r="BM81" s="2">
        <v>0</v>
      </c>
      <c r="BN81" s="2">
        <v>1</v>
      </c>
      <c r="BO81" s="2">
        <v>4</v>
      </c>
      <c r="BP81" s="2">
        <v>1</v>
      </c>
      <c r="BQ81" s="2">
        <v>0</v>
      </c>
      <c r="BR81" s="2">
        <v>1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3</v>
      </c>
      <c r="BY81" s="2">
        <v>3</v>
      </c>
      <c r="BZ81" s="2">
        <v>0</v>
      </c>
      <c r="CA81" s="2">
        <v>2</v>
      </c>
      <c r="CB81" s="2">
        <v>1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  <c r="DE81" s="2">
        <v>0</v>
      </c>
      <c r="DF81" s="2">
        <v>0</v>
      </c>
      <c r="DG81" s="2">
        <v>0</v>
      </c>
      <c r="DH81" s="2">
        <v>0</v>
      </c>
      <c r="DI81" s="2">
        <v>1</v>
      </c>
      <c r="DJ81" s="2">
        <v>1</v>
      </c>
      <c r="DK81" s="2">
        <v>3</v>
      </c>
      <c r="DL81" s="2">
        <v>1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</row>
    <row r="82" spans="1:123">
      <c r="A82" s="2" t="s">
        <v>11</v>
      </c>
      <c r="B82" s="2" t="s">
        <v>253</v>
      </c>
      <c r="C82" s="2">
        <v>708</v>
      </c>
      <c r="D82" s="2">
        <v>40</v>
      </c>
      <c r="E82" s="2">
        <v>11.8</v>
      </c>
      <c r="F82" s="2">
        <v>17.7</v>
      </c>
      <c r="G82" s="2" t="s">
        <v>160</v>
      </c>
      <c r="H82">
        <f>IF(AND(OR(لوحة_القيادة!$C$4="الكل", A82=لوحة_القيادة!$C$4), IF(لوحة_القيادة!$C$5="الكل", TRUE, INDEX($V82:$AG82, 1, VALUE(لوحة_القيادة!$C$5))&gt;0)), 1, 0)</f>
        <v>0</v>
      </c>
      <c r="I82">
        <f>IF(H82=1, SUM($H$2:H82), "")</f>
        <v>0</v>
      </c>
      <c r="J82" s="2">
        <v>39</v>
      </c>
      <c r="K82" s="2">
        <v>147</v>
      </c>
      <c r="L82" s="2">
        <v>211</v>
      </c>
      <c r="M82" s="2">
        <v>166</v>
      </c>
      <c r="N82" s="2">
        <v>38</v>
      </c>
      <c r="O82" s="2">
        <v>76</v>
      </c>
      <c r="P82" s="2">
        <v>31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2</v>
      </c>
      <c r="W82" s="2">
        <v>7</v>
      </c>
      <c r="X82" s="2">
        <v>12</v>
      </c>
      <c r="Y82" s="2">
        <v>8</v>
      </c>
      <c r="Z82" s="2">
        <v>5</v>
      </c>
      <c r="AA82" s="2">
        <v>3</v>
      </c>
      <c r="AB82" s="2">
        <v>3</v>
      </c>
      <c r="AC82" s="2">
        <v>0</v>
      </c>
      <c r="AD82" s="2">
        <v>0</v>
      </c>
      <c r="AE82" s="2">
        <v>0</v>
      </c>
      <c r="AF82" s="2">
        <v>0</v>
      </c>
      <c r="AG82" s="2">
        <v>4</v>
      </c>
      <c r="AH82" s="2">
        <v>8</v>
      </c>
      <c r="AI82" s="2">
        <v>10</v>
      </c>
      <c r="AJ82" s="2">
        <v>9</v>
      </c>
      <c r="AK82" s="2">
        <v>0</v>
      </c>
      <c r="AL82" s="2">
        <v>0</v>
      </c>
      <c r="AM82" s="2">
        <v>9</v>
      </c>
      <c r="AN82" s="2">
        <v>0</v>
      </c>
      <c r="AO82" s="2">
        <v>1</v>
      </c>
      <c r="AP82" s="2">
        <v>2</v>
      </c>
      <c r="AQ82" s="2">
        <v>1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1</v>
      </c>
      <c r="BA82" s="2">
        <v>0</v>
      </c>
      <c r="BB82" s="2">
        <v>3</v>
      </c>
      <c r="BC82" s="2">
        <v>3</v>
      </c>
      <c r="BD82" s="2">
        <v>1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1</v>
      </c>
      <c r="BM82" s="2">
        <v>2</v>
      </c>
      <c r="BN82" s="2">
        <v>3</v>
      </c>
      <c r="BO82" s="2">
        <v>1</v>
      </c>
      <c r="BP82" s="2">
        <v>1</v>
      </c>
      <c r="BQ82" s="2">
        <v>1</v>
      </c>
      <c r="BR82" s="2">
        <v>1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2</v>
      </c>
      <c r="BZ82" s="2">
        <v>3</v>
      </c>
      <c r="CA82" s="2">
        <v>1</v>
      </c>
      <c r="CB82" s="2">
        <v>1</v>
      </c>
      <c r="CC82" s="2">
        <v>1</v>
      </c>
      <c r="CD82" s="2">
        <v>1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0</v>
      </c>
      <c r="DH82" s="2">
        <v>0</v>
      </c>
      <c r="DI82" s="2">
        <v>2</v>
      </c>
      <c r="DJ82" s="2">
        <v>1</v>
      </c>
      <c r="DK82" s="2">
        <v>2</v>
      </c>
      <c r="DL82" s="2">
        <v>2</v>
      </c>
      <c r="DM82" s="2">
        <v>1</v>
      </c>
      <c r="DN82" s="2">
        <v>1</v>
      </c>
      <c r="DO82" s="2">
        <v>0</v>
      </c>
      <c r="DP82" s="2">
        <v>0</v>
      </c>
      <c r="DQ82" s="2">
        <v>0</v>
      </c>
      <c r="DR82" s="2">
        <v>0</v>
      </c>
      <c r="DS82" s="2">
        <v>0</v>
      </c>
    </row>
    <row r="83" spans="1:123">
      <c r="A83" s="2" t="s">
        <v>15</v>
      </c>
      <c r="B83" s="2" t="s">
        <v>254</v>
      </c>
      <c r="C83" s="2">
        <v>660</v>
      </c>
      <c r="D83" s="2">
        <v>23</v>
      </c>
      <c r="E83" s="2">
        <v>11</v>
      </c>
      <c r="F83" s="2">
        <v>28.7</v>
      </c>
      <c r="G83" s="2" t="s">
        <v>160</v>
      </c>
      <c r="H83">
        <f>IF(AND(OR(لوحة_القيادة!$C$4="الكل", A83=لوحة_القيادة!$C$4), IF(لوحة_القيادة!$C$5="الكل", TRUE, INDEX($V83:$AG83, 1, VALUE(لوحة_القيادة!$C$5))&gt;0)), 1, 0)</f>
        <v>0</v>
      </c>
      <c r="I83">
        <f>IF(H83=1, SUM($H$2:H83), "")</f>
        <v>0</v>
      </c>
      <c r="J83" s="2">
        <v>18</v>
      </c>
      <c r="K83" s="2">
        <v>32</v>
      </c>
      <c r="L83" s="2">
        <v>57</v>
      </c>
      <c r="M83" s="2">
        <v>31</v>
      </c>
      <c r="N83" s="2">
        <v>9</v>
      </c>
      <c r="O83" s="2">
        <v>509</v>
      </c>
      <c r="P83" s="2">
        <v>4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4</v>
      </c>
      <c r="W83" s="2">
        <v>4</v>
      </c>
      <c r="X83" s="2">
        <v>3</v>
      </c>
      <c r="Y83" s="2">
        <v>3</v>
      </c>
      <c r="Z83" s="2">
        <v>2</v>
      </c>
      <c r="AA83" s="2">
        <v>6</v>
      </c>
      <c r="AB83" s="2">
        <v>1</v>
      </c>
      <c r="AC83" s="2">
        <v>0</v>
      </c>
      <c r="AD83" s="2">
        <v>0</v>
      </c>
      <c r="AE83" s="2">
        <v>0</v>
      </c>
      <c r="AF83" s="2">
        <v>0</v>
      </c>
      <c r="AG83" s="2">
        <v>2</v>
      </c>
      <c r="AH83" s="2">
        <v>8</v>
      </c>
      <c r="AI83" s="2">
        <v>3</v>
      </c>
      <c r="AJ83" s="2">
        <v>4</v>
      </c>
      <c r="AK83" s="2">
        <v>0</v>
      </c>
      <c r="AL83" s="2">
        <v>0</v>
      </c>
      <c r="AM83" s="2">
        <v>6</v>
      </c>
      <c r="AN83" s="2">
        <v>0</v>
      </c>
      <c r="AO83" s="2">
        <v>1</v>
      </c>
      <c r="AP83" s="2">
        <v>0</v>
      </c>
      <c r="AQ83" s="2">
        <v>0</v>
      </c>
      <c r="AR83" s="2">
        <v>0</v>
      </c>
      <c r="AS83" s="2">
        <v>1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2</v>
      </c>
      <c r="BA83" s="2">
        <v>0</v>
      </c>
      <c r="BB83" s="2">
        <v>2</v>
      </c>
      <c r="BC83" s="2">
        <v>0</v>
      </c>
      <c r="BD83" s="2">
        <v>1</v>
      </c>
      <c r="BE83" s="2">
        <v>3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1</v>
      </c>
      <c r="BN83" s="2">
        <v>0</v>
      </c>
      <c r="BO83" s="2">
        <v>1</v>
      </c>
      <c r="BP83" s="2">
        <v>0</v>
      </c>
      <c r="BQ83" s="2">
        <v>1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1</v>
      </c>
      <c r="BY83" s="2">
        <v>2</v>
      </c>
      <c r="BZ83" s="2">
        <v>0</v>
      </c>
      <c r="CA83" s="2">
        <v>0</v>
      </c>
      <c r="CB83" s="2">
        <v>0</v>
      </c>
      <c r="CC83" s="2">
        <v>0</v>
      </c>
      <c r="CD83" s="2">
        <v>1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  <c r="DE83" s="2">
        <v>0</v>
      </c>
      <c r="DF83" s="2">
        <v>0</v>
      </c>
      <c r="DG83" s="2">
        <v>0</v>
      </c>
      <c r="DH83" s="2">
        <v>1</v>
      </c>
      <c r="DI83" s="2">
        <v>0</v>
      </c>
      <c r="DJ83" s="2">
        <v>1</v>
      </c>
      <c r="DK83" s="2">
        <v>2</v>
      </c>
      <c r="DL83" s="2">
        <v>1</v>
      </c>
      <c r="DM83" s="2">
        <v>1</v>
      </c>
      <c r="DN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</row>
    <row r="84" spans="1:123">
      <c r="A84" s="2" t="s">
        <v>2</v>
      </c>
      <c r="B84" s="2" t="s">
        <v>255</v>
      </c>
      <c r="C84" s="2">
        <v>659</v>
      </c>
      <c r="D84" s="2">
        <v>48</v>
      </c>
      <c r="E84" s="2">
        <v>10.98</v>
      </c>
      <c r="F84" s="2">
        <v>13.73</v>
      </c>
      <c r="G84" s="2" t="s">
        <v>160</v>
      </c>
      <c r="H84">
        <f>IF(AND(OR(لوحة_القيادة!$C$4="الكل", A84=لوحة_القيادة!$C$4), IF(لوحة_القيادة!$C$5="الكل", TRUE, INDEX($V84:$AG84, 1, VALUE(لوحة_القيادة!$C$5))&gt;0)), 1, 0)</f>
        <v>0</v>
      </c>
      <c r="I84">
        <f>IF(H84=1, SUM($H$2:H84), "")</f>
        <v>0</v>
      </c>
      <c r="J84" s="2">
        <v>27</v>
      </c>
      <c r="K84" s="2">
        <v>25</v>
      </c>
      <c r="L84" s="2">
        <v>189</v>
      </c>
      <c r="M84" s="2">
        <v>56</v>
      </c>
      <c r="N84" s="2">
        <v>253</v>
      </c>
      <c r="O84" s="2">
        <v>84</v>
      </c>
      <c r="P84" s="2">
        <v>25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4</v>
      </c>
      <c r="W84" s="2">
        <v>2</v>
      </c>
      <c r="X84" s="2">
        <v>13</v>
      </c>
      <c r="Y84" s="2">
        <v>7</v>
      </c>
      <c r="Z84" s="2">
        <v>7</v>
      </c>
      <c r="AA84" s="2">
        <v>13</v>
      </c>
      <c r="AB84" s="2">
        <v>2</v>
      </c>
      <c r="AC84" s="2">
        <v>0</v>
      </c>
      <c r="AD84" s="2">
        <v>0</v>
      </c>
      <c r="AE84" s="2">
        <v>0</v>
      </c>
      <c r="AF84" s="2">
        <v>0</v>
      </c>
      <c r="AG84" s="2">
        <v>6</v>
      </c>
      <c r="AH84" s="2">
        <v>10</v>
      </c>
      <c r="AI84" s="2">
        <v>7</v>
      </c>
      <c r="AJ84" s="2">
        <v>9</v>
      </c>
      <c r="AK84" s="2">
        <v>0</v>
      </c>
      <c r="AL84" s="2">
        <v>0</v>
      </c>
      <c r="AM84" s="2">
        <v>16</v>
      </c>
      <c r="AN84" s="2">
        <v>0</v>
      </c>
      <c r="AO84" s="2">
        <v>0</v>
      </c>
      <c r="AP84" s="2">
        <v>2</v>
      </c>
      <c r="AQ84" s="2">
        <v>1</v>
      </c>
      <c r="AR84" s="2">
        <v>1</v>
      </c>
      <c r="AS84" s="2">
        <v>2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1</v>
      </c>
      <c r="BA84" s="2">
        <v>0</v>
      </c>
      <c r="BB84" s="2">
        <v>3</v>
      </c>
      <c r="BC84" s="2">
        <v>1</v>
      </c>
      <c r="BD84" s="2">
        <v>2</v>
      </c>
      <c r="BE84" s="2">
        <v>3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3</v>
      </c>
      <c r="BO84" s="2">
        <v>1</v>
      </c>
      <c r="BP84" s="2">
        <v>1</v>
      </c>
      <c r="BQ84" s="2">
        <v>2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1</v>
      </c>
      <c r="BY84" s="2">
        <v>0</v>
      </c>
      <c r="BZ84" s="2">
        <v>3</v>
      </c>
      <c r="CA84" s="2">
        <v>1</v>
      </c>
      <c r="CB84" s="2">
        <v>0</v>
      </c>
      <c r="CC84" s="2">
        <v>3</v>
      </c>
      <c r="CD84" s="2">
        <v>1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  <c r="DE84" s="2">
        <v>0</v>
      </c>
      <c r="DF84" s="2">
        <v>0</v>
      </c>
      <c r="DG84" s="2">
        <v>0</v>
      </c>
      <c r="DH84" s="2">
        <v>2</v>
      </c>
      <c r="DI84" s="2">
        <v>2</v>
      </c>
      <c r="DJ84" s="2">
        <v>2</v>
      </c>
      <c r="DK84" s="2">
        <v>3</v>
      </c>
      <c r="DL84" s="2">
        <v>3</v>
      </c>
      <c r="DM84" s="2">
        <v>3</v>
      </c>
      <c r="DN84" s="2">
        <v>1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</row>
    <row r="85" spans="1:123">
      <c r="A85" s="2" t="s">
        <v>7</v>
      </c>
      <c r="B85" s="2" t="s">
        <v>256</v>
      </c>
      <c r="C85" s="2">
        <v>658</v>
      </c>
      <c r="D85" s="2">
        <v>31</v>
      </c>
      <c r="E85" s="2">
        <v>10.97</v>
      </c>
      <c r="F85" s="2">
        <v>21.23</v>
      </c>
      <c r="G85" s="2" t="s">
        <v>257</v>
      </c>
      <c r="H85">
        <f>IF(AND(OR(لوحة_القيادة!$C$4="الكل", A85=لوحة_القيادة!$C$4), IF(لوحة_القيادة!$C$5="الكل", TRUE, INDEX($V85:$AG85, 1, VALUE(لوحة_القيادة!$C$5))&gt;0)), 1, 0)</f>
        <v>0</v>
      </c>
      <c r="I85">
        <f>IF(H85=1, SUM($H$2:H85), "")</f>
        <v>0</v>
      </c>
      <c r="J85" s="2">
        <v>0</v>
      </c>
      <c r="K85" s="2">
        <v>0</v>
      </c>
      <c r="L85" s="2">
        <v>0</v>
      </c>
      <c r="M85" s="2">
        <v>0</v>
      </c>
      <c r="N85" s="2">
        <v>395</v>
      </c>
      <c r="O85" s="2">
        <v>193</v>
      </c>
      <c r="P85" s="2">
        <v>70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16</v>
      </c>
      <c r="AA85" s="2">
        <v>10</v>
      </c>
      <c r="AB85" s="2">
        <v>5</v>
      </c>
      <c r="AC85" s="2">
        <v>0</v>
      </c>
      <c r="AD85" s="2">
        <v>0</v>
      </c>
      <c r="AE85" s="2">
        <v>0</v>
      </c>
      <c r="AF85" s="2">
        <v>0</v>
      </c>
      <c r="AG85" s="2">
        <v>8</v>
      </c>
      <c r="AH85" s="2">
        <v>8</v>
      </c>
      <c r="AI85" s="2">
        <v>4</v>
      </c>
      <c r="AJ85" s="2">
        <v>4</v>
      </c>
      <c r="AK85" s="2">
        <v>0</v>
      </c>
      <c r="AL85" s="2">
        <v>0</v>
      </c>
      <c r="AM85" s="2">
        <v>7</v>
      </c>
      <c r="AN85" s="2">
        <v>0</v>
      </c>
      <c r="AO85" s="2">
        <v>0</v>
      </c>
      <c r="AP85" s="2">
        <v>0</v>
      </c>
      <c r="AQ85" s="2">
        <v>0</v>
      </c>
      <c r="AR85" s="2">
        <v>5</v>
      </c>
      <c r="AS85" s="2">
        <v>2</v>
      </c>
      <c r="AT85" s="2">
        <v>1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4</v>
      </c>
      <c r="BE85" s="2">
        <v>3</v>
      </c>
      <c r="BF85" s="2">
        <v>1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2</v>
      </c>
      <c r="BQ85" s="2">
        <v>2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1</v>
      </c>
      <c r="CC85" s="2">
        <v>1</v>
      </c>
      <c r="CD85" s="2">
        <v>2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4</v>
      </c>
      <c r="DM85" s="2">
        <v>2</v>
      </c>
      <c r="DN85" s="2">
        <v>1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</row>
    <row r="86" spans="1:123">
      <c r="A86" s="2" t="s">
        <v>13</v>
      </c>
      <c r="B86" s="2" t="s">
        <v>258</v>
      </c>
      <c r="C86" s="2">
        <v>647</v>
      </c>
      <c r="D86" s="2">
        <v>41</v>
      </c>
      <c r="E86" s="2">
        <v>10.78</v>
      </c>
      <c r="F86" s="2">
        <v>15.78</v>
      </c>
      <c r="G86" s="2" t="s">
        <v>160</v>
      </c>
      <c r="H86">
        <f>IF(AND(OR(لوحة_القيادة!$C$4="الكل", A86=لوحة_القيادة!$C$4), IF(لوحة_القيادة!$C$5="الكل", TRUE, INDEX($V86:$AG86, 1, VALUE(لوحة_القيادة!$C$5))&gt;0)), 1, 0)</f>
        <v>0</v>
      </c>
      <c r="I86">
        <f>IF(H86=1, SUM($H$2:H86), "")</f>
        <v>0</v>
      </c>
      <c r="J86" s="2">
        <v>27</v>
      </c>
      <c r="K86" s="2">
        <v>41</v>
      </c>
      <c r="L86" s="2">
        <v>93</v>
      </c>
      <c r="M86" s="2">
        <v>91</v>
      </c>
      <c r="N86" s="2">
        <v>298</v>
      </c>
      <c r="O86" s="2">
        <v>95</v>
      </c>
      <c r="P86" s="2">
        <v>2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5</v>
      </c>
      <c r="W86" s="2">
        <v>8</v>
      </c>
      <c r="X86" s="2">
        <v>5</v>
      </c>
      <c r="Y86" s="2">
        <v>7</v>
      </c>
      <c r="Z86" s="2">
        <v>9</v>
      </c>
      <c r="AA86" s="2">
        <v>6</v>
      </c>
      <c r="AB86" s="2">
        <v>1</v>
      </c>
      <c r="AC86" s="2">
        <v>0</v>
      </c>
      <c r="AD86" s="2">
        <v>0</v>
      </c>
      <c r="AE86" s="2">
        <v>0</v>
      </c>
      <c r="AF86" s="2">
        <v>0</v>
      </c>
      <c r="AG86" s="2">
        <v>7</v>
      </c>
      <c r="AH86" s="2">
        <v>7</v>
      </c>
      <c r="AI86" s="2">
        <v>7</v>
      </c>
      <c r="AJ86" s="2">
        <v>9</v>
      </c>
      <c r="AK86" s="2">
        <v>0</v>
      </c>
      <c r="AL86" s="2">
        <v>0</v>
      </c>
      <c r="AM86" s="2">
        <v>11</v>
      </c>
      <c r="AN86" s="2">
        <v>0</v>
      </c>
      <c r="AO86" s="2">
        <v>1</v>
      </c>
      <c r="AP86" s="2">
        <v>1</v>
      </c>
      <c r="AQ86" s="2">
        <v>2</v>
      </c>
      <c r="AR86" s="2">
        <v>3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2</v>
      </c>
      <c r="BA86" s="2">
        <v>2</v>
      </c>
      <c r="BB86" s="2">
        <v>1</v>
      </c>
      <c r="BC86" s="2">
        <v>0</v>
      </c>
      <c r="BD86" s="2">
        <v>1</v>
      </c>
      <c r="BE86" s="2">
        <v>1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2</v>
      </c>
      <c r="BM86" s="2">
        <v>1</v>
      </c>
      <c r="BN86" s="2">
        <v>1</v>
      </c>
      <c r="BO86" s="2">
        <v>0</v>
      </c>
      <c r="BP86" s="2">
        <v>1</v>
      </c>
      <c r="BQ86" s="2">
        <v>2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2</v>
      </c>
      <c r="BZ86" s="2">
        <v>0</v>
      </c>
      <c r="CA86" s="2">
        <v>2</v>
      </c>
      <c r="CB86" s="2">
        <v>2</v>
      </c>
      <c r="CC86" s="2">
        <v>2</v>
      </c>
      <c r="CD86" s="2">
        <v>1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  <c r="DE86" s="2">
        <v>0</v>
      </c>
      <c r="DF86" s="2">
        <v>0</v>
      </c>
      <c r="DG86" s="2">
        <v>0</v>
      </c>
      <c r="DH86" s="2">
        <v>1</v>
      </c>
      <c r="DI86" s="2">
        <v>2</v>
      </c>
      <c r="DJ86" s="2">
        <v>2</v>
      </c>
      <c r="DK86" s="2">
        <v>3</v>
      </c>
      <c r="DL86" s="2">
        <v>2</v>
      </c>
      <c r="DM86" s="2">
        <v>1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</row>
    <row r="87" spans="1:123">
      <c r="A87" s="2" t="s">
        <v>20</v>
      </c>
      <c r="B87" s="2" t="s">
        <v>259</v>
      </c>
      <c r="C87" s="2">
        <v>640</v>
      </c>
      <c r="D87" s="2">
        <v>39</v>
      </c>
      <c r="E87" s="2">
        <v>10.67</v>
      </c>
      <c r="F87" s="2">
        <v>16.41</v>
      </c>
      <c r="G87" s="2" t="s">
        <v>160</v>
      </c>
      <c r="H87">
        <f>IF(AND(OR(لوحة_القيادة!$C$4="الكل", A87=لوحة_القيادة!$C$4), IF(لوحة_القيادة!$C$5="الكل", TRUE, INDEX($V87:$AG87, 1, VALUE(لوحة_القيادة!$C$5))&gt;0)), 1, 0)</f>
        <v>0</v>
      </c>
      <c r="I87">
        <f>IF(H87=1, SUM($H$2:H87), "")</f>
        <v>0</v>
      </c>
      <c r="J87" s="2">
        <v>146</v>
      </c>
      <c r="K87" s="2">
        <v>123</v>
      </c>
      <c r="L87" s="2">
        <v>89</v>
      </c>
      <c r="M87" s="2">
        <v>19</v>
      </c>
      <c r="N87" s="2">
        <v>221</v>
      </c>
      <c r="O87" s="2">
        <v>9</v>
      </c>
      <c r="P87" s="2">
        <v>33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8</v>
      </c>
      <c r="W87" s="2">
        <v>13</v>
      </c>
      <c r="X87" s="2">
        <v>5</v>
      </c>
      <c r="Y87" s="2">
        <v>2</v>
      </c>
      <c r="Z87" s="2">
        <v>7</v>
      </c>
      <c r="AA87" s="2">
        <v>3</v>
      </c>
      <c r="AB87" s="2">
        <v>1</v>
      </c>
      <c r="AC87" s="2">
        <v>0</v>
      </c>
      <c r="AD87" s="2">
        <v>0</v>
      </c>
      <c r="AE87" s="2">
        <v>0</v>
      </c>
      <c r="AF87" s="2">
        <v>0</v>
      </c>
      <c r="AG87" s="2">
        <v>11</v>
      </c>
      <c r="AH87" s="2">
        <v>9</v>
      </c>
      <c r="AI87" s="2">
        <v>7</v>
      </c>
      <c r="AJ87" s="2">
        <v>6</v>
      </c>
      <c r="AK87" s="2">
        <v>0</v>
      </c>
      <c r="AL87" s="2">
        <v>0</v>
      </c>
      <c r="AM87" s="2">
        <v>6</v>
      </c>
      <c r="AN87" s="2">
        <v>2</v>
      </c>
      <c r="AO87" s="2">
        <v>3</v>
      </c>
      <c r="AP87" s="2">
        <v>1</v>
      </c>
      <c r="AQ87" s="2">
        <v>0</v>
      </c>
      <c r="AR87" s="2">
        <v>4</v>
      </c>
      <c r="AS87" s="2">
        <v>1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2</v>
      </c>
      <c r="BA87" s="2">
        <v>2</v>
      </c>
      <c r="BB87" s="2">
        <v>2</v>
      </c>
      <c r="BC87" s="2">
        <v>1</v>
      </c>
      <c r="BD87" s="2">
        <v>1</v>
      </c>
      <c r="BE87" s="2">
        <v>1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2</v>
      </c>
      <c r="BM87" s="2">
        <v>2</v>
      </c>
      <c r="BN87" s="2">
        <v>1</v>
      </c>
      <c r="BO87" s="2">
        <v>0</v>
      </c>
      <c r="BP87" s="2">
        <v>1</v>
      </c>
      <c r="BQ87" s="2">
        <v>0</v>
      </c>
      <c r="BR87" s="2">
        <v>1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1</v>
      </c>
      <c r="BY87" s="2">
        <v>3</v>
      </c>
      <c r="BZ87" s="2">
        <v>1</v>
      </c>
      <c r="CA87" s="2">
        <v>0</v>
      </c>
      <c r="CB87" s="2">
        <v>1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1</v>
      </c>
      <c r="DI87" s="2">
        <v>3</v>
      </c>
      <c r="DJ87" s="2">
        <v>0</v>
      </c>
      <c r="DK87" s="2">
        <v>1</v>
      </c>
      <c r="DL87" s="2">
        <v>0</v>
      </c>
      <c r="DM87" s="2">
        <v>1</v>
      </c>
      <c r="DN87" s="2">
        <v>0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</row>
    <row r="88" spans="1:123">
      <c r="A88" s="2" t="s">
        <v>13</v>
      </c>
      <c r="B88" s="2" t="s">
        <v>260</v>
      </c>
      <c r="C88" s="2">
        <v>633</v>
      </c>
      <c r="D88" s="2">
        <v>37</v>
      </c>
      <c r="E88" s="2">
        <v>10.55</v>
      </c>
      <c r="F88" s="2">
        <v>17.11</v>
      </c>
      <c r="G88" s="2" t="s">
        <v>160</v>
      </c>
      <c r="H88">
        <f>IF(AND(OR(لوحة_القيادة!$C$4="الكل", A88=لوحة_القيادة!$C$4), IF(لوحة_القيادة!$C$5="الكل", TRUE, INDEX($V88:$AG88, 1, VALUE(لوحة_القيادة!$C$5))&gt;0)), 1, 0)</f>
        <v>0</v>
      </c>
      <c r="I88">
        <f>IF(H88=1, SUM($H$2:H88), "")</f>
        <v>0</v>
      </c>
      <c r="J88" s="2">
        <v>64</v>
      </c>
      <c r="K88" s="2">
        <v>19</v>
      </c>
      <c r="L88" s="2">
        <v>33</v>
      </c>
      <c r="M88" s="2">
        <v>164</v>
      </c>
      <c r="N88" s="2">
        <v>154</v>
      </c>
      <c r="O88" s="2">
        <v>170</v>
      </c>
      <c r="P88" s="2">
        <v>29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5</v>
      </c>
      <c r="W88" s="2">
        <v>2</v>
      </c>
      <c r="X88" s="2">
        <v>3</v>
      </c>
      <c r="Y88" s="2">
        <v>9</v>
      </c>
      <c r="Z88" s="2">
        <v>11</v>
      </c>
      <c r="AA88" s="2">
        <v>5</v>
      </c>
      <c r="AB88" s="2">
        <v>2</v>
      </c>
      <c r="AC88" s="2">
        <v>0</v>
      </c>
      <c r="AD88" s="2">
        <v>0</v>
      </c>
      <c r="AE88" s="2">
        <v>0</v>
      </c>
      <c r="AF88" s="2">
        <v>0</v>
      </c>
      <c r="AG88" s="2">
        <v>6</v>
      </c>
      <c r="AH88" s="2">
        <v>10</v>
      </c>
      <c r="AI88" s="2">
        <v>9</v>
      </c>
      <c r="AJ88" s="2">
        <v>7</v>
      </c>
      <c r="AK88" s="2">
        <v>0</v>
      </c>
      <c r="AL88" s="2">
        <v>0</v>
      </c>
      <c r="AM88" s="2">
        <v>5</v>
      </c>
      <c r="AN88" s="2">
        <v>1</v>
      </c>
      <c r="AO88" s="2">
        <v>0</v>
      </c>
      <c r="AP88" s="2">
        <v>0</v>
      </c>
      <c r="AQ88" s="2">
        <v>1</v>
      </c>
      <c r="AR88" s="2">
        <v>4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1</v>
      </c>
      <c r="BA88" s="2">
        <v>2</v>
      </c>
      <c r="BB88" s="2">
        <v>1</v>
      </c>
      <c r="BC88" s="2">
        <v>2</v>
      </c>
      <c r="BD88" s="2">
        <v>3</v>
      </c>
      <c r="BE88" s="2">
        <v>1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2</v>
      </c>
      <c r="BM88" s="2">
        <v>0</v>
      </c>
      <c r="BN88" s="2">
        <v>1</v>
      </c>
      <c r="BO88" s="2">
        <v>3</v>
      </c>
      <c r="BP88" s="2">
        <v>1</v>
      </c>
      <c r="BQ88" s="2">
        <v>1</v>
      </c>
      <c r="BR88" s="2">
        <v>1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1</v>
      </c>
      <c r="BY88" s="2">
        <v>0</v>
      </c>
      <c r="BZ88" s="2">
        <v>1</v>
      </c>
      <c r="CA88" s="2">
        <v>2</v>
      </c>
      <c r="CB88" s="2">
        <v>1</v>
      </c>
      <c r="CC88" s="2">
        <v>2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1</v>
      </c>
      <c r="DL88" s="2">
        <v>2</v>
      </c>
      <c r="DM88" s="2">
        <v>1</v>
      </c>
      <c r="DN88" s="2">
        <v>1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</row>
    <row r="89" spans="1:123">
      <c r="A89" s="2" t="s">
        <v>15</v>
      </c>
      <c r="B89" s="2" t="s">
        <v>261</v>
      </c>
      <c r="C89" s="2">
        <v>615</v>
      </c>
      <c r="D89" s="2">
        <v>13</v>
      </c>
      <c r="E89" s="2">
        <v>10.25</v>
      </c>
      <c r="F89" s="2">
        <v>47.31</v>
      </c>
      <c r="G89" s="2" t="s">
        <v>262</v>
      </c>
      <c r="H89">
        <f>IF(AND(OR(لوحة_القيادة!$C$4="الكل", A89=لوحة_القيادة!$C$4), IF(لوحة_القيادة!$C$5="الكل", TRUE, INDEX($V89:$AG89, 1, VALUE(لوحة_القيادة!$C$5))&gt;0)), 1, 0)</f>
        <v>0</v>
      </c>
      <c r="I89">
        <f>IF(H89=1, SUM($H$2:H89), "")</f>
        <v>0</v>
      </c>
      <c r="J89" s="2">
        <v>0</v>
      </c>
      <c r="K89" s="2">
        <v>26</v>
      </c>
      <c r="L89" s="2">
        <v>102</v>
      </c>
      <c r="M89" s="2">
        <v>473</v>
      </c>
      <c r="N89" s="2">
        <v>10</v>
      </c>
      <c r="O89" s="2">
        <v>4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2</v>
      </c>
      <c r="X89" s="2">
        <v>6</v>
      </c>
      <c r="Y89" s="2">
        <v>1</v>
      </c>
      <c r="Z89" s="2">
        <v>3</v>
      </c>
      <c r="AA89" s="2">
        <v>1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1</v>
      </c>
      <c r="AH89" s="2">
        <v>2</v>
      </c>
      <c r="AI89" s="2">
        <v>4</v>
      </c>
      <c r="AJ89" s="2">
        <v>5</v>
      </c>
      <c r="AK89" s="2">
        <v>0</v>
      </c>
      <c r="AL89" s="2">
        <v>0</v>
      </c>
      <c r="AM89" s="2">
        <v>1</v>
      </c>
      <c r="AN89" s="2">
        <v>0</v>
      </c>
      <c r="AO89" s="2">
        <v>0</v>
      </c>
      <c r="AP89" s="2">
        <v>0</v>
      </c>
      <c r="AQ89" s="2">
        <v>0</v>
      </c>
      <c r="AR89" s="2">
        <v>1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2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1</v>
      </c>
      <c r="BN89" s="2">
        <v>1</v>
      </c>
      <c r="BO89" s="2">
        <v>0</v>
      </c>
      <c r="BP89" s="2">
        <v>1</v>
      </c>
      <c r="BQ89" s="2">
        <v>1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1</v>
      </c>
      <c r="BZ89" s="2">
        <v>3</v>
      </c>
      <c r="CA89" s="2">
        <v>1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1</v>
      </c>
      <c r="DM89" s="2">
        <v>0</v>
      </c>
      <c r="DN89" s="2">
        <v>0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</row>
    <row r="90" spans="1:123">
      <c r="A90" s="2" t="s">
        <v>13</v>
      </c>
      <c r="B90" s="2" t="s">
        <v>263</v>
      </c>
      <c r="C90" s="2">
        <v>587</v>
      </c>
      <c r="D90" s="2">
        <v>41</v>
      </c>
      <c r="E90" s="2">
        <v>9.779999999999999</v>
      </c>
      <c r="F90" s="2">
        <v>14.32</v>
      </c>
      <c r="G90" s="2" t="s">
        <v>160</v>
      </c>
      <c r="H90">
        <f>IF(AND(OR(لوحة_القيادة!$C$4="الكل", A90=لوحة_القيادة!$C$4), IF(لوحة_القيادة!$C$5="الكل", TRUE, INDEX($V90:$AG90, 1, VALUE(لوحة_القيادة!$C$5))&gt;0)), 1, 0)</f>
        <v>0</v>
      </c>
      <c r="I90">
        <f>IF(H90=1, SUM($H$2:H90), "")</f>
        <v>0</v>
      </c>
      <c r="J90" s="2">
        <v>134</v>
      </c>
      <c r="K90" s="2">
        <v>80</v>
      </c>
      <c r="L90" s="2">
        <v>7</v>
      </c>
      <c r="M90" s="2">
        <v>102</v>
      </c>
      <c r="N90" s="2">
        <v>57</v>
      </c>
      <c r="O90" s="2">
        <v>205</v>
      </c>
      <c r="P90" s="2">
        <v>2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8</v>
      </c>
      <c r="W90" s="2">
        <v>10</v>
      </c>
      <c r="X90" s="2">
        <v>2</v>
      </c>
      <c r="Y90" s="2">
        <v>8</v>
      </c>
      <c r="Z90" s="2">
        <v>7</v>
      </c>
      <c r="AA90" s="2">
        <v>5</v>
      </c>
      <c r="AB90" s="2">
        <v>1</v>
      </c>
      <c r="AC90" s="2">
        <v>0</v>
      </c>
      <c r="AD90" s="2">
        <v>0</v>
      </c>
      <c r="AE90" s="2">
        <v>0</v>
      </c>
      <c r="AF90" s="2">
        <v>0</v>
      </c>
      <c r="AG90" s="2">
        <v>12</v>
      </c>
      <c r="AH90" s="2">
        <v>8</v>
      </c>
      <c r="AI90" s="2">
        <v>6</v>
      </c>
      <c r="AJ90" s="2">
        <v>8</v>
      </c>
      <c r="AK90" s="2">
        <v>0</v>
      </c>
      <c r="AL90" s="2">
        <v>0</v>
      </c>
      <c r="AM90" s="2">
        <v>7</v>
      </c>
      <c r="AN90" s="2">
        <v>1</v>
      </c>
      <c r="AO90" s="2">
        <v>4</v>
      </c>
      <c r="AP90" s="2">
        <v>0</v>
      </c>
      <c r="AQ90" s="2">
        <v>1</v>
      </c>
      <c r="AR90" s="2">
        <v>4</v>
      </c>
      <c r="AS90" s="2">
        <v>2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1</v>
      </c>
      <c r="BA90" s="2">
        <v>3</v>
      </c>
      <c r="BB90" s="2">
        <v>1</v>
      </c>
      <c r="BC90" s="2">
        <v>1</v>
      </c>
      <c r="BD90" s="2">
        <v>1</v>
      </c>
      <c r="BE90" s="2">
        <v>1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4</v>
      </c>
      <c r="BM90" s="2">
        <v>0</v>
      </c>
      <c r="BN90" s="2">
        <v>0</v>
      </c>
      <c r="BO90" s="2">
        <v>2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1</v>
      </c>
      <c r="BY90" s="2">
        <v>2</v>
      </c>
      <c r="BZ90" s="2">
        <v>1</v>
      </c>
      <c r="CA90" s="2">
        <v>1</v>
      </c>
      <c r="CB90" s="2">
        <v>1</v>
      </c>
      <c r="CC90" s="2">
        <v>2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  <c r="DE90" s="2">
        <v>0</v>
      </c>
      <c r="DF90" s="2">
        <v>0</v>
      </c>
      <c r="DG90" s="2">
        <v>0</v>
      </c>
      <c r="DH90" s="2">
        <v>1</v>
      </c>
      <c r="DI90" s="2">
        <v>1</v>
      </c>
      <c r="DJ90" s="2">
        <v>0</v>
      </c>
      <c r="DK90" s="2">
        <v>3</v>
      </c>
      <c r="DL90" s="2">
        <v>1</v>
      </c>
      <c r="DM90" s="2">
        <v>0</v>
      </c>
      <c r="DN90" s="2">
        <v>1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</row>
    <row r="91" spans="1:123">
      <c r="A91" s="2" t="s">
        <v>18</v>
      </c>
      <c r="B91" s="2" t="s">
        <v>264</v>
      </c>
      <c r="C91" s="2">
        <v>584</v>
      </c>
      <c r="D91" s="2">
        <v>43</v>
      </c>
      <c r="E91" s="2">
        <v>9.73</v>
      </c>
      <c r="F91" s="2">
        <v>13.58</v>
      </c>
      <c r="G91" s="2" t="s">
        <v>160</v>
      </c>
      <c r="H91">
        <f>IF(AND(OR(لوحة_القيادة!$C$4="الكل", A91=لوحة_القيادة!$C$4), IF(لوحة_القيادة!$C$5="الكل", TRUE, INDEX($V91:$AG91, 1, VALUE(لوحة_القيادة!$C$5))&gt;0)), 1, 0)</f>
        <v>0</v>
      </c>
      <c r="I91">
        <f>IF(H91=1, SUM($H$2:H91), "")</f>
        <v>0</v>
      </c>
      <c r="J91" s="2">
        <v>153</v>
      </c>
      <c r="K91" s="2">
        <v>96</v>
      </c>
      <c r="L91" s="2">
        <v>147</v>
      </c>
      <c r="M91" s="2">
        <v>162</v>
      </c>
      <c r="N91" s="2">
        <v>14</v>
      </c>
      <c r="O91" s="2">
        <v>8</v>
      </c>
      <c r="P91" s="2">
        <v>4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6</v>
      </c>
      <c r="W91" s="2">
        <v>13</v>
      </c>
      <c r="X91" s="2">
        <v>7</v>
      </c>
      <c r="Y91" s="2">
        <v>7</v>
      </c>
      <c r="Z91" s="2">
        <v>5</v>
      </c>
      <c r="AA91" s="2">
        <v>3</v>
      </c>
      <c r="AB91" s="2">
        <v>2</v>
      </c>
      <c r="AC91" s="2">
        <v>0</v>
      </c>
      <c r="AD91" s="2">
        <v>0</v>
      </c>
      <c r="AE91" s="2">
        <v>0</v>
      </c>
      <c r="AF91" s="2">
        <v>0</v>
      </c>
      <c r="AG91" s="2">
        <v>8</v>
      </c>
      <c r="AH91" s="2">
        <v>7</v>
      </c>
      <c r="AI91" s="2">
        <v>9</v>
      </c>
      <c r="AJ91" s="2">
        <v>7</v>
      </c>
      <c r="AK91" s="2">
        <v>0</v>
      </c>
      <c r="AL91" s="2">
        <v>0</v>
      </c>
      <c r="AM91" s="2">
        <v>12</v>
      </c>
      <c r="AN91" s="2">
        <v>1</v>
      </c>
      <c r="AO91" s="2">
        <v>3</v>
      </c>
      <c r="AP91" s="2">
        <v>1</v>
      </c>
      <c r="AQ91" s="2">
        <v>2</v>
      </c>
      <c r="AR91" s="2">
        <v>1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2</v>
      </c>
      <c r="BA91" s="2">
        <v>1</v>
      </c>
      <c r="BB91" s="2">
        <v>1</v>
      </c>
      <c r="BC91" s="2">
        <v>1</v>
      </c>
      <c r="BD91" s="2">
        <v>2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1</v>
      </c>
      <c r="BM91" s="2">
        <v>3</v>
      </c>
      <c r="BN91" s="2">
        <v>2</v>
      </c>
      <c r="BO91" s="2">
        <v>1</v>
      </c>
      <c r="BP91" s="2">
        <v>1</v>
      </c>
      <c r="BQ91" s="2">
        <v>1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2</v>
      </c>
      <c r="BZ91" s="2">
        <v>2</v>
      </c>
      <c r="CA91" s="2">
        <v>2</v>
      </c>
      <c r="CB91" s="2">
        <v>0</v>
      </c>
      <c r="CC91" s="2">
        <v>0</v>
      </c>
      <c r="CD91" s="2">
        <v>1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2</v>
      </c>
      <c r="DI91" s="2">
        <v>4</v>
      </c>
      <c r="DJ91" s="2">
        <v>1</v>
      </c>
      <c r="DK91" s="2">
        <v>1</v>
      </c>
      <c r="DL91" s="2">
        <v>1</v>
      </c>
      <c r="DM91" s="2">
        <v>2</v>
      </c>
      <c r="DN91" s="2">
        <v>1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</row>
    <row r="92" spans="1:123">
      <c r="A92" s="2" t="s">
        <v>3</v>
      </c>
      <c r="B92" s="2" t="s">
        <v>265</v>
      </c>
      <c r="C92" s="2">
        <v>567</v>
      </c>
      <c r="D92" s="2">
        <v>30</v>
      </c>
      <c r="E92" s="2">
        <v>9.449999999999999</v>
      </c>
      <c r="F92" s="2">
        <v>18.9</v>
      </c>
      <c r="G92" s="2" t="s">
        <v>160</v>
      </c>
      <c r="H92">
        <f>IF(AND(OR(لوحة_القيادة!$C$4="الكل", A92=لوحة_القيادة!$C$4), IF(لوحة_القيادة!$C$5="الكل", TRUE, INDEX($V92:$AG92, 1, VALUE(لوحة_القيادة!$C$5))&gt;0)), 1, 0)</f>
        <v>0</v>
      </c>
      <c r="I92">
        <f>IF(H92=1, SUM($H$2:H92), "")</f>
        <v>0</v>
      </c>
      <c r="J92" s="2">
        <v>62</v>
      </c>
      <c r="K92" s="2">
        <v>122</v>
      </c>
      <c r="L92" s="2">
        <v>41</v>
      </c>
      <c r="M92" s="2">
        <v>243</v>
      </c>
      <c r="N92" s="2">
        <v>32</v>
      </c>
      <c r="O92" s="2">
        <v>32</v>
      </c>
      <c r="P92" s="2">
        <v>35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6</v>
      </c>
      <c r="W92" s="2">
        <v>9</v>
      </c>
      <c r="X92" s="2">
        <v>3</v>
      </c>
      <c r="Y92" s="2">
        <v>3</v>
      </c>
      <c r="Z92" s="2">
        <v>3</v>
      </c>
      <c r="AA92" s="2">
        <v>4</v>
      </c>
      <c r="AB92" s="2">
        <v>2</v>
      </c>
      <c r="AC92" s="2">
        <v>0</v>
      </c>
      <c r="AD92" s="2">
        <v>0</v>
      </c>
      <c r="AE92" s="2">
        <v>0</v>
      </c>
      <c r="AF92" s="2">
        <v>0</v>
      </c>
      <c r="AG92" s="2">
        <v>6</v>
      </c>
      <c r="AH92" s="2">
        <v>3</v>
      </c>
      <c r="AI92" s="2">
        <v>6</v>
      </c>
      <c r="AJ92" s="2">
        <v>4</v>
      </c>
      <c r="AK92" s="2">
        <v>0</v>
      </c>
      <c r="AL92" s="2">
        <v>0</v>
      </c>
      <c r="AM92" s="2">
        <v>11</v>
      </c>
      <c r="AN92" s="2">
        <v>1</v>
      </c>
      <c r="AO92" s="2">
        <v>2</v>
      </c>
      <c r="AP92" s="2">
        <v>0</v>
      </c>
      <c r="AQ92" s="2">
        <v>1</v>
      </c>
      <c r="AR92" s="2">
        <v>1</v>
      </c>
      <c r="AS92" s="2">
        <v>1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2</v>
      </c>
      <c r="BB92" s="2">
        <v>0</v>
      </c>
      <c r="BC92" s="2">
        <v>0</v>
      </c>
      <c r="BD92" s="2">
        <v>0</v>
      </c>
      <c r="BE92" s="2">
        <v>1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2</v>
      </c>
      <c r="BM92" s="2">
        <v>2</v>
      </c>
      <c r="BN92" s="2">
        <v>1</v>
      </c>
      <c r="BO92" s="2">
        <v>0</v>
      </c>
      <c r="BP92" s="2">
        <v>0</v>
      </c>
      <c r="BQ92" s="2">
        <v>0</v>
      </c>
      <c r="BR92" s="2">
        <v>1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2</v>
      </c>
      <c r="BZ92" s="2">
        <v>1</v>
      </c>
      <c r="CA92" s="2">
        <v>0</v>
      </c>
      <c r="CB92" s="2">
        <v>0</v>
      </c>
      <c r="CC92" s="2">
        <v>1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0</v>
      </c>
      <c r="DH92" s="2">
        <v>3</v>
      </c>
      <c r="DI92" s="2">
        <v>1</v>
      </c>
      <c r="DJ92" s="2">
        <v>1</v>
      </c>
      <c r="DK92" s="2">
        <v>2</v>
      </c>
      <c r="DL92" s="2">
        <v>2</v>
      </c>
      <c r="DM92" s="2">
        <v>1</v>
      </c>
      <c r="DN92" s="2">
        <v>1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</row>
    <row r="93" spans="1:123">
      <c r="A93" s="2" t="s">
        <v>16</v>
      </c>
      <c r="B93" s="2" t="s">
        <v>266</v>
      </c>
      <c r="C93" s="2">
        <v>565</v>
      </c>
      <c r="D93" s="2">
        <v>9</v>
      </c>
      <c r="E93" s="2">
        <v>9.42</v>
      </c>
      <c r="F93" s="2">
        <v>62.78</v>
      </c>
      <c r="G93" s="2" t="s">
        <v>186</v>
      </c>
      <c r="H93">
        <f>IF(AND(OR(لوحة_القيادة!$C$4="الكل", A93=لوحة_القيادة!$C$4), IF(لوحة_القيادة!$C$5="الكل", TRUE, INDEX($V93:$AG93, 1, VALUE(لوحة_القيادة!$C$5))&gt;0)), 1, 0)</f>
        <v>0</v>
      </c>
      <c r="I93">
        <f>IF(H93=1, SUM($H$2:H93), "")</f>
        <v>0</v>
      </c>
      <c r="J93" s="2">
        <v>0</v>
      </c>
      <c r="K93" s="2">
        <v>27</v>
      </c>
      <c r="L93" s="2">
        <v>55</v>
      </c>
      <c r="M93" s="2">
        <v>467</v>
      </c>
      <c r="N93" s="2">
        <v>3</v>
      </c>
      <c r="O93" s="2">
        <v>10</v>
      </c>
      <c r="P93" s="2">
        <v>3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1</v>
      </c>
      <c r="X93" s="2">
        <v>4</v>
      </c>
      <c r="Y93" s="2">
        <v>1</v>
      </c>
      <c r="Z93" s="2">
        <v>1</v>
      </c>
      <c r="AA93" s="2">
        <v>1</v>
      </c>
      <c r="AB93" s="2">
        <v>1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3</v>
      </c>
      <c r="AI93" s="2">
        <v>1</v>
      </c>
      <c r="AJ93" s="2">
        <v>2</v>
      </c>
      <c r="AK93" s="2">
        <v>0</v>
      </c>
      <c r="AL93" s="2">
        <v>0</v>
      </c>
      <c r="AM93" s="2">
        <v>3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1</v>
      </c>
      <c r="BB93" s="2">
        <v>1</v>
      </c>
      <c r="BC93" s="2">
        <v>0</v>
      </c>
      <c r="BD93" s="2">
        <v>0</v>
      </c>
      <c r="BE93" s="2">
        <v>0</v>
      </c>
      <c r="BF93" s="2">
        <v>1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1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1</v>
      </c>
      <c r="CA93" s="2">
        <v>0</v>
      </c>
      <c r="CB93" s="2">
        <v>1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1</v>
      </c>
      <c r="DK93" s="2">
        <v>1</v>
      </c>
      <c r="DL93" s="2">
        <v>0</v>
      </c>
      <c r="DM93" s="2">
        <v>1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</row>
    <row r="94" spans="1:123">
      <c r="A94" s="2" t="s">
        <v>10</v>
      </c>
      <c r="B94" s="2" t="s">
        <v>267</v>
      </c>
      <c r="C94" s="2">
        <v>561</v>
      </c>
      <c r="D94" s="2">
        <v>48</v>
      </c>
      <c r="E94" s="2">
        <v>9.35</v>
      </c>
      <c r="F94" s="2">
        <v>11.69</v>
      </c>
      <c r="G94" s="2" t="s">
        <v>160</v>
      </c>
      <c r="H94">
        <f>IF(AND(OR(لوحة_القيادة!$C$4="الكل", A94=لوحة_القيادة!$C$4), IF(لوحة_القيادة!$C$5="الكل", TRUE, INDEX($V94:$AG94, 1, VALUE(لوحة_القيادة!$C$5))&gt;0)), 1, 0)</f>
        <v>0</v>
      </c>
      <c r="I94">
        <f>IF(H94=1, SUM($H$2:H94), "")</f>
        <v>0</v>
      </c>
      <c r="J94" s="2">
        <v>55</v>
      </c>
      <c r="K94" s="2">
        <v>57</v>
      </c>
      <c r="L94" s="2">
        <v>255</v>
      </c>
      <c r="M94" s="2">
        <v>36</v>
      </c>
      <c r="N94" s="2">
        <v>50</v>
      </c>
      <c r="O94" s="2">
        <v>96</v>
      </c>
      <c r="P94" s="2">
        <v>12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9</v>
      </c>
      <c r="W94" s="2">
        <v>5</v>
      </c>
      <c r="X94" s="2">
        <v>13</v>
      </c>
      <c r="Y94" s="2">
        <v>6</v>
      </c>
      <c r="Z94" s="2">
        <v>5</v>
      </c>
      <c r="AA94" s="2">
        <v>8</v>
      </c>
      <c r="AB94" s="2">
        <v>2</v>
      </c>
      <c r="AC94" s="2">
        <v>0</v>
      </c>
      <c r="AD94" s="2">
        <v>0</v>
      </c>
      <c r="AE94" s="2">
        <v>0</v>
      </c>
      <c r="AF94" s="2">
        <v>0</v>
      </c>
      <c r="AG94" s="2">
        <v>9</v>
      </c>
      <c r="AH94" s="2">
        <v>9</v>
      </c>
      <c r="AI94" s="2">
        <v>8</v>
      </c>
      <c r="AJ94" s="2">
        <v>14</v>
      </c>
      <c r="AK94" s="2">
        <v>0</v>
      </c>
      <c r="AL94" s="2">
        <v>0</v>
      </c>
      <c r="AM94" s="2">
        <v>8</v>
      </c>
      <c r="AN94" s="2">
        <v>1</v>
      </c>
      <c r="AO94" s="2">
        <v>0</v>
      </c>
      <c r="AP94" s="2">
        <v>2</v>
      </c>
      <c r="AQ94" s="2">
        <v>2</v>
      </c>
      <c r="AR94" s="2">
        <v>2</v>
      </c>
      <c r="AS94" s="2">
        <v>2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2</v>
      </c>
      <c r="BA94" s="2">
        <v>1</v>
      </c>
      <c r="BB94" s="2">
        <v>3</v>
      </c>
      <c r="BC94" s="2">
        <v>1</v>
      </c>
      <c r="BD94" s="2">
        <v>1</v>
      </c>
      <c r="BE94" s="2">
        <v>1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2</v>
      </c>
      <c r="BM94" s="2">
        <v>0</v>
      </c>
      <c r="BN94" s="2">
        <v>3</v>
      </c>
      <c r="BO94" s="2">
        <v>1</v>
      </c>
      <c r="BP94" s="2">
        <v>1</v>
      </c>
      <c r="BQ94" s="2">
        <v>1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1</v>
      </c>
      <c r="BY94" s="2">
        <v>3</v>
      </c>
      <c r="BZ94" s="2">
        <v>3</v>
      </c>
      <c r="CA94" s="2">
        <v>2</v>
      </c>
      <c r="CB94" s="2">
        <v>1</v>
      </c>
      <c r="CC94" s="2">
        <v>3</v>
      </c>
      <c r="CD94" s="2">
        <v>1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0</v>
      </c>
      <c r="DH94" s="2">
        <v>3</v>
      </c>
      <c r="DI94" s="2">
        <v>1</v>
      </c>
      <c r="DJ94" s="2">
        <v>2</v>
      </c>
      <c r="DK94" s="2">
        <v>0</v>
      </c>
      <c r="DL94" s="2">
        <v>0</v>
      </c>
      <c r="DM94" s="2">
        <v>1</v>
      </c>
      <c r="DN94" s="2">
        <v>1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</row>
    <row r="95" spans="1:123">
      <c r="A95" s="2" t="s">
        <v>22</v>
      </c>
      <c r="B95" s="2" t="s">
        <v>268</v>
      </c>
      <c r="C95" s="2">
        <v>551</v>
      </c>
      <c r="D95" s="2">
        <v>52</v>
      </c>
      <c r="E95" s="2">
        <v>9.18</v>
      </c>
      <c r="F95" s="2">
        <v>10.6</v>
      </c>
      <c r="G95" s="2" t="s">
        <v>160</v>
      </c>
      <c r="H95">
        <f>IF(AND(OR(لوحة_القيادة!$C$4="الكل", A95=لوحة_القيادة!$C$4), IF(لوحة_القيادة!$C$5="الكل", TRUE, INDEX($V95:$AG95, 1, VALUE(لوحة_القيادة!$C$5))&gt;0)), 1, 0)</f>
        <v>0</v>
      </c>
      <c r="I95">
        <f>IF(H95=1, SUM($H$2:H95), "")</f>
        <v>0</v>
      </c>
      <c r="J95" s="2">
        <v>59</v>
      </c>
      <c r="K95" s="2">
        <v>56</v>
      </c>
      <c r="L95" s="2">
        <v>20</v>
      </c>
      <c r="M95" s="2">
        <v>53</v>
      </c>
      <c r="N95" s="2">
        <v>94</v>
      </c>
      <c r="O95" s="2">
        <v>164</v>
      </c>
      <c r="P95" s="2">
        <v>105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7</v>
      </c>
      <c r="W95" s="2">
        <v>8</v>
      </c>
      <c r="X95" s="2">
        <v>2</v>
      </c>
      <c r="Y95" s="2">
        <v>9</v>
      </c>
      <c r="Z95" s="2">
        <v>9</v>
      </c>
      <c r="AA95" s="2">
        <v>12</v>
      </c>
      <c r="AB95" s="2">
        <v>5</v>
      </c>
      <c r="AC95" s="2">
        <v>0</v>
      </c>
      <c r="AD95" s="2">
        <v>0</v>
      </c>
      <c r="AE95" s="2">
        <v>0</v>
      </c>
      <c r="AF95" s="2">
        <v>0</v>
      </c>
      <c r="AG95" s="2">
        <v>11</v>
      </c>
      <c r="AH95" s="2">
        <v>12</v>
      </c>
      <c r="AI95" s="2">
        <v>12</v>
      </c>
      <c r="AJ95" s="2">
        <v>7</v>
      </c>
      <c r="AK95" s="2">
        <v>0</v>
      </c>
      <c r="AL95" s="2">
        <v>0</v>
      </c>
      <c r="AM95" s="2">
        <v>10</v>
      </c>
      <c r="AN95" s="2">
        <v>2</v>
      </c>
      <c r="AO95" s="2">
        <v>2</v>
      </c>
      <c r="AP95" s="2">
        <v>0</v>
      </c>
      <c r="AQ95" s="2">
        <v>1</v>
      </c>
      <c r="AR95" s="2">
        <v>3</v>
      </c>
      <c r="AS95" s="2">
        <v>2</v>
      </c>
      <c r="AT95" s="2">
        <v>1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2</v>
      </c>
      <c r="BA95" s="2">
        <v>0</v>
      </c>
      <c r="BB95" s="2">
        <v>1</v>
      </c>
      <c r="BC95" s="2">
        <v>2</v>
      </c>
      <c r="BD95" s="2">
        <v>2</v>
      </c>
      <c r="BE95" s="2">
        <v>4</v>
      </c>
      <c r="BF95" s="2">
        <v>1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2</v>
      </c>
      <c r="BN95" s="2">
        <v>0</v>
      </c>
      <c r="BO95" s="2">
        <v>3</v>
      </c>
      <c r="BP95" s="2">
        <v>2</v>
      </c>
      <c r="BQ95" s="2">
        <v>4</v>
      </c>
      <c r="BR95" s="2">
        <v>1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1</v>
      </c>
      <c r="CB95" s="2">
        <v>2</v>
      </c>
      <c r="CC95" s="2">
        <v>2</v>
      </c>
      <c r="CD95" s="2">
        <v>2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3</v>
      </c>
      <c r="DI95" s="2">
        <v>4</v>
      </c>
      <c r="DJ95" s="2">
        <v>1</v>
      </c>
      <c r="DK95" s="2">
        <v>2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</row>
    <row r="96" spans="1:123">
      <c r="A96" s="2" t="s">
        <v>13</v>
      </c>
      <c r="B96" s="2" t="s">
        <v>269</v>
      </c>
      <c r="C96" s="2">
        <v>531</v>
      </c>
      <c r="D96" s="2">
        <v>24</v>
      </c>
      <c r="E96" s="2">
        <v>8.85</v>
      </c>
      <c r="F96" s="2">
        <v>22.12</v>
      </c>
      <c r="G96" s="2" t="s">
        <v>270</v>
      </c>
      <c r="H96">
        <f>IF(AND(OR(لوحة_القيادة!$C$4="الكل", A96=لوحة_القيادة!$C$4), IF(لوحة_القيادة!$C$5="الكل", TRUE, INDEX($V96:$AG96, 1, VALUE(لوحة_القيادة!$C$5))&gt;0)), 1, 0)</f>
        <v>0</v>
      </c>
      <c r="I96">
        <f>IF(H96=1, SUM($H$2:H96), "")</f>
        <v>0</v>
      </c>
      <c r="J96" s="2">
        <v>47</v>
      </c>
      <c r="K96" s="2">
        <v>0</v>
      </c>
      <c r="L96" s="2">
        <v>0</v>
      </c>
      <c r="M96" s="2">
        <v>58</v>
      </c>
      <c r="N96" s="2">
        <v>138</v>
      </c>
      <c r="O96" s="2">
        <v>143</v>
      </c>
      <c r="P96" s="2">
        <v>145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2</v>
      </c>
      <c r="W96" s="2">
        <v>0</v>
      </c>
      <c r="X96" s="2">
        <v>0</v>
      </c>
      <c r="Y96" s="2">
        <v>3</v>
      </c>
      <c r="Z96" s="2">
        <v>7</v>
      </c>
      <c r="AA96" s="2">
        <v>8</v>
      </c>
      <c r="AB96" s="2">
        <v>4</v>
      </c>
      <c r="AC96" s="2">
        <v>0</v>
      </c>
      <c r="AD96" s="2">
        <v>0</v>
      </c>
      <c r="AE96" s="2">
        <v>0</v>
      </c>
      <c r="AF96" s="2">
        <v>0</v>
      </c>
      <c r="AG96" s="2">
        <v>3</v>
      </c>
      <c r="AH96" s="2">
        <v>4</v>
      </c>
      <c r="AI96" s="2">
        <v>6</v>
      </c>
      <c r="AJ96" s="2">
        <v>7</v>
      </c>
      <c r="AK96" s="2">
        <v>0</v>
      </c>
      <c r="AL96" s="2">
        <v>0</v>
      </c>
      <c r="AM96" s="2">
        <v>4</v>
      </c>
      <c r="AN96" s="2">
        <v>1</v>
      </c>
      <c r="AO96" s="2">
        <v>0</v>
      </c>
      <c r="AP96" s="2">
        <v>0</v>
      </c>
      <c r="AQ96" s="2">
        <v>0</v>
      </c>
      <c r="AR96" s="2">
        <v>1</v>
      </c>
      <c r="AS96" s="2">
        <v>1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1</v>
      </c>
      <c r="BA96" s="2">
        <v>0</v>
      </c>
      <c r="BB96" s="2">
        <v>0</v>
      </c>
      <c r="BC96" s="2">
        <v>1</v>
      </c>
      <c r="BD96" s="2">
        <v>1</v>
      </c>
      <c r="BE96" s="2">
        <v>0</v>
      </c>
      <c r="BF96" s="2">
        <v>1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1</v>
      </c>
      <c r="BP96" s="2">
        <v>2</v>
      </c>
      <c r="BQ96" s="2">
        <v>3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1</v>
      </c>
      <c r="CB96" s="2">
        <v>2</v>
      </c>
      <c r="CC96" s="2">
        <v>2</v>
      </c>
      <c r="CD96" s="2">
        <v>2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1</v>
      </c>
      <c r="DM96" s="2">
        <v>2</v>
      </c>
      <c r="DN96" s="2">
        <v>1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</row>
    <row r="97" spans="1:123">
      <c r="A97" s="2" t="s">
        <v>7</v>
      </c>
      <c r="B97" s="2" t="s">
        <v>271</v>
      </c>
      <c r="C97" s="2">
        <v>528</v>
      </c>
      <c r="D97" s="2">
        <v>59</v>
      </c>
      <c r="E97" s="2">
        <v>8.800000000000001</v>
      </c>
      <c r="F97" s="2">
        <v>8.949999999999999</v>
      </c>
      <c r="G97" s="2" t="s">
        <v>160</v>
      </c>
      <c r="H97">
        <f>IF(AND(OR(لوحة_القيادة!$C$4="الكل", A97=لوحة_القيادة!$C$4), IF(لوحة_القيادة!$C$5="الكل", TRUE, INDEX($V97:$AG97, 1, VALUE(لوحة_القيادة!$C$5))&gt;0)), 1, 0)</f>
        <v>0</v>
      </c>
      <c r="I97">
        <f>IF(H97=1, SUM($H$2:H97), "")</f>
        <v>0</v>
      </c>
      <c r="J97" s="2">
        <v>50</v>
      </c>
      <c r="K97" s="2">
        <v>67</v>
      </c>
      <c r="L97" s="2">
        <v>62</v>
      </c>
      <c r="M97" s="2">
        <v>73</v>
      </c>
      <c r="N97" s="2">
        <v>34</v>
      </c>
      <c r="O97" s="2">
        <v>107</v>
      </c>
      <c r="P97" s="2">
        <v>135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8</v>
      </c>
      <c r="W97" s="2">
        <v>11</v>
      </c>
      <c r="X97" s="2">
        <v>7</v>
      </c>
      <c r="Y97" s="2">
        <v>8</v>
      </c>
      <c r="Z97" s="2">
        <v>6</v>
      </c>
      <c r="AA97" s="2">
        <v>14</v>
      </c>
      <c r="AB97" s="2">
        <v>5</v>
      </c>
      <c r="AC97" s="2">
        <v>0</v>
      </c>
      <c r="AD97" s="2">
        <v>0</v>
      </c>
      <c r="AE97" s="2">
        <v>0</v>
      </c>
      <c r="AF97" s="2">
        <v>0</v>
      </c>
      <c r="AG97" s="2">
        <v>14</v>
      </c>
      <c r="AH97" s="2">
        <v>11</v>
      </c>
      <c r="AI97" s="2">
        <v>13</v>
      </c>
      <c r="AJ97" s="2">
        <v>14</v>
      </c>
      <c r="AK97" s="2">
        <v>0</v>
      </c>
      <c r="AL97" s="2">
        <v>0</v>
      </c>
      <c r="AM97" s="2">
        <v>7</v>
      </c>
      <c r="AN97" s="2">
        <v>1</v>
      </c>
      <c r="AO97" s="2">
        <v>3</v>
      </c>
      <c r="AP97" s="2">
        <v>2</v>
      </c>
      <c r="AQ97" s="2">
        <v>1</v>
      </c>
      <c r="AR97" s="2">
        <v>2</v>
      </c>
      <c r="AS97" s="2">
        <v>4</v>
      </c>
      <c r="AT97" s="2">
        <v>1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1</v>
      </c>
      <c r="BA97" s="2">
        <v>2</v>
      </c>
      <c r="BB97" s="2">
        <v>2</v>
      </c>
      <c r="BC97" s="2">
        <v>2</v>
      </c>
      <c r="BD97" s="2">
        <v>2</v>
      </c>
      <c r="BE97" s="2">
        <v>1</v>
      </c>
      <c r="BF97" s="2">
        <v>1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2</v>
      </c>
      <c r="BM97" s="2">
        <v>3</v>
      </c>
      <c r="BN97" s="2">
        <v>1</v>
      </c>
      <c r="BO97" s="2">
        <v>2</v>
      </c>
      <c r="BP97" s="2">
        <v>0</v>
      </c>
      <c r="BQ97" s="2">
        <v>4</v>
      </c>
      <c r="BR97" s="2">
        <v>1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2</v>
      </c>
      <c r="BY97" s="2">
        <v>2</v>
      </c>
      <c r="BZ97" s="2">
        <v>1</v>
      </c>
      <c r="CA97" s="2">
        <v>3</v>
      </c>
      <c r="CB97" s="2">
        <v>1</v>
      </c>
      <c r="CC97" s="2">
        <v>3</v>
      </c>
      <c r="CD97" s="2">
        <v>2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2</v>
      </c>
      <c r="DI97" s="2">
        <v>1</v>
      </c>
      <c r="DJ97" s="2">
        <v>1</v>
      </c>
      <c r="DK97" s="2">
        <v>0</v>
      </c>
      <c r="DL97" s="2">
        <v>1</v>
      </c>
      <c r="DM97" s="2">
        <v>2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</row>
    <row r="98" spans="1:123">
      <c r="A98" s="2" t="s">
        <v>16</v>
      </c>
      <c r="B98" s="2" t="s">
        <v>272</v>
      </c>
      <c r="C98" s="2">
        <v>526</v>
      </c>
      <c r="D98" s="2">
        <v>12</v>
      </c>
      <c r="E98" s="2">
        <v>8.77</v>
      </c>
      <c r="F98" s="2">
        <v>43.83</v>
      </c>
      <c r="G98" s="2" t="s">
        <v>273</v>
      </c>
      <c r="H98">
        <f>IF(AND(OR(لوحة_القيادة!$C$4="الكل", A98=لوحة_القيادة!$C$4), IF(لوحة_القيادة!$C$5="الكل", TRUE, INDEX($V98:$AG98, 1, VALUE(لوحة_القيادة!$C$5))&gt;0)), 1, 0)</f>
        <v>0</v>
      </c>
      <c r="I98">
        <f>IF(H98=1, SUM($H$2:H98), "")</f>
        <v>0</v>
      </c>
      <c r="J98" s="2">
        <v>29</v>
      </c>
      <c r="K98" s="2">
        <v>108</v>
      </c>
      <c r="L98" s="2">
        <v>0</v>
      </c>
      <c r="M98" s="2">
        <v>0</v>
      </c>
      <c r="N98" s="2">
        <v>35</v>
      </c>
      <c r="O98" s="2">
        <v>117</v>
      </c>
      <c r="P98" s="2">
        <v>237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1</v>
      </c>
      <c r="W98" s="2">
        <v>3</v>
      </c>
      <c r="X98" s="2">
        <v>0</v>
      </c>
      <c r="Y98" s="2">
        <v>0</v>
      </c>
      <c r="Z98" s="2">
        <v>2</v>
      </c>
      <c r="AA98" s="2">
        <v>3</v>
      </c>
      <c r="AB98" s="2">
        <v>3</v>
      </c>
      <c r="AC98" s="2">
        <v>0</v>
      </c>
      <c r="AD98" s="2">
        <v>0</v>
      </c>
      <c r="AE98" s="2">
        <v>0</v>
      </c>
      <c r="AF98" s="2">
        <v>0</v>
      </c>
      <c r="AG98" s="2">
        <v>2</v>
      </c>
      <c r="AH98" s="2">
        <v>1</v>
      </c>
      <c r="AI98" s="2">
        <v>2</v>
      </c>
      <c r="AJ98" s="2">
        <v>5</v>
      </c>
      <c r="AK98" s="2">
        <v>0</v>
      </c>
      <c r="AL98" s="2">
        <v>0</v>
      </c>
      <c r="AM98" s="2">
        <v>2</v>
      </c>
      <c r="AN98" s="2">
        <v>0</v>
      </c>
      <c r="AO98" s="2">
        <v>1</v>
      </c>
      <c r="AP98" s="2">
        <v>0</v>
      </c>
      <c r="AQ98" s="2">
        <v>0</v>
      </c>
      <c r="AR98" s="2">
        <v>0</v>
      </c>
      <c r="AS98" s="2">
        <v>1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1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1</v>
      </c>
      <c r="BN98" s="2">
        <v>0</v>
      </c>
      <c r="BO98" s="2">
        <v>0</v>
      </c>
      <c r="BP98" s="2">
        <v>0</v>
      </c>
      <c r="BQ98" s="2">
        <v>0</v>
      </c>
      <c r="BR98" s="2">
        <v>1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1</v>
      </c>
      <c r="BZ98" s="2">
        <v>0</v>
      </c>
      <c r="CA98" s="2">
        <v>0</v>
      </c>
      <c r="CB98" s="2">
        <v>1</v>
      </c>
      <c r="CC98" s="2">
        <v>1</v>
      </c>
      <c r="CD98" s="2">
        <v>2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1</v>
      </c>
      <c r="DI98" s="2">
        <v>0</v>
      </c>
      <c r="DJ98" s="2">
        <v>0</v>
      </c>
      <c r="DK98" s="2">
        <v>0</v>
      </c>
      <c r="DL98" s="2">
        <v>0</v>
      </c>
      <c r="DM98" s="2">
        <v>1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</row>
    <row r="99" spans="1:123">
      <c r="A99" s="2" t="s">
        <v>7</v>
      </c>
      <c r="B99" s="2" t="s">
        <v>274</v>
      </c>
      <c r="C99" s="2">
        <v>518</v>
      </c>
      <c r="D99" s="2">
        <v>58</v>
      </c>
      <c r="E99" s="2">
        <v>8.630000000000001</v>
      </c>
      <c r="F99" s="2">
        <v>8.93</v>
      </c>
      <c r="G99" s="2" t="s">
        <v>160</v>
      </c>
      <c r="H99">
        <f>IF(AND(OR(لوحة_القيادة!$C$4="الكل", A99=لوحة_القيادة!$C$4), IF(لوحة_القيادة!$C$5="الكل", TRUE, INDEX($V99:$AG99, 1, VALUE(لوحة_القيادة!$C$5))&gt;0)), 1, 0)</f>
        <v>0</v>
      </c>
      <c r="I99">
        <f>IF(H99=1, SUM($H$2:H99), "")</f>
        <v>0</v>
      </c>
      <c r="J99" s="2">
        <v>41</v>
      </c>
      <c r="K99" s="2">
        <v>82</v>
      </c>
      <c r="L99" s="2">
        <v>276</v>
      </c>
      <c r="M99" s="2">
        <v>13</v>
      </c>
      <c r="N99" s="2">
        <v>51</v>
      </c>
      <c r="O99" s="2">
        <v>25</v>
      </c>
      <c r="P99" s="2">
        <v>30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12</v>
      </c>
      <c r="W99" s="2">
        <v>11</v>
      </c>
      <c r="X99" s="2">
        <v>9</v>
      </c>
      <c r="Y99" s="2">
        <v>7</v>
      </c>
      <c r="Z99" s="2">
        <v>11</v>
      </c>
      <c r="AA99" s="2">
        <v>6</v>
      </c>
      <c r="AB99" s="2">
        <v>2</v>
      </c>
      <c r="AC99" s="2">
        <v>0</v>
      </c>
      <c r="AD99" s="2">
        <v>0</v>
      </c>
      <c r="AE99" s="2">
        <v>0</v>
      </c>
      <c r="AF99" s="2">
        <v>0</v>
      </c>
      <c r="AG99" s="2">
        <v>11</v>
      </c>
      <c r="AH99" s="2">
        <v>11</v>
      </c>
      <c r="AI99" s="2">
        <v>13</v>
      </c>
      <c r="AJ99" s="2">
        <v>11</v>
      </c>
      <c r="AK99" s="2">
        <v>0</v>
      </c>
      <c r="AL99" s="2">
        <v>0</v>
      </c>
      <c r="AM99" s="2">
        <v>12</v>
      </c>
      <c r="AN99" s="2">
        <v>3</v>
      </c>
      <c r="AO99" s="2">
        <v>2</v>
      </c>
      <c r="AP99" s="2">
        <v>1</v>
      </c>
      <c r="AQ99" s="2">
        <v>1</v>
      </c>
      <c r="AR99" s="2">
        <v>2</v>
      </c>
      <c r="AS99" s="2">
        <v>2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2</v>
      </c>
      <c r="BA99" s="2">
        <v>2</v>
      </c>
      <c r="BB99" s="2">
        <v>3</v>
      </c>
      <c r="BC99" s="2">
        <v>2</v>
      </c>
      <c r="BD99" s="2">
        <v>1</v>
      </c>
      <c r="BE99" s="2">
        <v>1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3</v>
      </c>
      <c r="BM99" s="2">
        <v>1</v>
      </c>
      <c r="BN99" s="2">
        <v>2</v>
      </c>
      <c r="BO99" s="2">
        <v>2</v>
      </c>
      <c r="BP99" s="2">
        <v>2</v>
      </c>
      <c r="BQ99" s="2">
        <v>2</v>
      </c>
      <c r="BR99" s="2">
        <v>1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1</v>
      </c>
      <c r="BY99" s="2">
        <v>3</v>
      </c>
      <c r="BZ99" s="2">
        <v>2</v>
      </c>
      <c r="CA99" s="2">
        <v>2</v>
      </c>
      <c r="CB99" s="2">
        <v>2</v>
      </c>
      <c r="CC99" s="2">
        <v>1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0</v>
      </c>
      <c r="DH99" s="2">
        <v>3</v>
      </c>
      <c r="DI99" s="2">
        <v>3</v>
      </c>
      <c r="DJ99" s="2">
        <v>1</v>
      </c>
      <c r="DK99" s="2">
        <v>0</v>
      </c>
      <c r="DL99" s="2">
        <v>4</v>
      </c>
      <c r="DM99" s="2">
        <v>0</v>
      </c>
      <c r="DN99" s="2">
        <v>1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</row>
    <row r="100" spans="1:123">
      <c r="A100" s="2" t="s">
        <v>15</v>
      </c>
      <c r="B100" s="2" t="s">
        <v>275</v>
      </c>
      <c r="C100" s="2">
        <v>517</v>
      </c>
      <c r="D100" s="2">
        <v>9</v>
      </c>
      <c r="E100" s="2">
        <v>8.619999999999999</v>
      </c>
      <c r="F100" s="2">
        <v>57.44</v>
      </c>
      <c r="G100" s="2" t="s">
        <v>276</v>
      </c>
      <c r="H100">
        <f>IF(AND(OR(لوحة_القيادة!$C$4="الكل", A100=لوحة_القيادة!$C$4), IF(لوحة_القيادة!$C$5="الكل", TRUE, INDEX($V100:$AG100, 1, VALUE(لوحة_القيادة!$C$5))&gt;0)), 1, 0)</f>
        <v>0</v>
      </c>
      <c r="I100">
        <f>IF(H100=1, SUM($H$2:H100), "")</f>
        <v>0</v>
      </c>
      <c r="J100" s="2">
        <v>19</v>
      </c>
      <c r="K100" s="2">
        <v>0</v>
      </c>
      <c r="L100" s="2">
        <v>0</v>
      </c>
      <c r="M100" s="2">
        <v>0</v>
      </c>
      <c r="N100" s="2">
        <v>0</v>
      </c>
      <c r="O100" s="2">
        <v>26</v>
      </c>
      <c r="P100" s="2">
        <v>472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5</v>
      </c>
      <c r="W100" s="2">
        <v>0</v>
      </c>
      <c r="X100" s="2">
        <v>0</v>
      </c>
      <c r="Y100" s="2">
        <v>0</v>
      </c>
      <c r="Z100" s="2">
        <v>0</v>
      </c>
      <c r="AA100" s="2">
        <v>2</v>
      </c>
      <c r="AB100" s="2">
        <v>2</v>
      </c>
      <c r="AC100" s="2">
        <v>0</v>
      </c>
      <c r="AD100" s="2">
        <v>0</v>
      </c>
      <c r="AE100" s="2">
        <v>0</v>
      </c>
      <c r="AF100" s="2">
        <v>0</v>
      </c>
      <c r="AG100" s="2">
        <v>1</v>
      </c>
      <c r="AH100" s="2">
        <v>2</v>
      </c>
      <c r="AI100" s="2">
        <v>0</v>
      </c>
      <c r="AJ100" s="2">
        <v>4</v>
      </c>
      <c r="AK100" s="2">
        <v>0</v>
      </c>
      <c r="AL100" s="2">
        <v>0</v>
      </c>
      <c r="AM100" s="2">
        <v>2</v>
      </c>
      <c r="AN100" s="2">
        <v>1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2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1</v>
      </c>
      <c r="BY100" s="2">
        <v>0</v>
      </c>
      <c r="BZ100" s="2">
        <v>0</v>
      </c>
      <c r="CA100" s="2">
        <v>0</v>
      </c>
      <c r="CB100" s="2">
        <v>0</v>
      </c>
      <c r="CC100" s="2">
        <v>1</v>
      </c>
      <c r="CD100" s="2">
        <v>2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0</v>
      </c>
      <c r="DH100" s="2">
        <v>1</v>
      </c>
      <c r="DI100" s="2">
        <v>0</v>
      </c>
      <c r="DJ100" s="2">
        <v>0</v>
      </c>
      <c r="DK100" s="2">
        <v>0</v>
      </c>
      <c r="DL100" s="2">
        <v>0</v>
      </c>
      <c r="DM100" s="2">
        <v>1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</row>
    <row r="101" spans="1:123">
      <c r="A101" s="2" t="s">
        <v>12</v>
      </c>
      <c r="B101" s="2" t="s">
        <v>277</v>
      </c>
      <c r="C101" s="2">
        <v>511</v>
      </c>
      <c r="D101" s="2">
        <v>45</v>
      </c>
      <c r="E101" s="2">
        <v>8.52</v>
      </c>
      <c r="F101" s="2">
        <v>11.36</v>
      </c>
      <c r="G101" s="2" t="s">
        <v>160</v>
      </c>
      <c r="H101">
        <f>IF(AND(OR(لوحة_القيادة!$C$4="الكل", A101=لوحة_القيادة!$C$4), IF(لوحة_القيادة!$C$5="الكل", TRUE, INDEX($V101:$AG101, 1, VALUE(لوحة_القيادة!$C$5))&gt;0)), 1, 0)</f>
        <v>0</v>
      </c>
      <c r="I101">
        <f>IF(H101=1, SUM($H$2:H101), "")</f>
        <v>0</v>
      </c>
      <c r="J101" s="2">
        <v>91</v>
      </c>
      <c r="K101" s="2">
        <v>37</v>
      </c>
      <c r="L101" s="2">
        <v>173</v>
      </c>
      <c r="M101" s="2">
        <v>65</v>
      </c>
      <c r="N101" s="2">
        <v>67</v>
      </c>
      <c r="O101" s="2">
        <v>72</v>
      </c>
      <c r="P101" s="2">
        <v>6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8</v>
      </c>
      <c r="W101" s="2">
        <v>6</v>
      </c>
      <c r="X101" s="2">
        <v>9</v>
      </c>
      <c r="Y101" s="2">
        <v>6</v>
      </c>
      <c r="Z101" s="2">
        <v>6</v>
      </c>
      <c r="AA101" s="2">
        <v>9</v>
      </c>
      <c r="AB101" s="2">
        <v>1</v>
      </c>
      <c r="AC101" s="2">
        <v>0</v>
      </c>
      <c r="AD101" s="2">
        <v>0</v>
      </c>
      <c r="AE101" s="2">
        <v>0</v>
      </c>
      <c r="AF101" s="2">
        <v>0</v>
      </c>
      <c r="AG101" s="2">
        <v>7</v>
      </c>
      <c r="AH101" s="2">
        <v>10</v>
      </c>
      <c r="AI101" s="2">
        <v>13</v>
      </c>
      <c r="AJ101" s="2">
        <v>8</v>
      </c>
      <c r="AK101" s="2">
        <v>0</v>
      </c>
      <c r="AL101" s="2">
        <v>0</v>
      </c>
      <c r="AM101" s="2">
        <v>7</v>
      </c>
      <c r="AN101" s="2">
        <v>2</v>
      </c>
      <c r="AO101" s="2">
        <v>0</v>
      </c>
      <c r="AP101" s="2">
        <v>1</v>
      </c>
      <c r="AQ101" s="2">
        <v>1</v>
      </c>
      <c r="AR101" s="2">
        <v>1</v>
      </c>
      <c r="AS101" s="2">
        <v>2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1</v>
      </c>
      <c r="BA101" s="2">
        <v>0</v>
      </c>
      <c r="BB101" s="2">
        <v>2</v>
      </c>
      <c r="BC101" s="2">
        <v>1</v>
      </c>
      <c r="BD101" s="2">
        <v>2</v>
      </c>
      <c r="BE101" s="2">
        <v>3</v>
      </c>
      <c r="BF101" s="2">
        <v>1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2</v>
      </c>
      <c r="BM101" s="2">
        <v>2</v>
      </c>
      <c r="BN101" s="2">
        <v>3</v>
      </c>
      <c r="BO101" s="2">
        <v>3</v>
      </c>
      <c r="BP101" s="2">
        <v>1</v>
      </c>
      <c r="BQ101" s="2">
        <v>2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2</v>
      </c>
      <c r="BY101" s="2">
        <v>2</v>
      </c>
      <c r="BZ101" s="2">
        <v>2</v>
      </c>
      <c r="CA101" s="2">
        <v>1</v>
      </c>
      <c r="CB101" s="2">
        <v>0</v>
      </c>
      <c r="CC101" s="2">
        <v>1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  <c r="DE101" s="2">
        <v>0</v>
      </c>
      <c r="DF101" s="2">
        <v>0</v>
      </c>
      <c r="DG101" s="2">
        <v>0</v>
      </c>
      <c r="DH101" s="2">
        <v>1</v>
      </c>
      <c r="DI101" s="2">
        <v>2</v>
      </c>
      <c r="DJ101" s="2">
        <v>1</v>
      </c>
      <c r="DK101" s="2">
        <v>0</v>
      </c>
      <c r="DL101" s="2">
        <v>2</v>
      </c>
      <c r="DM101" s="2">
        <v>1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</row>
    <row r="102" spans="1:123">
      <c r="A102" s="2" t="s">
        <v>10</v>
      </c>
      <c r="B102" s="2" t="s">
        <v>278</v>
      </c>
      <c r="C102" s="2">
        <v>510</v>
      </c>
      <c r="D102" s="2">
        <v>65</v>
      </c>
      <c r="E102" s="2">
        <v>8.5</v>
      </c>
      <c r="F102" s="2">
        <v>7.85</v>
      </c>
      <c r="G102" s="2" t="s">
        <v>170</v>
      </c>
      <c r="H102">
        <f>IF(AND(OR(لوحة_القيادة!$C$4="الكل", A102=لوحة_القيادة!$C$4), IF(لوحة_القيادة!$C$5="الكل", TRUE, INDEX($V102:$AG102, 1, VALUE(لوحة_القيادة!$C$5))&gt;0)), 1, 0)</f>
        <v>0</v>
      </c>
      <c r="I102">
        <f>IF(H102=1, SUM($H$2:H102), "")</f>
        <v>0</v>
      </c>
      <c r="J102" s="2">
        <v>136</v>
      </c>
      <c r="K102" s="2">
        <v>128</v>
      </c>
      <c r="L102" s="2">
        <v>56</v>
      </c>
      <c r="M102" s="2">
        <v>48</v>
      </c>
      <c r="N102" s="2">
        <v>57</v>
      </c>
      <c r="O102" s="2">
        <v>85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15</v>
      </c>
      <c r="W102" s="2">
        <v>19</v>
      </c>
      <c r="X102" s="2">
        <v>8</v>
      </c>
      <c r="Y102" s="2">
        <v>9</v>
      </c>
      <c r="Z102" s="2">
        <v>10</v>
      </c>
      <c r="AA102" s="2">
        <v>4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13</v>
      </c>
      <c r="AH102" s="2">
        <v>15</v>
      </c>
      <c r="AI102" s="2">
        <v>11</v>
      </c>
      <c r="AJ102" s="2">
        <v>14</v>
      </c>
      <c r="AK102" s="2">
        <v>0</v>
      </c>
      <c r="AL102" s="2">
        <v>0</v>
      </c>
      <c r="AM102" s="2">
        <v>12</v>
      </c>
      <c r="AN102" s="2">
        <v>4</v>
      </c>
      <c r="AO102" s="2">
        <v>3</v>
      </c>
      <c r="AP102" s="2">
        <v>1</v>
      </c>
      <c r="AQ102" s="2">
        <v>2</v>
      </c>
      <c r="AR102" s="2">
        <v>2</v>
      </c>
      <c r="AS102" s="2">
        <v>1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3</v>
      </c>
      <c r="BA102" s="2">
        <v>4</v>
      </c>
      <c r="BB102" s="2">
        <v>1</v>
      </c>
      <c r="BC102" s="2">
        <v>3</v>
      </c>
      <c r="BD102" s="2">
        <v>3</v>
      </c>
      <c r="BE102" s="2">
        <v>1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3</v>
      </c>
      <c r="BM102" s="2">
        <v>4</v>
      </c>
      <c r="BN102" s="2">
        <v>3</v>
      </c>
      <c r="BO102" s="2">
        <v>0</v>
      </c>
      <c r="BP102" s="2">
        <v>1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1</v>
      </c>
      <c r="BY102" s="2">
        <v>4</v>
      </c>
      <c r="BZ102" s="2">
        <v>2</v>
      </c>
      <c r="CA102" s="2">
        <v>3</v>
      </c>
      <c r="CB102" s="2">
        <v>3</v>
      </c>
      <c r="CC102" s="2">
        <v>1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  <c r="DE102" s="2">
        <v>0</v>
      </c>
      <c r="DF102" s="2">
        <v>0</v>
      </c>
      <c r="DG102" s="2">
        <v>0</v>
      </c>
      <c r="DH102" s="2">
        <v>4</v>
      </c>
      <c r="DI102" s="2">
        <v>4</v>
      </c>
      <c r="DJ102" s="2">
        <v>1</v>
      </c>
      <c r="DK102" s="2">
        <v>1</v>
      </c>
      <c r="DL102" s="2">
        <v>1</v>
      </c>
      <c r="DM102" s="2">
        <v>1</v>
      </c>
      <c r="DN102" s="2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0</v>
      </c>
    </row>
    <row r="103" spans="1:123">
      <c r="A103" s="2" t="s">
        <v>18</v>
      </c>
      <c r="B103" s="2" t="s">
        <v>279</v>
      </c>
      <c r="C103" s="2">
        <v>504</v>
      </c>
      <c r="D103" s="2">
        <v>18</v>
      </c>
      <c r="E103" s="2">
        <v>8.4</v>
      </c>
      <c r="F103" s="2">
        <v>28</v>
      </c>
      <c r="G103" s="2" t="s">
        <v>280</v>
      </c>
      <c r="H103">
        <f>IF(AND(OR(لوحة_القيادة!$C$4="الكل", A103=لوحة_القيادة!$C$4), IF(لوحة_القيادة!$C$5="الكل", TRUE, INDEX($V103:$AG103, 1, VALUE(لوحة_القيادة!$C$5))&gt;0)), 1, 0)</f>
        <v>0</v>
      </c>
      <c r="I103">
        <f>IF(H103=1, SUM($H$2:H103), "")</f>
        <v>0</v>
      </c>
      <c r="J103" s="2">
        <v>4</v>
      </c>
      <c r="K103" s="2">
        <v>101</v>
      </c>
      <c r="L103" s="2">
        <v>0</v>
      </c>
      <c r="M103" s="2">
        <v>73</v>
      </c>
      <c r="N103" s="2">
        <v>215</v>
      </c>
      <c r="O103" s="2">
        <v>110</v>
      </c>
      <c r="P103" s="2">
        <v>1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1</v>
      </c>
      <c r="W103" s="2">
        <v>3</v>
      </c>
      <c r="X103" s="2">
        <v>0</v>
      </c>
      <c r="Y103" s="2">
        <v>3</v>
      </c>
      <c r="Z103" s="2">
        <v>5</v>
      </c>
      <c r="AA103" s="2">
        <v>5</v>
      </c>
      <c r="AB103" s="2">
        <v>1</v>
      </c>
      <c r="AC103" s="2">
        <v>0</v>
      </c>
      <c r="AD103" s="2">
        <v>0</v>
      </c>
      <c r="AE103" s="2">
        <v>0</v>
      </c>
      <c r="AF103" s="2">
        <v>0</v>
      </c>
      <c r="AG103" s="2">
        <v>4</v>
      </c>
      <c r="AH103" s="2">
        <v>5</v>
      </c>
      <c r="AI103" s="2">
        <v>3</v>
      </c>
      <c r="AJ103" s="2">
        <v>3</v>
      </c>
      <c r="AK103" s="2">
        <v>0</v>
      </c>
      <c r="AL103" s="2">
        <v>0</v>
      </c>
      <c r="AM103" s="2">
        <v>3</v>
      </c>
      <c r="AN103" s="2">
        <v>0</v>
      </c>
      <c r="AO103" s="2">
        <v>2</v>
      </c>
      <c r="AP103" s="2">
        <v>0</v>
      </c>
      <c r="AQ103" s="2">
        <v>0</v>
      </c>
      <c r="AR103" s="2">
        <v>1</v>
      </c>
      <c r="AS103" s="2">
        <v>1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1</v>
      </c>
      <c r="BD103" s="2">
        <v>2</v>
      </c>
      <c r="BE103" s="2">
        <v>2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1</v>
      </c>
      <c r="BN103" s="2">
        <v>0</v>
      </c>
      <c r="BO103" s="2">
        <v>0</v>
      </c>
      <c r="BP103" s="2">
        <v>1</v>
      </c>
      <c r="BQ103" s="2">
        <v>1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1</v>
      </c>
      <c r="BY103" s="2">
        <v>0</v>
      </c>
      <c r="BZ103" s="2">
        <v>0</v>
      </c>
      <c r="CA103" s="2">
        <v>0</v>
      </c>
      <c r="CB103" s="2">
        <v>0</v>
      </c>
      <c r="CC103" s="2">
        <v>1</v>
      </c>
      <c r="CD103" s="2">
        <v>1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  <c r="DE103" s="2">
        <v>0</v>
      </c>
      <c r="DF103" s="2">
        <v>0</v>
      </c>
      <c r="DG103" s="2">
        <v>0</v>
      </c>
      <c r="DH103" s="2">
        <v>0</v>
      </c>
      <c r="DI103" s="2">
        <v>0</v>
      </c>
      <c r="DJ103" s="2">
        <v>0</v>
      </c>
      <c r="DK103" s="2">
        <v>2</v>
      </c>
      <c r="DL103" s="2">
        <v>1</v>
      </c>
      <c r="DM103" s="2">
        <v>0</v>
      </c>
      <c r="DN103" s="2">
        <v>0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</row>
    <row r="104" spans="1:123">
      <c r="A104" s="2" t="s">
        <v>10</v>
      </c>
      <c r="B104" s="2" t="s">
        <v>281</v>
      </c>
      <c r="C104" s="2">
        <v>497</v>
      </c>
      <c r="D104" s="2">
        <v>3</v>
      </c>
      <c r="E104" s="2">
        <v>8.279999999999999</v>
      </c>
      <c r="F104" s="2">
        <v>165.67</v>
      </c>
      <c r="G104" s="2" t="s">
        <v>282</v>
      </c>
      <c r="H104">
        <f>IF(AND(OR(لوحة_القيادة!$C$4="الكل", A104=لوحة_القيادة!$C$4), IF(لوحة_القيادة!$C$5="الكل", TRUE, INDEX($V104:$AG104, 1, VALUE(لوحة_القيادة!$C$5))&gt;0)), 1, 0)</f>
        <v>0</v>
      </c>
      <c r="I104">
        <f>IF(H104=1, SUM($H$2:H104), "")</f>
        <v>0</v>
      </c>
      <c r="J104" s="2">
        <v>0</v>
      </c>
      <c r="K104" s="2">
        <v>0</v>
      </c>
      <c r="L104" s="2">
        <v>45</v>
      </c>
      <c r="M104" s="2">
        <v>0</v>
      </c>
      <c r="N104" s="2">
        <v>29</v>
      </c>
      <c r="O104" s="2">
        <v>423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1</v>
      </c>
      <c r="Y104" s="2">
        <v>0</v>
      </c>
      <c r="Z104" s="2">
        <v>1</v>
      </c>
      <c r="AA104" s="2">
        <v>1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1</v>
      </c>
      <c r="AH104" s="2">
        <v>1</v>
      </c>
      <c r="AI104" s="2">
        <v>1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1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1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1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  <c r="DJ104" s="2">
        <v>0</v>
      </c>
      <c r="DK104" s="2">
        <v>0</v>
      </c>
      <c r="DL104" s="2">
        <v>0</v>
      </c>
      <c r="DM104" s="2">
        <v>0</v>
      </c>
      <c r="DN104" s="2">
        <v>0</v>
      </c>
      <c r="DO104" s="2">
        <v>0</v>
      </c>
      <c r="DP104" s="2">
        <v>0</v>
      </c>
      <c r="DQ104" s="2">
        <v>0</v>
      </c>
      <c r="DR104" s="2">
        <v>0</v>
      </c>
      <c r="DS104" s="2">
        <v>0</v>
      </c>
    </row>
    <row r="105" spans="1:123">
      <c r="A105" s="2" t="s">
        <v>11</v>
      </c>
      <c r="B105" s="2" t="s">
        <v>283</v>
      </c>
      <c r="C105" s="2">
        <v>491</v>
      </c>
      <c r="D105" s="2">
        <v>6</v>
      </c>
      <c r="E105" s="2">
        <v>8.18</v>
      </c>
      <c r="F105" s="2">
        <v>81.83</v>
      </c>
      <c r="G105" s="2" t="s">
        <v>284</v>
      </c>
      <c r="H105">
        <f>IF(AND(OR(لوحة_القيادة!$C$4="الكل", A105=لوحة_القيادة!$C$4), IF(لوحة_القيادة!$C$5="الكل", TRUE, INDEX($V105:$AG105, 1, VALUE(لوحة_القيادة!$C$5))&gt;0)), 1, 0)</f>
        <v>0</v>
      </c>
      <c r="I105">
        <f>IF(H105=1, SUM($H$2:H105), "")</f>
        <v>0</v>
      </c>
      <c r="J105" s="2">
        <v>0</v>
      </c>
      <c r="K105" s="2">
        <v>0</v>
      </c>
      <c r="L105" s="2">
        <v>346</v>
      </c>
      <c r="M105" s="2">
        <v>0</v>
      </c>
      <c r="N105" s="2">
        <v>127</v>
      </c>
      <c r="O105" s="2">
        <v>5</v>
      </c>
      <c r="P105" s="2">
        <v>13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3</v>
      </c>
      <c r="Y105" s="2">
        <v>0</v>
      </c>
      <c r="Z105" s="2">
        <v>1</v>
      </c>
      <c r="AA105" s="2">
        <v>1</v>
      </c>
      <c r="AB105" s="2">
        <v>1</v>
      </c>
      <c r="AC105" s="2">
        <v>0</v>
      </c>
      <c r="AD105" s="2">
        <v>0</v>
      </c>
      <c r="AE105" s="2">
        <v>0</v>
      </c>
      <c r="AF105" s="2">
        <v>0</v>
      </c>
      <c r="AG105" s="2">
        <v>1</v>
      </c>
      <c r="AH105" s="2">
        <v>0</v>
      </c>
      <c r="AI105" s="2">
        <v>1</v>
      </c>
      <c r="AJ105" s="2">
        <v>3</v>
      </c>
      <c r="AK105" s="2">
        <v>0</v>
      </c>
      <c r="AL105" s="2">
        <v>0</v>
      </c>
      <c r="AM105" s="2">
        <v>1</v>
      </c>
      <c r="AN105" s="2">
        <v>0</v>
      </c>
      <c r="AO105" s="2">
        <v>0</v>
      </c>
      <c r="AP105" s="2">
        <v>1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1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1</v>
      </c>
      <c r="CA105" s="2">
        <v>0</v>
      </c>
      <c r="CB105" s="2">
        <v>0</v>
      </c>
      <c r="CC105" s="2">
        <v>1</v>
      </c>
      <c r="CD105" s="2">
        <v>1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1</v>
      </c>
      <c r="DM105" s="2">
        <v>0</v>
      </c>
      <c r="DN105" s="2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</row>
    <row r="106" spans="1:123">
      <c r="A106" s="2" t="s">
        <v>6</v>
      </c>
      <c r="B106" s="2" t="s">
        <v>285</v>
      </c>
      <c r="C106" s="2">
        <v>488</v>
      </c>
      <c r="D106" s="2">
        <v>51</v>
      </c>
      <c r="E106" s="2">
        <v>8.130000000000001</v>
      </c>
      <c r="F106" s="2">
        <v>9.57</v>
      </c>
      <c r="G106" s="2" t="s">
        <v>160</v>
      </c>
      <c r="H106">
        <f>IF(AND(OR(لوحة_القيادة!$C$4="الكل", A106=لوحة_القيادة!$C$4), IF(لوحة_القيادة!$C$5="الكل", TRUE, INDEX($V106:$AG106, 1, VALUE(لوحة_القيادة!$C$5))&gt;0)), 1, 0)</f>
        <v>0</v>
      </c>
      <c r="I106">
        <f>IF(H106=1, SUM($H$2:H106), "")</f>
        <v>0</v>
      </c>
      <c r="J106" s="2">
        <v>96</v>
      </c>
      <c r="K106" s="2">
        <v>57</v>
      </c>
      <c r="L106" s="2">
        <v>51</v>
      </c>
      <c r="M106" s="2">
        <v>149</v>
      </c>
      <c r="N106" s="2">
        <v>39</v>
      </c>
      <c r="O106" s="2">
        <v>77</v>
      </c>
      <c r="P106" s="2">
        <v>19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11</v>
      </c>
      <c r="W106" s="2">
        <v>10</v>
      </c>
      <c r="X106" s="2">
        <v>5</v>
      </c>
      <c r="Y106" s="2">
        <v>8</v>
      </c>
      <c r="Z106" s="2">
        <v>5</v>
      </c>
      <c r="AA106" s="2">
        <v>9</v>
      </c>
      <c r="AB106" s="2">
        <v>3</v>
      </c>
      <c r="AC106" s="2">
        <v>0</v>
      </c>
      <c r="AD106" s="2">
        <v>0</v>
      </c>
      <c r="AE106" s="2">
        <v>0</v>
      </c>
      <c r="AF106" s="2">
        <v>0</v>
      </c>
      <c r="AG106" s="2">
        <v>6</v>
      </c>
      <c r="AH106" s="2">
        <v>16</v>
      </c>
      <c r="AI106" s="2">
        <v>11</v>
      </c>
      <c r="AJ106" s="2">
        <v>14</v>
      </c>
      <c r="AK106" s="2">
        <v>0</v>
      </c>
      <c r="AL106" s="2">
        <v>0</v>
      </c>
      <c r="AM106" s="2">
        <v>4</v>
      </c>
      <c r="AN106" s="2">
        <v>1</v>
      </c>
      <c r="AO106" s="2">
        <v>1</v>
      </c>
      <c r="AP106" s="2">
        <v>0</v>
      </c>
      <c r="AQ106" s="2">
        <v>1</v>
      </c>
      <c r="AR106" s="2">
        <v>1</v>
      </c>
      <c r="AS106" s="2">
        <v>1</v>
      </c>
      <c r="AT106" s="2">
        <v>1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2</v>
      </c>
      <c r="BA106" s="2">
        <v>3</v>
      </c>
      <c r="BB106" s="2">
        <v>2</v>
      </c>
      <c r="BC106" s="2">
        <v>3</v>
      </c>
      <c r="BD106" s="2">
        <v>2</v>
      </c>
      <c r="BE106" s="2">
        <v>3</v>
      </c>
      <c r="BF106" s="2">
        <v>1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3</v>
      </c>
      <c r="BM106" s="2">
        <v>3</v>
      </c>
      <c r="BN106" s="2">
        <v>1</v>
      </c>
      <c r="BO106" s="2">
        <v>1</v>
      </c>
      <c r="BP106" s="2">
        <v>1</v>
      </c>
      <c r="BQ106" s="2">
        <v>1</v>
      </c>
      <c r="BR106" s="2">
        <v>1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3</v>
      </c>
      <c r="BY106" s="2">
        <v>3</v>
      </c>
      <c r="BZ106" s="2">
        <v>2</v>
      </c>
      <c r="CA106" s="2">
        <v>2</v>
      </c>
      <c r="CB106" s="2">
        <v>1</v>
      </c>
      <c r="CC106" s="2">
        <v>3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0</v>
      </c>
      <c r="DG106" s="2">
        <v>0</v>
      </c>
      <c r="DH106" s="2">
        <v>2</v>
      </c>
      <c r="DI106" s="2">
        <v>0</v>
      </c>
      <c r="DJ106" s="2">
        <v>0</v>
      </c>
      <c r="DK106" s="2">
        <v>1</v>
      </c>
      <c r="DL106" s="2">
        <v>0</v>
      </c>
      <c r="DM106" s="2">
        <v>1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0</v>
      </c>
    </row>
    <row r="107" spans="1:123">
      <c r="A107" s="2" t="s">
        <v>9</v>
      </c>
      <c r="B107" s="2" t="s">
        <v>286</v>
      </c>
      <c r="C107" s="2">
        <v>487</v>
      </c>
      <c r="D107" s="2">
        <v>20</v>
      </c>
      <c r="E107" s="2">
        <v>8.119999999999999</v>
      </c>
      <c r="F107" s="2">
        <v>24.35</v>
      </c>
      <c r="G107" s="2" t="s">
        <v>170</v>
      </c>
      <c r="H107">
        <f>IF(AND(OR(لوحة_القيادة!$C$4="الكل", A107=لوحة_القيادة!$C$4), IF(لوحة_القيادة!$C$5="الكل", TRUE, INDEX($V107:$AG107, 1, VALUE(لوحة_القيادة!$C$5))&gt;0)), 1, 0)</f>
        <v>0</v>
      </c>
      <c r="I107">
        <f>IF(H107=1, SUM($H$2:H107), "")</f>
        <v>0</v>
      </c>
      <c r="J107" s="2">
        <v>124</v>
      </c>
      <c r="K107" s="2">
        <v>229</v>
      </c>
      <c r="L107" s="2">
        <v>15</v>
      </c>
      <c r="M107" s="2">
        <v>3</v>
      </c>
      <c r="N107" s="2">
        <v>108</v>
      </c>
      <c r="O107" s="2">
        <v>8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4</v>
      </c>
      <c r="W107" s="2">
        <v>9</v>
      </c>
      <c r="X107" s="2">
        <v>1</v>
      </c>
      <c r="Y107" s="2">
        <v>1</v>
      </c>
      <c r="Z107" s="2">
        <v>2</v>
      </c>
      <c r="AA107" s="2">
        <v>3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5</v>
      </c>
      <c r="AH107" s="2">
        <v>3</v>
      </c>
      <c r="AI107" s="2">
        <v>4</v>
      </c>
      <c r="AJ107" s="2">
        <v>8</v>
      </c>
      <c r="AK107" s="2">
        <v>0</v>
      </c>
      <c r="AL107" s="2">
        <v>0</v>
      </c>
      <c r="AM107" s="2">
        <v>0</v>
      </c>
      <c r="AN107" s="2">
        <v>0</v>
      </c>
      <c r="AO107" s="2">
        <v>3</v>
      </c>
      <c r="AP107" s="2">
        <v>0</v>
      </c>
      <c r="AQ107" s="2">
        <v>0</v>
      </c>
      <c r="AR107" s="2">
        <v>0</v>
      </c>
      <c r="AS107" s="2">
        <v>2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1</v>
      </c>
      <c r="BA107" s="2">
        <v>1</v>
      </c>
      <c r="BB107" s="2">
        <v>0</v>
      </c>
      <c r="BC107" s="2">
        <v>0</v>
      </c>
      <c r="BD107" s="2">
        <v>0</v>
      </c>
      <c r="BE107" s="2">
        <v>1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1</v>
      </c>
      <c r="BM107" s="2">
        <v>2</v>
      </c>
      <c r="BN107" s="2">
        <v>0</v>
      </c>
      <c r="BO107" s="2">
        <v>0</v>
      </c>
      <c r="BP107" s="2">
        <v>1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2</v>
      </c>
      <c r="BY107" s="2">
        <v>3</v>
      </c>
      <c r="BZ107" s="2">
        <v>1</v>
      </c>
      <c r="CA107" s="2">
        <v>1</v>
      </c>
      <c r="CB107" s="2">
        <v>1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</row>
    <row r="108" spans="1:123">
      <c r="A108" s="2" t="s">
        <v>11</v>
      </c>
      <c r="B108" s="2" t="s">
        <v>287</v>
      </c>
      <c r="C108" s="2">
        <v>484</v>
      </c>
      <c r="D108" s="2">
        <v>30</v>
      </c>
      <c r="E108" s="2">
        <v>8.07</v>
      </c>
      <c r="F108" s="2">
        <v>16.13</v>
      </c>
      <c r="G108" s="2" t="s">
        <v>160</v>
      </c>
      <c r="H108">
        <f>IF(AND(OR(لوحة_القيادة!$C$4="الكل", A108=لوحة_القيادة!$C$4), IF(لوحة_القيادة!$C$5="الكل", TRUE, INDEX($V108:$AG108, 1, VALUE(لوحة_القيادة!$C$5))&gt;0)), 1, 0)</f>
        <v>0</v>
      </c>
      <c r="I108">
        <f>IF(H108=1, SUM($H$2:H108), "")</f>
        <v>0</v>
      </c>
      <c r="J108" s="2">
        <v>58</v>
      </c>
      <c r="K108" s="2">
        <v>171</v>
      </c>
      <c r="L108" s="2">
        <v>67</v>
      </c>
      <c r="M108" s="2">
        <v>39</v>
      </c>
      <c r="N108" s="2">
        <v>18</v>
      </c>
      <c r="O108" s="2">
        <v>107</v>
      </c>
      <c r="P108" s="2">
        <v>24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7</v>
      </c>
      <c r="W108" s="2">
        <v>8</v>
      </c>
      <c r="X108" s="2">
        <v>6</v>
      </c>
      <c r="Y108" s="2">
        <v>3</v>
      </c>
      <c r="Z108" s="2">
        <v>1</v>
      </c>
      <c r="AA108" s="2">
        <v>3</v>
      </c>
      <c r="AB108" s="2">
        <v>2</v>
      </c>
      <c r="AC108" s="2">
        <v>0</v>
      </c>
      <c r="AD108" s="2">
        <v>0</v>
      </c>
      <c r="AE108" s="2">
        <v>0</v>
      </c>
      <c r="AF108" s="2">
        <v>0</v>
      </c>
      <c r="AG108" s="2">
        <v>7</v>
      </c>
      <c r="AH108" s="2">
        <v>9</v>
      </c>
      <c r="AI108" s="2">
        <v>6</v>
      </c>
      <c r="AJ108" s="2">
        <v>5</v>
      </c>
      <c r="AK108" s="2">
        <v>0</v>
      </c>
      <c r="AL108" s="2">
        <v>0</v>
      </c>
      <c r="AM108" s="2">
        <v>3</v>
      </c>
      <c r="AN108" s="2">
        <v>2</v>
      </c>
      <c r="AO108" s="2">
        <v>2</v>
      </c>
      <c r="AP108" s="2">
        <v>1</v>
      </c>
      <c r="AQ108" s="2">
        <v>1</v>
      </c>
      <c r="AR108" s="2">
        <v>0</v>
      </c>
      <c r="AS108" s="2">
        <v>1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2</v>
      </c>
      <c r="BA108" s="2">
        <v>2</v>
      </c>
      <c r="BB108" s="2">
        <v>2</v>
      </c>
      <c r="BC108" s="2">
        <v>1</v>
      </c>
      <c r="BD108" s="2">
        <v>1</v>
      </c>
      <c r="BE108" s="2">
        <v>1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1</v>
      </c>
      <c r="BM108" s="2">
        <v>2</v>
      </c>
      <c r="BN108" s="2">
        <v>2</v>
      </c>
      <c r="BO108" s="2">
        <v>0</v>
      </c>
      <c r="BP108" s="2">
        <v>0</v>
      </c>
      <c r="BQ108" s="2">
        <v>1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2</v>
      </c>
      <c r="BY108" s="2">
        <v>1</v>
      </c>
      <c r="BZ108" s="2">
        <v>0</v>
      </c>
      <c r="CA108" s="2">
        <v>0</v>
      </c>
      <c r="CB108" s="2">
        <v>0</v>
      </c>
      <c r="CC108" s="2">
        <v>0</v>
      </c>
      <c r="CD108" s="2">
        <v>2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  <c r="DE108" s="2">
        <v>0</v>
      </c>
      <c r="DF108" s="2">
        <v>0</v>
      </c>
      <c r="DG108" s="2">
        <v>0</v>
      </c>
      <c r="DH108" s="2">
        <v>0</v>
      </c>
      <c r="DI108" s="2">
        <v>1</v>
      </c>
      <c r="DJ108" s="2">
        <v>1</v>
      </c>
      <c r="DK108" s="2">
        <v>1</v>
      </c>
      <c r="DL108" s="2">
        <v>0</v>
      </c>
      <c r="DM108" s="2">
        <v>0</v>
      </c>
      <c r="DN108" s="2">
        <v>0</v>
      </c>
      <c r="DO108" s="2">
        <v>0</v>
      </c>
      <c r="DP108" s="2">
        <v>0</v>
      </c>
      <c r="DQ108" s="2">
        <v>0</v>
      </c>
      <c r="DR108" s="2">
        <v>0</v>
      </c>
      <c r="DS108" s="2">
        <v>0</v>
      </c>
    </row>
    <row r="109" spans="1:123">
      <c r="A109" s="2" t="s">
        <v>6</v>
      </c>
      <c r="B109" s="2" t="s">
        <v>288</v>
      </c>
      <c r="C109" s="2">
        <v>480</v>
      </c>
      <c r="D109" s="2">
        <v>39</v>
      </c>
      <c r="E109" s="2">
        <v>8</v>
      </c>
      <c r="F109" s="2">
        <v>12.31</v>
      </c>
      <c r="G109" s="2" t="s">
        <v>186</v>
      </c>
      <c r="H109">
        <f>IF(AND(OR(لوحة_القيادة!$C$4="الكل", A109=لوحة_القيادة!$C$4), IF(لوحة_القيادة!$C$5="الكل", TRUE, INDEX($V109:$AG109, 1, VALUE(لوحة_القيادة!$C$5))&gt;0)), 1, 0)</f>
        <v>0</v>
      </c>
      <c r="I109">
        <f>IF(H109=1, SUM($H$2:H109), "")</f>
        <v>0</v>
      </c>
      <c r="J109" s="2">
        <v>0</v>
      </c>
      <c r="K109" s="2">
        <v>35</v>
      </c>
      <c r="L109" s="2">
        <v>115</v>
      </c>
      <c r="M109" s="2">
        <v>34</v>
      </c>
      <c r="N109" s="2">
        <v>81</v>
      </c>
      <c r="O109" s="2">
        <v>177</v>
      </c>
      <c r="P109" s="2">
        <v>38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5</v>
      </c>
      <c r="X109" s="2">
        <v>8</v>
      </c>
      <c r="Y109" s="2">
        <v>6</v>
      </c>
      <c r="Z109" s="2">
        <v>5</v>
      </c>
      <c r="AA109" s="2">
        <v>12</v>
      </c>
      <c r="AB109" s="2">
        <v>3</v>
      </c>
      <c r="AC109" s="2">
        <v>0</v>
      </c>
      <c r="AD109" s="2">
        <v>0</v>
      </c>
      <c r="AE109" s="2">
        <v>0</v>
      </c>
      <c r="AF109" s="2">
        <v>0</v>
      </c>
      <c r="AG109" s="2">
        <v>10</v>
      </c>
      <c r="AH109" s="2">
        <v>8</v>
      </c>
      <c r="AI109" s="2">
        <v>6</v>
      </c>
      <c r="AJ109" s="2">
        <v>8</v>
      </c>
      <c r="AK109" s="2">
        <v>0</v>
      </c>
      <c r="AL109" s="2">
        <v>0</v>
      </c>
      <c r="AM109" s="2">
        <v>7</v>
      </c>
      <c r="AN109" s="2">
        <v>0</v>
      </c>
      <c r="AO109" s="2">
        <v>2</v>
      </c>
      <c r="AP109" s="2">
        <v>2</v>
      </c>
      <c r="AQ109" s="2">
        <v>2</v>
      </c>
      <c r="AR109" s="2">
        <v>1</v>
      </c>
      <c r="AS109" s="2">
        <v>2</v>
      </c>
      <c r="AT109" s="2">
        <v>1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2</v>
      </c>
      <c r="BC109" s="2">
        <v>1</v>
      </c>
      <c r="BD109" s="2">
        <v>2</v>
      </c>
      <c r="BE109" s="2">
        <v>3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1</v>
      </c>
      <c r="BO109" s="2">
        <v>2</v>
      </c>
      <c r="BP109" s="2">
        <v>0</v>
      </c>
      <c r="BQ109" s="2">
        <v>2</v>
      </c>
      <c r="BR109" s="2">
        <v>1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1</v>
      </c>
      <c r="BZ109" s="2">
        <v>0</v>
      </c>
      <c r="CA109" s="2">
        <v>1</v>
      </c>
      <c r="CB109" s="2">
        <v>2</v>
      </c>
      <c r="CC109" s="2">
        <v>3</v>
      </c>
      <c r="CD109" s="2">
        <v>1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  <c r="DE109" s="2">
        <v>0</v>
      </c>
      <c r="DF109" s="2">
        <v>0</v>
      </c>
      <c r="DG109" s="2">
        <v>0</v>
      </c>
      <c r="DH109" s="2">
        <v>0</v>
      </c>
      <c r="DI109" s="2">
        <v>2</v>
      </c>
      <c r="DJ109" s="2">
        <v>3</v>
      </c>
      <c r="DK109" s="2">
        <v>0</v>
      </c>
      <c r="DL109" s="2">
        <v>0</v>
      </c>
      <c r="DM109" s="2">
        <v>2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</row>
    <row r="110" spans="1:123">
      <c r="A110" s="2" t="s">
        <v>8</v>
      </c>
      <c r="B110" s="2" t="s">
        <v>289</v>
      </c>
      <c r="C110" s="2">
        <v>480</v>
      </c>
      <c r="D110" s="2">
        <v>1</v>
      </c>
      <c r="E110" s="2">
        <v>8</v>
      </c>
      <c r="F110" s="2">
        <v>480</v>
      </c>
      <c r="G110" s="2" t="s">
        <v>29</v>
      </c>
      <c r="H110">
        <f>IF(AND(OR(لوحة_القيادة!$C$4="الكل", A110=لوحة_القيادة!$C$4), IF(لوحة_القيادة!$C$5="الكل", TRUE, INDEX($V110:$AG110, 1, VALUE(لوحة_القيادة!$C$5))&gt;0)), 1, 0)</f>
        <v>0</v>
      </c>
      <c r="I110">
        <f>IF(H110=1, SUM($H$2:H110), "")</f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480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1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1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1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  <c r="DE110" s="2">
        <v>0</v>
      </c>
      <c r="DF110" s="2">
        <v>0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</row>
    <row r="111" spans="1:123">
      <c r="A111" s="2" t="s">
        <v>18</v>
      </c>
      <c r="B111" s="2" t="s">
        <v>290</v>
      </c>
      <c r="C111" s="2">
        <v>479</v>
      </c>
      <c r="D111" s="2">
        <v>4</v>
      </c>
      <c r="E111" s="2">
        <v>7.98</v>
      </c>
      <c r="F111" s="2">
        <v>119.75</v>
      </c>
      <c r="G111" s="2" t="s">
        <v>291</v>
      </c>
      <c r="H111">
        <f>IF(AND(OR(لوحة_القيادة!$C$4="الكل", A111=لوحة_القيادة!$C$4), IF(لوحة_القيادة!$C$5="الكل", TRUE, INDEX($V111:$AG111, 1, VALUE(لوحة_القيادة!$C$5))&gt;0)), 1, 0)</f>
        <v>0</v>
      </c>
      <c r="I111">
        <f>IF(H111=1, SUM($H$2:H111), "")</f>
        <v>0</v>
      </c>
      <c r="J111" s="2">
        <v>476</v>
      </c>
      <c r="K111" s="2">
        <v>3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2</v>
      </c>
      <c r="W111" s="2">
        <v>2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2</v>
      </c>
      <c r="AK111" s="2">
        <v>0</v>
      </c>
      <c r="AL111" s="2">
        <v>0</v>
      </c>
      <c r="AM111" s="2">
        <v>2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2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  <c r="DE111" s="2">
        <v>0</v>
      </c>
      <c r="DF111" s="2">
        <v>0</v>
      </c>
      <c r="DG111" s="2">
        <v>0</v>
      </c>
      <c r="DH111" s="2">
        <v>0</v>
      </c>
      <c r="DI111" s="2">
        <v>2</v>
      </c>
      <c r="DJ111" s="2">
        <v>0</v>
      </c>
      <c r="DK111" s="2">
        <v>0</v>
      </c>
      <c r="DL111" s="2">
        <v>0</v>
      </c>
      <c r="DM111" s="2">
        <v>0</v>
      </c>
      <c r="DN111" s="2">
        <v>0</v>
      </c>
      <c r="DO111" s="2">
        <v>0</v>
      </c>
      <c r="DP111" s="2">
        <v>0</v>
      </c>
      <c r="DQ111" s="2">
        <v>0</v>
      </c>
      <c r="DR111" s="2">
        <v>0</v>
      </c>
      <c r="DS111" s="2">
        <v>0</v>
      </c>
    </row>
    <row r="112" spans="1:123">
      <c r="A112" s="2" t="s">
        <v>1</v>
      </c>
      <c r="B112" s="2" t="s">
        <v>292</v>
      </c>
      <c r="C112" s="2">
        <v>477</v>
      </c>
      <c r="D112" s="2">
        <v>50</v>
      </c>
      <c r="E112" s="2">
        <v>7.95</v>
      </c>
      <c r="F112" s="2">
        <v>9.539999999999999</v>
      </c>
      <c r="G112" s="2" t="s">
        <v>280</v>
      </c>
      <c r="H112">
        <f>IF(AND(OR(لوحة_القيادة!$C$4="الكل", A112=لوحة_القيادة!$C$4), IF(لوحة_القيادة!$C$5="الكل", TRUE, INDEX($V112:$AG112, 1, VALUE(لوحة_القيادة!$C$5))&gt;0)), 1, 0)</f>
        <v>0</v>
      </c>
      <c r="I112">
        <f>IF(H112=1, SUM($H$2:H112), "")</f>
        <v>0</v>
      </c>
      <c r="J112" s="2">
        <v>168</v>
      </c>
      <c r="K112" s="2">
        <v>57</v>
      </c>
      <c r="L112" s="2">
        <v>0</v>
      </c>
      <c r="M112" s="2">
        <v>100</v>
      </c>
      <c r="N112" s="2">
        <v>45</v>
      </c>
      <c r="O112" s="2">
        <v>95</v>
      </c>
      <c r="P112" s="2">
        <v>12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14</v>
      </c>
      <c r="W112" s="2">
        <v>8</v>
      </c>
      <c r="X112" s="2">
        <v>0</v>
      </c>
      <c r="Y112" s="2">
        <v>10</v>
      </c>
      <c r="Z112" s="2">
        <v>8</v>
      </c>
      <c r="AA112" s="2">
        <v>8</v>
      </c>
      <c r="AB112" s="2">
        <v>2</v>
      </c>
      <c r="AC112" s="2">
        <v>0</v>
      </c>
      <c r="AD112" s="2">
        <v>0</v>
      </c>
      <c r="AE112" s="2">
        <v>0</v>
      </c>
      <c r="AF112" s="2">
        <v>0</v>
      </c>
      <c r="AG112" s="2">
        <v>12</v>
      </c>
      <c r="AH112" s="2">
        <v>6</v>
      </c>
      <c r="AI112" s="2">
        <v>9</v>
      </c>
      <c r="AJ112" s="2">
        <v>10</v>
      </c>
      <c r="AK112" s="2">
        <v>0</v>
      </c>
      <c r="AL112" s="2">
        <v>0</v>
      </c>
      <c r="AM112" s="2">
        <v>13</v>
      </c>
      <c r="AN112" s="2">
        <v>3</v>
      </c>
      <c r="AO112" s="2">
        <v>3</v>
      </c>
      <c r="AP112" s="2">
        <v>0</v>
      </c>
      <c r="AQ112" s="2">
        <v>1</v>
      </c>
      <c r="AR112" s="2">
        <v>3</v>
      </c>
      <c r="AS112" s="2">
        <v>2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2</v>
      </c>
      <c r="BA112" s="2">
        <v>0</v>
      </c>
      <c r="BB112" s="2">
        <v>0</v>
      </c>
      <c r="BC112" s="2">
        <v>2</v>
      </c>
      <c r="BD112" s="2">
        <v>1</v>
      </c>
      <c r="BE112" s="2">
        <v>0</v>
      </c>
      <c r="BF112" s="2">
        <v>1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3</v>
      </c>
      <c r="BM112" s="2">
        <v>1</v>
      </c>
      <c r="BN112" s="2">
        <v>0</v>
      </c>
      <c r="BO112" s="2">
        <v>3</v>
      </c>
      <c r="BP112" s="2">
        <v>0</v>
      </c>
      <c r="BQ112" s="2">
        <v>2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3</v>
      </c>
      <c r="BY112" s="2">
        <v>1</v>
      </c>
      <c r="BZ112" s="2">
        <v>0</v>
      </c>
      <c r="CA112" s="2">
        <v>2</v>
      </c>
      <c r="CB112" s="2">
        <v>1</v>
      </c>
      <c r="CC112" s="2">
        <v>2</v>
      </c>
      <c r="CD112" s="2">
        <v>1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  <c r="DE112" s="2">
        <v>0</v>
      </c>
      <c r="DF112" s="2">
        <v>0</v>
      </c>
      <c r="DG112" s="2">
        <v>0</v>
      </c>
      <c r="DH112" s="2">
        <v>3</v>
      </c>
      <c r="DI112" s="2">
        <v>3</v>
      </c>
      <c r="DJ112" s="2">
        <v>0</v>
      </c>
      <c r="DK112" s="2">
        <v>2</v>
      </c>
      <c r="DL112" s="2">
        <v>3</v>
      </c>
      <c r="DM112" s="2">
        <v>2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</row>
    <row r="113" spans="1:123">
      <c r="A113" s="2" t="s">
        <v>16</v>
      </c>
      <c r="B113" s="2" t="s">
        <v>293</v>
      </c>
      <c r="C113" s="2">
        <v>476</v>
      </c>
      <c r="D113" s="2">
        <v>31</v>
      </c>
      <c r="E113" s="2">
        <v>7.93</v>
      </c>
      <c r="F113" s="2">
        <v>15.35</v>
      </c>
      <c r="G113" s="2" t="s">
        <v>160</v>
      </c>
      <c r="H113">
        <f>IF(AND(OR(لوحة_القيادة!$C$4="الكل", A113=لوحة_القيادة!$C$4), IF(لوحة_القيادة!$C$5="الكل", TRUE, INDEX($V113:$AG113, 1, VALUE(لوحة_القيادة!$C$5))&gt;0)), 1, 0)</f>
        <v>0</v>
      </c>
      <c r="I113">
        <f>IF(H113=1, SUM($H$2:H113), "")</f>
        <v>0</v>
      </c>
      <c r="J113" s="2">
        <v>171</v>
      </c>
      <c r="K113" s="2">
        <v>65</v>
      </c>
      <c r="L113" s="2">
        <v>45</v>
      </c>
      <c r="M113" s="2">
        <v>22</v>
      </c>
      <c r="N113" s="2">
        <v>14</v>
      </c>
      <c r="O113" s="2">
        <v>88</v>
      </c>
      <c r="P113" s="2">
        <v>71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5</v>
      </c>
      <c r="W113" s="2">
        <v>9</v>
      </c>
      <c r="X113" s="2">
        <v>7</v>
      </c>
      <c r="Y113" s="2">
        <v>5</v>
      </c>
      <c r="Z113" s="2">
        <v>2</v>
      </c>
      <c r="AA113" s="2">
        <v>1</v>
      </c>
      <c r="AB113" s="2">
        <v>2</v>
      </c>
      <c r="AC113" s="2">
        <v>0</v>
      </c>
      <c r="AD113" s="2">
        <v>0</v>
      </c>
      <c r="AE113" s="2">
        <v>0</v>
      </c>
      <c r="AF113" s="2">
        <v>0</v>
      </c>
      <c r="AG113" s="2">
        <v>6</v>
      </c>
      <c r="AH113" s="2">
        <v>6</v>
      </c>
      <c r="AI113" s="2">
        <v>8</v>
      </c>
      <c r="AJ113" s="2">
        <v>6</v>
      </c>
      <c r="AK113" s="2">
        <v>0</v>
      </c>
      <c r="AL113" s="2">
        <v>0</v>
      </c>
      <c r="AM113" s="2">
        <v>5</v>
      </c>
      <c r="AN113" s="2">
        <v>0</v>
      </c>
      <c r="AO113" s="2">
        <v>2</v>
      </c>
      <c r="AP113" s="2">
        <v>1</v>
      </c>
      <c r="AQ113" s="2">
        <v>1</v>
      </c>
      <c r="AR113" s="2">
        <v>2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2</v>
      </c>
      <c r="BA113" s="2">
        <v>2</v>
      </c>
      <c r="BB113" s="2">
        <v>2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1</v>
      </c>
      <c r="BM113" s="2">
        <v>3</v>
      </c>
      <c r="BN113" s="2">
        <v>1</v>
      </c>
      <c r="BO113" s="2">
        <v>2</v>
      </c>
      <c r="BP113" s="2">
        <v>0</v>
      </c>
      <c r="BQ113" s="2">
        <v>0</v>
      </c>
      <c r="BR113" s="2">
        <v>1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1</v>
      </c>
      <c r="BY113" s="2">
        <v>0</v>
      </c>
      <c r="BZ113" s="2">
        <v>2</v>
      </c>
      <c r="CA113" s="2">
        <v>1</v>
      </c>
      <c r="CB113" s="2">
        <v>0</v>
      </c>
      <c r="CC113" s="2">
        <v>1</v>
      </c>
      <c r="CD113" s="2">
        <v>1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0</v>
      </c>
      <c r="DH113" s="2">
        <v>1</v>
      </c>
      <c r="DI113" s="2">
        <v>2</v>
      </c>
      <c r="DJ113" s="2">
        <v>1</v>
      </c>
      <c r="DK113" s="2">
        <v>1</v>
      </c>
      <c r="DL113" s="2">
        <v>0</v>
      </c>
      <c r="DM113" s="2">
        <v>0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0</v>
      </c>
    </row>
    <row r="114" spans="1:123">
      <c r="A114" s="2" t="s">
        <v>1</v>
      </c>
      <c r="B114" s="2" t="s">
        <v>294</v>
      </c>
      <c r="C114" s="2">
        <v>469</v>
      </c>
      <c r="D114" s="2">
        <v>30</v>
      </c>
      <c r="E114" s="2">
        <v>7.82</v>
      </c>
      <c r="F114" s="2">
        <v>15.63</v>
      </c>
      <c r="G114" s="2" t="s">
        <v>170</v>
      </c>
      <c r="H114">
        <f>IF(AND(OR(لوحة_القيادة!$C$4="الكل", A114=لوحة_القيادة!$C$4), IF(لوحة_القيادة!$C$5="الكل", TRUE, INDEX($V114:$AG114, 1, VALUE(لوحة_القيادة!$C$5))&gt;0)), 1, 0)</f>
        <v>0</v>
      </c>
      <c r="I114">
        <f>IF(H114=1, SUM($H$2:H114), "")</f>
        <v>0</v>
      </c>
      <c r="J114" s="2">
        <v>124</v>
      </c>
      <c r="K114" s="2">
        <v>100</v>
      </c>
      <c r="L114" s="2">
        <v>136</v>
      </c>
      <c r="M114" s="2">
        <v>73</v>
      </c>
      <c r="N114" s="2">
        <v>5</v>
      </c>
      <c r="O114" s="2">
        <v>31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7</v>
      </c>
      <c r="W114" s="2">
        <v>8</v>
      </c>
      <c r="X114" s="2">
        <v>3</v>
      </c>
      <c r="Y114" s="2">
        <v>7</v>
      </c>
      <c r="Z114" s="2">
        <v>1</v>
      </c>
      <c r="AA114" s="2">
        <v>4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8</v>
      </c>
      <c r="AH114" s="2">
        <v>5</v>
      </c>
      <c r="AI114" s="2">
        <v>6</v>
      </c>
      <c r="AJ114" s="2">
        <v>3</v>
      </c>
      <c r="AK114" s="2">
        <v>0</v>
      </c>
      <c r="AL114" s="2">
        <v>0</v>
      </c>
      <c r="AM114" s="2">
        <v>8</v>
      </c>
      <c r="AN114" s="2">
        <v>1</v>
      </c>
      <c r="AO114" s="2">
        <v>1</v>
      </c>
      <c r="AP114" s="2">
        <v>1</v>
      </c>
      <c r="AQ114" s="2">
        <v>2</v>
      </c>
      <c r="AR114" s="2">
        <v>1</v>
      </c>
      <c r="AS114" s="2">
        <v>2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1</v>
      </c>
      <c r="BA114" s="2">
        <v>2</v>
      </c>
      <c r="BB114" s="2">
        <v>1</v>
      </c>
      <c r="BC114" s="2">
        <v>1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2</v>
      </c>
      <c r="BM114" s="2">
        <v>2</v>
      </c>
      <c r="BN114" s="2">
        <v>1</v>
      </c>
      <c r="BO114" s="2">
        <v>1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1</v>
      </c>
      <c r="BY114" s="2">
        <v>1</v>
      </c>
      <c r="BZ114" s="2">
        <v>0</v>
      </c>
      <c r="CA114" s="2">
        <v>1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  <c r="DE114" s="2">
        <v>0</v>
      </c>
      <c r="DF114" s="2">
        <v>0</v>
      </c>
      <c r="DG114" s="2">
        <v>0</v>
      </c>
      <c r="DH114" s="2">
        <v>2</v>
      </c>
      <c r="DI114" s="2">
        <v>2</v>
      </c>
      <c r="DJ114" s="2">
        <v>0</v>
      </c>
      <c r="DK114" s="2">
        <v>2</v>
      </c>
      <c r="DL114" s="2">
        <v>0</v>
      </c>
      <c r="DM114" s="2">
        <v>2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</row>
    <row r="115" spans="1:123">
      <c r="A115" s="2" t="s">
        <v>11</v>
      </c>
      <c r="B115" s="2" t="s">
        <v>295</v>
      </c>
      <c r="C115" s="2">
        <v>467</v>
      </c>
      <c r="D115" s="2">
        <v>1</v>
      </c>
      <c r="E115" s="2">
        <v>7.78</v>
      </c>
      <c r="F115" s="2">
        <v>467</v>
      </c>
      <c r="G115" s="2" t="s">
        <v>23</v>
      </c>
      <c r="H115">
        <f>IF(AND(OR(لوحة_القيادة!$C$4="الكل", A115=لوحة_القيادة!$C$4), IF(لوحة_القيادة!$C$5="الكل", TRUE, INDEX($V115:$AG115, 1, VALUE(لوحة_القيادة!$C$5))&gt;0)), 1, 0)</f>
        <v>0</v>
      </c>
      <c r="I115">
        <f>IF(H115=1, SUM($H$2:H115), "")</f>
        <v>0</v>
      </c>
      <c r="J115" s="2">
        <v>467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1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1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1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  <c r="DE115" s="2">
        <v>0</v>
      </c>
      <c r="DF115" s="2">
        <v>0</v>
      </c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0</v>
      </c>
    </row>
    <row r="116" spans="1:123">
      <c r="A116" s="2" t="s">
        <v>17</v>
      </c>
      <c r="B116" s="2" t="s">
        <v>296</v>
      </c>
      <c r="C116" s="2">
        <v>466</v>
      </c>
      <c r="D116" s="2">
        <v>15</v>
      </c>
      <c r="E116" s="2">
        <v>7.77</v>
      </c>
      <c r="F116" s="2">
        <v>31.07</v>
      </c>
      <c r="G116" s="2" t="s">
        <v>252</v>
      </c>
      <c r="H116">
        <f>IF(AND(OR(لوحة_القيادة!$C$4="الكل", A116=لوحة_القيادة!$C$4), IF(لوحة_القيادة!$C$5="الكل", TRUE, INDEX($V116:$AG116, 1, VALUE(لوحة_القيادة!$C$5))&gt;0)), 1, 0)</f>
        <v>0</v>
      </c>
      <c r="I116">
        <f>IF(H116=1, SUM($H$2:H116), "")</f>
        <v>0</v>
      </c>
      <c r="J116" s="2">
        <v>183</v>
      </c>
      <c r="K116" s="2">
        <v>37</v>
      </c>
      <c r="L116" s="2">
        <v>112</v>
      </c>
      <c r="M116" s="2">
        <v>76</v>
      </c>
      <c r="N116" s="2">
        <v>18</v>
      </c>
      <c r="O116" s="2">
        <v>0</v>
      </c>
      <c r="P116" s="2">
        <v>40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3</v>
      </c>
      <c r="W116" s="2">
        <v>2</v>
      </c>
      <c r="X116" s="2">
        <v>5</v>
      </c>
      <c r="Y116" s="2">
        <v>2</v>
      </c>
      <c r="Z116" s="2">
        <v>2</v>
      </c>
      <c r="AA116" s="2">
        <v>0</v>
      </c>
      <c r="AB116" s="2">
        <v>1</v>
      </c>
      <c r="AC116" s="2">
        <v>0</v>
      </c>
      <c r="AD116" s="2">
        <v>0</v>
      </c>
      <c r="AE116" s="2">
        <v>0</v>
      </c>
      <c r="AF116" s="2">
        <v>0</v>
      </c>
      <c r="AG116" s="2">
        <v>2</v>
      </c>
      <c r="AH116" s="2">
        <v>2</v>
      </c>
      <c r="AI116" s="2">
        <v>4</v>
      </c>
      <c r="AJ116" s="2">
        <v>6</v>
      </c>
      <c r="AK116" s="2">
        <v>0</v>
      </c>
      <c r="AL116" s="2">
        <v>0</v>
      </c>
      <c r="AM116" s="2">
        <v>1</v>
      </c>
      <c r="AN116" s="2">
        <v>0</v>
      </c>
      <c r="AO116" s="2">
        <v>0</v>
      </c>
      <c r="AP116" s="2">
        <v>1</v>
      </c>
      <c r="AQ116" s="2">
        <v>1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1</v>
      </c>
      <c r="BA116" s="2">
        <v>0</v>
      </c>
      <c r="BB116" s="2">
        <v>1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1</v>
      </c>
      <c r="BM116" s="2">
        <v>1</v>
      </c>
      <c r="BN116" s="2">
        <v>1</v>
      </c>
      <c r="BO116" s="2">
        <v>0</v>
      </c>
      <c r="BP116" s="2">
        <v>1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1</v>
      </c>
      <c r="BY116" s="2">
        <v>1</v>
      </c>
      <c r="BZ116" s="2">
        <v>2</v>
      </c>
      <c r="CA116" s="2">
        <v>1</v>
      </c>
      <c r="CB116" s="2">
        <v>1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2">
        <v>1</v>
      </c>
      <c r="DO116" s="2">
        <v>0</v>
      </c>
      <c r="DP116" s="2">
        <v>0</v>
      </c>
      <c r="DQ116" s="2">
        <v>0</v>
      </c>
      <c r="DR116" s="2">
        <v>0</v>
      </c>
      <c r="DS116" s="2">
        <v>0</v>
      </c>
    </row>
    <row r="117" spans="1:123">
      <c r="A117" s="2" t="s">
        <v>5</v>
      </c>
      <c r="B117" s="2" t="s">
        <v>297</v>
      </c>
      <c r="C117" s="2">
        <v>456</v>
      </c>
      <c r="D117" s="2">
        <v>41</v>
      </c>
      <c r="E117" s="2">
        <v>7.6</v>
      </c>
      <c r="F117" s="2">
        <v>11.12</v>
      </c>
      <c r="G117" s="2" t="s">
        <v>160</v>
      </c>
      <c r="H117">
        <f>IF(AND(OR(لوحة_القيادة!$C$4="الكل", A117=لوحة_القيادة!$C$4), IF(لوحة_القيادة!$C$5="الكل", TRUE, INDEX($V117:$AG117, 1, VALUE(لوحة_القيادة!$C$5))&gt;0)), 1, 0)</f>
        <v>0</v>
      </c>
      <c r="I117">
        <f>IF(H117=1, SUM($H$2:H117), "")</f>
        <v>0</v>
      </c>
      <c r="J117" s="2">
        <v>70</v>
      </c>
      <c r="K117" s="2">
        <v>67</v>
      </c>
      <c r="L117" s="2">
        <v>127</v>
      </c>
      <c r="M117" s="2">
        <v>99</v>
      </c>
      <c r="N117" s="2">
        <v>57</v>
      </c>
      <c r="O117" s="2">
        <v>26</v>
      </c>
      <c r="P117" s="2">
        <v>10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6</v>
      </c>
      <c r="W117" s="2">
        <v>4</v>
      </c>
      <c r="X117" s="2">
        <v>9</v>
      </c>
      <c r="Y117" s="2">
        <v>8</v>
      </c>
      <c r="Z117" s="2">
        <v>4</v>
      </c>
      <c r="AA117" s="2">
        <v>7</v>
      </c>
      <c r="AB117" s="2">
        <v>3</v>
      </c>
      <c r="AC117" s="2">
        <v>0</v>
      </c>
      <c r="AD117" s="2">
        <v>0</v>
      </c>
      <c r="AE117" s="2">
        <v>0</v>
      </c>
      <c r="AF117" s="2">
        <v>0</v>
      </c>
      <c r="AG117" s="2">
        <v>7</v>
      </c>
      <c r="AH117" s="2">
        <v>6</v>
      </c>
      <c r="AI117" s="2">
        <v>6</v>
      </c>
      <c r="AJ117" s="2">
        <v>10</v>
      </c>
      <c r="AK117" s="2">
        <v>0</v>
      </c>
      <c r="AL117" s="2">
        <v>0</v>
      </c>
      <c r="AM117" s="2">
        <v>12</v>
      </c>
      <c r="AN117" s="2">
        <v>1</v>
      </c>
      <c r="AO117" s="2">
        <v>0</v>
      </c>
      <c r="AP117" s="2">
        <v>2</v>
      </c>
      <c r="AQ117" s="2">
        <v>1</v>
      </c>
      <c r="AR117" s="2">
        <v>1</v>
      </c>
      <c r="AS117" s="2">
        <v>1</v>
      </c>
      <c r="AT117" s="2">
        <v>1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1</v>
      </c>
      <c r="BA117" s="2">
        <v>0</v>
      </c>
      <c r="BB117" s="2">
        <v>1</v>
      </c>
      <c r="BC117" s="2">
        <v>2</v>
      </c>
      <c r="BD117" s="2">
        <v>0</v>
      </c>
      <c r="BE117" s="2">
        <v>2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1</v>
      </c>
      <c r="BM117" s="2">
        <v>0</v>
      </c>
      <c r="BN117" s="2">
        <v>2</v>
      </c>
      <c r="BO117" s="2">
        <v>1</v>
      </c>
      <c r="BP117" s="2">
        <v>0</v>
      </c>
      <c r="BQ117" s="2">
        <v>1</v>
      </c>
      <c r="BR117" s="2">
        <v>1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1</v>
      </c>
      <c r="BY117" s="2">
        <v>1</v>
      </c>
      <c r="BZ117" s="2">
        <v>2</v>
      </c>
      <c r="CA117" s="2">
        <v>1</v>
      </c>
      <c r="CB117" s="2">
        <v>1</v>
      </c>
      <c r="CC117" s="2">
        <v>3</v>
      </c>
      <c r="CD117" s="2">
        <v>1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0</v>
      </c>
      <c r="DH117" s="2">
        <v>2</v>
      </c>
      <c r="DI117" s="2">
        <v>3</v>
      </c>
      <c r="DJ117" s="2">
        <v>2</v>
      </c>
      <c r="DK117" s="2">
        <v>3</v>
      </c>
      <c r="DL117" s="2">
        <v>2</v>
      </c>
      <c r="DM117" s="2">
        <v>0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</row>
    <row r="118" spans="1:123">
      <c r="A118" s="2" t="s">
        <v>18</v>
      </c>
      <c r="B118" s="2" t="s">
        <v>298</v>
      </c>
      <c r="C118" s="2">
        <v>454</v>
      </c>
      <c r="D118" s="2">
        <v>10</v>
      </c>
      <c r="E118" s="2">
        <v>7.57</v>
      </c>
      <c r="F118" s="2">
        <v>45.4</v>
      </c>
      <c r="G118" s="2" t="s">
        <v>170</v>
      </c>
      <c r="H118">
        <f>IF(AND(OR(لوحة_القيادة!$C$4="الكل", A118=لوحة_القيادة!$C$4), IF(لوحة_القيادة!$C$5="الكل", TRUE, INDEX($V118:$AG118, 1, VALUE(لوحة_القيادة!$C$5))&gt;0)), 1, 0)</f>
        <v>0</v>
      </c>
      <c r="I118">
        <f>IF(H118=1, SUM($H$2:H118), "")</f>
        <v>0</v>
      </c>
      <c r="J118" s="2">
        <v>97</v>
      </c>
      <c r="K118" s="2">
        <v>61</v>
      </c>
      <c r="L118" s="2">
        <v>46</v>
      </c>
      <c r="M118" s="2">
        <v>17</v>
      </c>
      <c r="N118" s="2">
        <v>58</v>
      </c>
      <c r="O118" s="2">
        <v>175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1</v>
      </c>
      <c r="W118" s="2">
        <v>1</v>
      </c>
      <c r="X118" s="2">
        <v>2</v>
      </c>
      <c r="Y118" s="2">
        <v>2</v>
      </c>
      <c r="Z118" s="2">
        <v>1</v>
      </c>
      <c r="AA118" s="2">
        <v>3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3</v>
      </c>
      <c r="AH118" s="2">
        <v>4</v>
      </c>
      <c r="AI118" s="2">
        <v>1</v>
      </c>
      <c r="AJ118" s="2">
        <v>1</v>
      </c>
      <c r="AK118" s="2">
        <v>0</v>
      </c>
      <c r="AL118" s="2">
        <v>0</v>
      </c>
      <c r="AM118" s="2">
        <v>1</v>
      </c>
      <c r="AN118" s="2">
        <v>1</v>
      </c>
      <c r="AO118" s="2">
        <v>0</v>
      </c>
      <c r="AP118" s="2">
        <v>0</v>
      </c>
      <c r="AQ118" s="2">
        <v>0</v>
      </c>
      <c r="AR118" s="2">
        <v>1</v>
      </c>
      <c r="AS118" s="2">
        <v>1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1</v>
      </c>
      <c r="BC118" s="2">
        <v>1</v>
      </c>
      <c r="BD118" s="2">
        <v>0</v>
      </c>
      <c r="BE118" s="2">
        <v>2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1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1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  <c r="DE118" s="2">
        <v>0</v>
      </c>
      <c r="DF118" s="2">
        <v>0</v>
      </c>
      <c r="DG118" s="2">
        <v>0</v>
      </c>
      <c r="DH118" s="2">
        <v>0</v>
      </c>
      <c r="DI118" s="2">
        <v>0</v>
      </c>
      <c r="DJ118" s="2">
        <v>1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</row>
    <row r="119" spans="1:123">
      <c r="A119" s="2" t="s">
        <v>6</v>
      </c>
      <c r="B119" s="2" t="s">
        <v>299</v>
      </c>
      <c r="C119" s="2">
        <v>448</v>
      </c>
      <c r="D119" s="2">
        <v>46</v>
      </c>
      <c r="E119" s="2">
        <v>7.47</v>
      </c>
      <c r="F119" s="2">
        <v>9.74</v>
      </c>
      <c r="G119" s="2" t="s">
        <v>160</v>
      </c>
      <c r="H119">
        <f>IF(AND(OR(لوحة_القيادة!$C$4="الكل", A119=لوحة_القيادة!$C$4), IF(لوحة_القيادة!$C$5="الكل", TRUE, INDEX($V119:$AG119, 1, VALUE(لوحة_القيادة!$C$5))&gt;0)), 1, 0)</f>
        <v>0</v>
      </c>
      <c r="I119">
        <f>IF(H119=1, SUM($H$2:H119), "")</f>
        <v>0</v>
      </c>
      <c r="J119" s="2">
        <v>38</v>
      </c>
      <c r="K119" s="2">
        <v>171</v>
      </c>
      <c r="L119" s="2">
        <v>49</v>
      </c>
      <c r="M119" s="2">
        <v>25</v>
      </c>
      <c r="N119" s="2">
        <v>28</v>
      </c>
      <c r="O119" s="2">
        <v>109</v>
      </c>
      <c r="P119" s="2">
        <v>28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8</v>
      </c>
      <c r="W119" s="2">
        <v>11</v>
      </c>
      <c r="X119" s="2">
        <v>3</v>
      </c>
      <c r="Y119" s="2">
        <v>6</v>
      </c>
      <c r="Z119" s="2">
        <v>5</v>
      </c>
      <c r="AA119" s="2">
        <v>10</v>
      </c>
      <c r="AB119" s="2">
        <v>3</v>
      </c>
      <c r="AC119" s="2">
        <v>0</v>
      </c>
      <c r="AD119" s="2">
        <v>0</v>
      </c>
      <c r="AE119" s="2">
        <v>0</v>
      </c>
      <c r="AF119" s="2">
        <v>0</v>
      </c>
      <c r="AG119" s="2">
        <v>10</v>
      </c>
      <c r="AH119" s="2">
        <v>9</v>
      </c>
      <c r="AI119" s="2">
        <v>9</v>
      </c>
      <c r="AJ119" s="2">
        <v>12</v>
      </c>
      <c r="AK119" s="2">
        <v>0</v>
      </c>
      <c r="AL119" s="2">
        <v>0</v>
      </c>
      <c r="AM119" s="2">
        <v>6</v>
      </c>
      <c r="AN119" s="2">
        <v>2</v>
      </c>
      <c r="AO119" s="2">
        <v>2</v>
      </c>
      <c r="AP119" s="2">
        <v>1</v>
      </c>
      <c r="AQ119" s="2">
        <v>1</v>
      </c>
      <c r="AR119" s="2">
        <v>1</v>
      </c>
      <c r="AS119" s="2">
        <v>3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2</v>
      </c>
      <c r="BA119" s="2">
        <v>2</v>
      </c>
      <c r="BB119" s="2">
        <v>0</v>
      </c>
      <c r="BC119" s="2">
        <v>2</v>
      </c>
      <c r="BD119" s="2">
        <v>1</v>
      </c>
      <c r="BE119" s="2">
        <v>2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1</v>
      </c>
      <c r="BM119" s="2">
        <v>2</v>
      </c>
      <c r="BN119" s="2">
        <v>0</v>
      </c>
      <c r="BO119" s="2">
        <v>2</v>
      </c>
      <c r="BP119" s="2">
        <v>1</v>
      </c>
      <c r="BQ119" s="2">
        <v>2</v>
      </c>
      <c r="BR119" s="2">
        <v>1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1</v>
      </c>
      <c r="BY119" s="2">
        <v>3</v>
      </c>
      <c r="BZ119" s="2">
        <v>2</v>
      </c>
      <c r="CA119" s="2">
        <v>1</v>
      </c>
      <c r="CB119" s="2">
        <v>2</v>
      </c>
      <c r="CC119" s="2">
        <v>1</v>
      </c>
      <c r="CD119" s="2">
        <v>2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0</v>
      </c>
      <c r="DF119" s="2">
        <v>0</v>
      </c>
      <c r="DG119" s="2">
        <v>0</v>
      </c>
      <c r="DH119" s="2">
        <v>2</v>
      </c>
      <c r="DI119" s="2">
        <v>2</v>
      </c>
      <c r="DJ119" s="2">
        <v>0</v>
      </c>
      <c r="DK119" s="2">
        <v>0</v>
      </c>
      <c r="DL119" s="2">
        <v>0</v>
      </c>
      <c r="DM119" s="2">
        <v>2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</row>
    <row r="120" spans="1:123">
      <c r="A120" s="2" t="s">
        <v>17</v>
      </c>
      <c r="B120" s="2" t="s">
        <v>300</v>
      </c>
      <c r="C120" s="2">
        <v>439</v>
      </c>
      <c r="D120" s="2">
        <v>12</v>
      </c>
      <c r="E120" s="2">
        <v>7.32</v>
      </c>
      <c r="F120" s="2">
        <v>36.58</v>
      </c>
      <c r="G120" s="2" t="s">
        <v>170</v>
      </c>
      <c r="H120">
        <f>IF(AND(OR(لوحة_القيادة!$C$4="الكل", A120=لوحة_القيادة!$C$4), IF(لوحة_القيادة!$C$5="الكل", TRUE, INDEX($V120:$AG120, 1, VALUE(لوحة_القيادة!$C$5))&gt;0)), 1, 0)</f>
        <v>0</v>
      </c>
      <c r="I120">
        <f>IF(H120=1, SUM($H$2:H120), "")</f>
        <v>0</v>
      </c>
      <c r="J120" s="2">
        <v>5</v>
      </c>
      <c r="K120" s="2">
        <v>1</v>
      </c>
      <c r="L120" s="2">
        <v>61</v>
      </c>
      <c r="M120" s="2">
        <v>157</v>
      </c>
      <c r="N120" s="2">
        <v>184</v>
      </c>
      <c r="O120" s="2">
        <v>31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2</v>
      </c>
      <c r="W120" s="2">
        <v>1</v>
      </c>
      <c r="X120" s="2">
        <v>2</v>
      </c>
      <c r="Y120" s="2">
        <v>3</v>
      </c>
      <c r="Z120" s="2">
        <v>3</v>
      </c>
      <c r="AA120" s="2">
        <v>1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2</v>
      </c>
      <c r="AH120" s="2">
        <v>4</v>
      </c>
      <c r="AI120" s="2">
        <v>2</v>
      </c>
      <c r="AJ120" s="2">
        <v>4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1</v>
      </c>
      <c r="AQ120" s="2">
        <v>1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1</v>
      </c>
      <c r="BA120" s="2">
        <v>0</v>
      </c>
      <c r="BB120" s="2">
        <v>0</v>
      </c>
      <c r="BC120" s="2">
        <v>0</v>
      </c>
      <c r="BD120" s="2">
        <v>2</v>
      </c>
      <c r="BE120" s="2">
        <v>1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1</v>
      </c>
      <c r="BO120" s="2">
        <v>1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1</v>
      </c>
      <c r="BY120" s="2">
        <v>1</v>
      </c>
      <c r="BZ120" s="2">
        <v>0</v>
      </c>
      <c r="CA120" s="2">
        <v>1</v>
      </c>
      <c r="CB120" s="2">
        <v>1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</row>
    <row r="121" spans="1:123">
      <c r="A121" s="2" t="s">
        <v>1</v>
      </c>
      <c r="B121" s="2" t="s">
        <v>301</v>
      </c>
      <c r="C121" s="2">
        <v>437</v>
      </c>
      <c r="D121" s="2">
        <v>27</v>
      </c>
      <c r="E121" s="2">
        <v>7.28</v>
      </c>
      <c r="F121" s="2">
        <v>16.19</v>
      </c>
      <c r="G121" s="2" t="s">
        <v>280</v>
      </c>
      <c r="H121">
        <f>IF(AND(OR(لوحة_القيادة!$C$4="الكل", A121=لوحة_القيادة!$C$4), IF(لوحة_القيادة!$C$5="الكل", TRUE, INDEX($V121:$AG121, 1, VALUE(لوحة_القيادة!$C$5))&gt;0)), 1, 0)</f>
        <v>0</v>
      </c>
      <c r="I121">
        <f>IF(H121=1, SUM($H$2:H121), "")</f>
        <v>0</v>
      </c>
      <c r="J121" s="2">
        <v>122</v>
      </c>
      <c r="K121" s="2">
        <v>121</v>
      </c>
      <c r="L121" s="2">
        <v>0</v>
      </c>
      <c r="M121" s="2">
        <v>41</v>
      </c>
      <c r="N121" s="2">
        <v>40</v>
      </c>
      <c r="O121" s="2">
        <v>78</v>
      </c>
      <c r="P121" s="2">
        <v>35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3</v>
      </c>
      <c r="W121" s="2">
        <v>10</v>
      </c>
      <c r="X121" s="2">
        <v>0</v>
      </c>
      <c r="Y121" s="2">
        <v>5</v>
      </c>
      <c r="Z121" s="2">
        <v>3</v>
      </c>
      <c r="AA121" s="2">
        <v>4</v>
      </c>
      <c r="AB121" s="2">
        <v>2</v>
      </c>
      <c r="AC121" s="2">
        <v>0</v>
      </c>
      <c r="AD121" s="2">
        <v>0</v>
      </c>
      <c r="AE121" s="2">
        <v>0</v>
      </c>
      <c r="AF121" s="2">
        <v>0</v>
      </c>
      <c r="AG121" s="2">
        <v>2</v>
      </c>
      <c r="AH121" s="2">
        <v>7</v>
      </c>
      <c r="AI121" s="2">
        <v>5</v>
      </c>
      <c r="AJ121" s="2">
        <v>7</v>
      </c>
      <c r="AK121" s="2">
        <v>0</v>
      </c>
      <c r="AL121" s="2">
        <v>0</v>
      </c>
      <c r="AM121" s="2">
        <v>6</v>
      </c>
      <c r="AN121" s="2">
        <v>1</v>
      </c>
      <c r="AO121" s="2">
        <v>1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1</v>
      </c>
      <c r="BA121" s="2">
        <v>2</v>
      </c>
      <c r="BB121" s="2">
        <v>0</v>
      </c>
      <c r="BC121" s="2">
        <v>1</v>
      </c>
      <c r="BD121" s="2">
        <v>2</v>
      </c>
      <c r="BE121" s="2">
        <v>1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2</v>
      </c>
      <c r="BN121" s="2">
        <v>0</v>
      </c>
      <c r="BO121" s="2">
        <v>2</v>
      </c>
      <c r="BP121" s="2">
        <v>0</v>
      </c>
      <c r="BQ121" s="2">
        <v>0</v>
      </c>
      <c r="BR121" s="2">
        <v>1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1</v>
      </c>
      <c r="BY121" s="2">
        <v>3</v>
      </c>
      <c r="BZ121" s="2">
        <v>0</v>
      </c>
      <c r="CA121" s="2">
        <v>1</v>
      </c>
      <c r="CB121" s="2">
        <v>1</v>
      </c>
      <c r="CC121" s="2">
        <v>1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  <c r="DE121" s="2">
        <v>0</v>
      </c>
      <c r="DF121" s="2">
        <v>0</v>
      </c>
      <c r="DG121" s="2">
        <v>0</v>
      </c>
      <c r="DH121" s="2">
        <v>0</v>
      </c>
      <c r="DI121" s="2">
        <v>2</v>
      </c>
      <c r="DJ121" s="2">
        <v>0</v>
      </c>
      <c r="DK121" s="2">
        <v>1</v>
      </c>
      <c r="DL121" s="2">
        <v>0</v>
      </c>
      <c r="DM121" s="2">
        <v>2</v>
      </c>
      <c r="DN121" s="2">
        <v>1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</row>
    <row r="122" spans="1:123">
      <c r="A122" s="2" t="s">
        <v>11</v>
      </c>
      <c r="B122" s="2" t="s">
        <v>302</v>
      </c>
      <c r="C122" s="2">
        <v>431</v>
      </c>
      <c r="D122" s="2">
        <v>7</v>
      </c>
      <c r="E122" s="2">
        <v>7.18</v>
      </c>
      <c r="F122" s="2">
        <v>61.57</v>
      </c>
      <c r="G122" s="2" t="s">
        <v>303</v>
      </c>
      <c r="H122">
        <f>IF(AND(OR(لوحة_القيادة!$C$4="الكل", A122=لوحة_القيادة!$C$4), IF(لوحة_القيادة!$C$5="الكل", TRUE, INDEX($V122:$AG122, 1, VALUE(لوحة_القيادة!$C$5))&gt;0)), 1, 0)</f>
        <v>0</v>
      </c>
      <c r="I122">
        <f>IF(H122=1, SUM($H$2:H122), "")</f>
        <v>0</v>
      </c>
      <c r="J122" s="2">
        <v>104</v>
      </c>
      <c r="K122" s="2">
        <v>180</v>
      </c>
      <c r="L122" s="2">
        <v>82</v>
      </c>
      <c r="M122" s="2">
        <v>65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1</v>
      </c>
      <c r="W122" s="2">
        <v>2</v>
      </c>
      <c r="X122" s="2">
        <v>2</v>
      </c>
      <c r="Y122" s="2">
        <v>2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2</v>
      </c>
      <c r="AI122" s="2">
        <v>1</v>
      </c>
      <c r="AJ122" s="2">
        <v>1</v>
      </c>
      <c r="AK122" s="2">
        <v>0</v>
      </c>
      <c r="AL122" s="2">
        <v>0</v>
      </c>
      <c r="AM122" s="2">
        <v>3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1</v>
      </c>
      <c r="BC122" s="2">
        <v>1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1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1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E122" s="2">
        <v>0</v>
      </c>
      <c r="DF122" s="2">
        <v>0</v>
      </c>
      <c r="DG122" s="2">
        <v>0</v>
      </c>
      <c r="DH122" s="2">
        <v>0</v>
      </c>
      <c r="DI122" s="2">
        <v>1</v>
      </c>
      <c r="DJ122" s="2">
        <v>1</v>
      </c>
      <c r="DK122" s="2">
        <v>1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</row>
    <row r="123" spans="1:123">
      <c r="A123" s="2" t="s">
        <v>1</v>
      </c>
      <c r="B123" s="2" t="s">
        <v>304</v>
      </c>
      <c r="C123" s="2">
        <v>423</v>
      </c>
      <c r="D123" s="2">
        <v>41</v>
      </c>
      <c r="E123" s="2">
        <v>7.05</v>
      </c>
      <c r="F123" s="2">
        <v>10.32</v>
      </c>
      <c r="G123" s="2" t="s">
        <v>280</v>
      </c>
      <c r="H123">
        <f>IF(AND(OR(لوحة_القيادة!$C$4="الكل", A123=لوحة_القيادة!$C$4), IF(لوحة_القيادة!$C$5="الكل", TRUE, INDEX($V123:$AG123, 1, VALUE(لوحة_القيادة!$C$5))&gt;0)), 1, 0)</f>
        <v>0</v>
      </c>
      <c r="I123">
        <f>IF(H123=1, SUM($H$2:H123), "")</f>
        <v>0</v>
      </c>
      <c r="J123" s="2">
        <v>85</v>
      </c>
      <c r="K123" s="2">
        <v>31</v>
      </c>
      <c r="L123" s="2">
        <v>0</v>
      </c>
      <c r="M123" s="2">
        <v>183</v>
      </c>
      <c r="N123" s="2">
        <v>34</v>
      </c>
      <c r="O123" s="2">
        <v>54</v>
      </c>
      <c r="P123" s="2">
        <v>36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9</v>
      </c>
      <c r="W123" s="2">
        <v>5</v>
      </c>
      <c r="X123" s="2">
        <v>0</v>
      </c>
      <c r="Y123" s="2">
        <v>10</v>
      </c>
      <c r="Z123" s="2">
        <v>6</v>
      </c>
      <c r="AA123" s="2">
        <v>7</v>
      </c>
      <c r="AB123" s="2">
        <v>4</v>
      </c>
      <c r="AC123" s="2">
        <v>0</v>
      </c>
      <c r="AD123" s="2">
        <v>0</v>
      </c>
      <c r="AE123" s="2">
        <v>0</v>
      </c>
      <c r="AF123" s="2">
        <v>0</v>
      </c>
      <c r="AG123" s="2">
        <v>9</v>
      </c>
      <c r="AH123" s="2">
        <v>8</v>
      </c>
      <c r="AI123" s="2">
        <v>8</v>
      </c>
      <c r="AJ123" s="2">
        <v>8</v>
      </c>
      <c r="AK123" s="2">
        <v>0</v>
      </c>
      <c r="AL123" s="2">
        <v>0</v>
      </c>
      <c r="AM123" s="2">
        <v>8</v>
      </c>
      <c r="AN123" s="2">
        <v>1</v>
      </c>
      <c r="AO123" s="2">
        <v>2</v>
      </c>
      <c r="AP123" s="2">
        <v>0</v>
      </c>
      <c r="AQ123" s="2">
        <v>2</v>
      </c>
      <c r="AR123" s="2">
        <v>1</v>
      </c>
      <c r="AS123" s="2">
        <v>3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2</v>
      </c>
      <c r="BA123" s="2">
        <v>1</v>
      </c>
      <c r="BB123" s="2">
        <v>0</v>
      </c>
      <c r="BC123" s="2">
        <v>2</v>
      </c>
      <c r="BD123" s="2">
        <v>2</v>
      </c>
      <c r="BE123" s="2">
        <v>0</v>
      </c>
      <c r="BF123" s="2">
        <v>1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3</v>
      </c>
      <c r="BM123" s="2">
        <v>2</v>
      </c>
      <c r="BN123" s="2">
        <v>0</v>
      </c>
      <c r="BO123" s="2">
        <v>1</v>
      </c>
      <c r="BP123" s="2">
        <v>0</v>
      </c>
      <c r="BQ123" s="2">
        <v>1</v>
      </c>
      <c r="BR123" s="2">
        <v>1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2</v>
      </c>
      <c r="BY123" s="2">
        <v>0</v>
      </c>
      <c r="BZ123" s="2">
        <v>0</v>
      </c>
      <c r="CA123" s="2">
        <v>3</v>
      </c>
      <c r="CB123" s="2">
        <v>1</v>
      </c>
      <c r="CC123" s="2">
        <v>1</v>
      </c>
      <c r="CD123" s="2">
        <v>1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0</v>
      </c>
      <c r="DF123" s="2">
        <v>0</v>
      </c>
      <c r="DG123" s="2">
        <v>0</v>
      </c>
      <c r="DH123" s="2">
        <v>1</v>
      </c>
      <c r="DI123" s="2">
        <v>0</v>
      </c>
      <c r="DJ123" s="2">
        <v>0</v>
      </c>
      <c r="DK123" s="2">
        <v>2</v>
      </c>
      <c r="DL123" s="2">
        <v>2</v>
      </c>
      <c r="DM123" s="2">
        <v>2</v>
      </c>
      <c r="DN123" s="2">
        <v>1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</row>
    <row r="124" spans="1:123">
      <c r="A124" s="2" t="s">
        <v>15</v>
      </c>
      <c r="B124" s="2" t="s">
        <v>305</v>
      </c>
      <c r="C124" s="2">
        <v>418</v>
      </c>
      <c r="D124" s="2">
        <v>18</v>
      </c>
      <c r="E124" s="2">
        <v>6.97</v>
      </c>
      <c r="F124" s="2">
        <v>23.22</v>
      </c>
      <c r="G124" s="2" t="s">
        <v>306</v>
      </c>
      <c r="H124">
        <f>IF(AND(OR(لوحة_القيادة!$C$4="الكل", A124=لوحة_القيادة!$C$4), IF(لوحة_القيادة!$C$5="الكل", TRUE, INDEX($V124:$AG124, 1, VALUE(لوحة_القيادة!$C$5))&gt;0)), 1, 0)</f>
        <v>0</v>
      </c>
      <c r="I124">
        <f>IF(H124=1, SUM($H$2:H124), "")</f>
        <v>0</v>
      </c>
      <c r="J124" s="2">
        <v>83</v>
      </c>
      <c r="K124" s="2">
        <v>0</v>
      </c>
      <c r="L124" s="2">
        <v>49</v>
      </c>
      <c r="M124" s="2">
        <v>137</v>
      </c>
      <c r="N124" s="2">
        <v>80</v>
      </c>
      <c r="O124" s="2">
        <v>69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5</v>
      </c>
      <c r="W124" s="2">
        <v>0</v>
      </c>
      <c r="X124" s="2">
        <v>3</v>
      </c>
      <c r="Y124" s="2">
        <v>4</v>
      </c>
      <c r="Z124" s="2">
        <v>3</v>
      </c>
      <c r="AA124" s="2">
        <v>3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4</v>
      </c>
      <c r="AH124" s="2">
        <v>2</v>
      </c>
      <c r="AI124" s="2">
        <v>8</v>
      </c>
      <c r="AJ124" s="2">
        <v>2</v>
      </c>
      <c r="AK124" s="2">
        <v>0</v>
      </c>
      <c r="AL124" s="2">
        <v>0</v>
      </c>
      <c r="AM124" s="2">
        <v>2</v>
      </c>
      <c r="AN124" s="2">
        <v>1</v>
      </c>
      <c r="AO124" s="2">
        <v>0</v>
      </c>
      <c r="AP124" s="2">
        <v>0</v>
      </c>
      <c r="AQ124" s="2">
        <v>1</v>
      </c>
      <c r="AR124" s="2">
        <v>0</v>
      </c>
      <c r="AS124" s="2">
        <v>2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1</v>
      </c>
      <c r="BA124" s="2">
        <v>0</v>
      </c>
      <c r="BB124" s="2">
        <v>1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2</v>
      </c>
      <c r="BM124" s="2">
        <v>0</v>
      </c>
      <c r="BN124" s="2">
        <v>1</v>
      </c>
      <c r="BO124" s="2">
        <v>2</v>
      </c>
      <c r="BP124" s="2">
        <v>2</v>
      </c>
      <c r="BQ124" s="2">
        <v>1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1</v>
      </c>
      <c r="CA124" s="2">
        <v>1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1</v>
      </c>
      <c r="DI124" s="2">
        <v>0</v>
      </c>
      <c r="DJ124" s="2">
        <v>0</v>
      </c>
      <c r="DK124" s="2">
        <v>0</v>
      </c>
      <c r="DL124" s="2">
        <v>1</v>
      </c>
      <c r="DM124" s="2">
        <v>0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</row>
    <row r="125" spans="1:123">
      <c r="A125" s="2" t="s">
        <v>16</v>
      </c>
      <c r="B125" s="2" t="s">
        <v>307</v>
      </c>
      <c r="C125" s="2">
        <v>417</v>
      </c>
      <c r="D125" s="2">
        <v>21</v>
      </c>
      <c r="E125" s="2">
        <v>6.95</v>
      </c>
      <c r="F125" s="2">
        <v>19.86</v>
      </c>
      <c r="G125" s="2" t="s">
        <v>308</v>
      </c>
      <c r="H125">
        <f>IF(AND(OR(لوحة_القيادة!$C$4="الكل", A125=لوحة_القيادة!$C$4), IF(لوحة_القيادة!$C$5="الكل", TRUE, INDEX($V125:$AG125, 1, VALUE(لوحة_القيادة!$C$5))&gt;0)), 1, 0)</f>
        <v>0</v>
      </c>
      <c r="I125">
        <f>IF(H125=1, SUM($H$2:H125), "")</f>
        <v>0</v>
      </c>
      <c r="J125" s="2">
        <v>106</v>
      </c>
      <c r="K125" s="2">
        <v>288</v>
      </c>
      <c r="L125" s="2">
        <v>23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8</v>
      </c>
      <c r="W125" s="2">
        <v>11</v>
      </c>
      <c r="X125" s="2">
        <v>2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2</v>
      </c>
      <c r="AH125" s="2">
        <v>3</v>
      </c>
      <c r="AI125" s="2">
        <v>5</v>
      </c>
      <c r="AJ125" s="2">
        <v>7</v>
      </c>
      <c r="AK125" s="2">
        <v>0</v>
      </c>
      <c r="AL125" s="2">
        <v>0</v>
      </c>
      <c r="AM125" s="2">
        <v>4</v>
      </c>
      <c r="AN125" s="2">
        <v>0</v>
      </c>
      <c r="AO125" s="2">
        <v>2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2</v>
      </c>
      <c r="BA125" s="2">
        <v>1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2</v>
      </c>
      <c r="BM125" s="2">
        <v>3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3</v>
      </c>
      <c r="BY125" s="2">
        <v>3</v>
      </c>
      <c r="BZ125" s="2">
        <v>1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0</v>
      </c>
      <c r="DH125" s="2">
        <v>1</v>
      </c>
      <c r="DI125" s="2">
        <v>2</v>
      </c>
      <c r="DJ125" s="2">
        <v>1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</row>
    <row r="126" spans="1:123">
      <c r="A126" s="2" t="s">
        <v>11</v>
      </c>
      <c r="B126" s="2" t="s">
        <v>309</v>
      </c>
      <c r="C126" s="2">
        <v>414</v>
      </c>
      <c r="D126" s="2">
        <v>5</v>
      </c>
      <c r="E126" s="2">
        <v>6.9</v>
      </c>
      <c r="F126" s="2">
        <v>82.8</v>
      </c>
      <c r="G126" s="2" t="s">
        <v>308</v>
      </c>
      <c r="H126">
        <f>IF(AND(OR(لوحة_القيادة!$C$4="الكل", A126=لوحة_القيادة!$C$4), IF(لوحة_القيادة!$C$5="الكل", TRUE, INDEX($V126:$AG126, 1, VALUE(لوحة_القيادة!$C$5))&gt;0)), 1, 0)</f>
        <v>0</v>
      </c>
      <c r="I126">
        <f>IF(H126=1, SUM($H$2:H126), "")</f>
        <v>0</v>
      </c>
      <c r="J126" s="2">
        <v>56</v>
      </c>
      <c r="K126" s="2">
        <v>189</v>
      </c>
      <c r="L126" s="2">
        <v>169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1</v>
      </c>
      <c r="W126" s="2">
        <v>1</v>
      </c>
      <c r="X126" s="2">
        <v>3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2</v>
      </c>
      <c r="AI126" s="2">
        <v>1</v>
      </c>
      <c r="AJ126" s="2">
        <v>1</v>
      </c>
      <c r="AK126" s="2">
        <v>0</v>
      </c>
      <c r="AL126" s="2">
        <v>0</v>
      </c>
      <c r="AM126" s="2">
        <v>1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2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1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1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E126" s="2">
        <v>0</v>
      </c>
      <c r="DF126" s="2">
        <v>0</v>
      </c>
      <c r="DG126" s="2">
        <v>0</v>
      </c>
      <c r="DH126" s="2">
        <v>0</v>
      </c>
      <c r="DI126" s="2">
        <v>1</v>
      </c>
      <c r="DJ126" s="2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0</v>
      </c>
      <c r="DP126" s="2">
        <v>0</v>
      </c>
      <c r="DQ126" s="2">
        <v>0</v>
      </c>
      <c r="DR126" s="2">
        <v>0</v>
      </c>
      <c r="DS126" s="2">
        <v>0</v>
      </c>
    </row>
    <row r="127" spans="1:123">
      <c r="A127" s="2" t="s">
        <v>9</v>
      </c>
      <c r="B127" s="2" t="s">
        <v>310</v>
      </c>
      <c r="C127" s="2">
        <v>413</v>
      </c>
      <c r="D127" s="2">
        <v>28</v>
      </c>
      <c r="E127" s="2">
        <v>6.88</v>
      </c>
      <c r="F127" s="2">
        <v>14.75</v>
      </c>
      <c r="G127" s="2" t="s">
        <v>160</v>
      </c>
      <c r="H127">
        <f>IF(AND(OR(لوحة_القيادة!$C$4="الكل", A127=لوحة_القيادة!$C$4), IF(لوحة_القيادة!$C$5="الكل", TRUE, INDEX($V127:$AG127, 1, VALUE(لوحة_القيادة!$C$5))&gt;0)), 1, 0)</f>
        <v>0</v>
      </c>
      <c r="I127">
        <f>IF(H127=1, SUM($H$2:H127), "")</f>
        <v>0</v>
      </c>
      <c r="J127" s="2">
        <v>27</v>
      </c>
      <c r="K127" s="2">
        <v>89</v>
      </c>
      <c r="L127" s="2">
        <v>109</v>
      </c>
      <c r="M127" s="2">
        <v>24</v>
      </c>
      <c r="N127" s="2">
        <v>34</v>
      </c>
      <c r="O127" s="2">
        <v>123</v>
      </c>
      <c r="P127" s="2">
        <v>7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1</v>
      </c>
      <c r="W127" s="2">
        <v>7</v>
      </c>
      <c r="X127" s="2">
        <v>4</v>
      </c>
      <c r="Y127" s="2">
        <v>3</v>
      </c>
      <c r="Z127" s="2">
        <v>6</v>
      </c>
      <c r="AA127" s="2">
        <v>5</v>
      </c>
      <c r="AB127" s="2">
        <v>2</v>
      </c>
      <c r="AC127" s="2">
        <v>0</v>
      </c>
      <c r="AD127" s="2">
        <v>0</v>
      </c>
      <c r="AE127" s="2">
        <v>0</v>
      </c>
      <c r="AF127" s="2">
        <v>0</v>
      </c>
      <c r="AG127" s="2">
        <v>4</v>
      </c>
      <c r="AH127" s="2">
        <v>4</v>
      </c>
      <c r="AI127" s="2">
        <v>7</v>
      </c>
      <c r="AJ127" s="2">
        <v>8</v>
      </c>
      <c r="AK127" s="2">
        <v>0</v>
      </c>
      <c r="AL127" s="2">
        <v>0</v>
      </c>
      <c r="AM127" s="2">
        <v>5</v>
      </c>
      <c r="AN127" s="2">
        <v>0</v>
      </c>
      <c r="AO127" s="2">
        <v>0</v>
      </c>
      <c r="AP127" s="2">
        <v>1</v>
      </c>
      <c r="AQ127" s="2">
        <v>0</v>
      </c>
      <c r="AR127" s="2">
        <v>2</v>
      </c>
      <c r="AS127" s="2">
        <v>1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1</v>
      </c>
      <c r="BB127" s="2">
        <v>0</v>
      </c>
      <c r="BC127" s="2">
        <v>0</v>
      </c>
      <c r="BD127" s="2">
        <v>2</v>
      </c>
      <c r="BE127" s="2">
        <v>0</v>
      </c>
      <c r="BF127" s="2">
        <v>1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2</v>
      </c>
      <c r="BN127" s="2">
        <v>1</v>
      </c>
      <c r="BO127" s="2">
        <v>2</v>
      </c>
      <c r="BP127" s="2">
        <v>0</v>
      </c>
      <c r="BQ127" s="2">
        <v>2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1</v>
      </c>
      <c r="BY127" s="2">
        <v>3</v>
      </c>
      <c r="BZ127" s="2">
        <v>1</v>
      </c>
      <c r="CA127" s="2">
        <v>0</v>
      </c>
      <c r="CB127" s="2">
        <v>1</v>
      </c>
      <c r="CC127" s="2">
        <v>1</v>
      </c>
      <c r="CD127" s="2">
        <v>1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1</v>
      </c>
      <c r="DJ127" s="2">
        <v>1</v>
      </c>
      <c r="DK127" s="2">
        <v>1</v>
      </c>
      <c r="DL127" s="2">
        <v>1</v>
      </c>
      <c r="DM127" s="2">
        <v>1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</row>
    <row r="128" spans="1:123">
      <c r="A128" s="2" t="s">
        <v>16</v>
      </c>
      <c r="B128" s="2" t="s">
        <v>311</v>
      </c>
      <c r="C128" s="2">
        <v>411</v>
      </c>
      <c r="D128" s="2">
        <v>14</v>
      </c>
      <c r="E128" s="2">
        <v>6.85</v>
      </c>
      <c r="F128" s="2">
        <v>29.36</v>
      </c>
      <c r="G128" s="2" t="s">
        <v>312</v>
      </c>
      <c r="H128">
        <f>IF(AND(OR(لوحة_القيادة!$C$4="الكل", A128=لوحة_القيادة!$C$4), IF(لوحة_القيادة!$C$5="الكل", TRUE, INDEX($V128:$AG128, 1, VALUE(لوحة_القيادة!$C$5))&gt;0)), 1, 0)</f>
        <v>0</v>
      </c>
      <c r="I128">
        <f>IF(H128=1, SUM($H$2:H128), "")</f>
        <v>0</v>
      </c>
      <c r="J128" s="2">
        <v>9</v>
      </c>
      <c r="K128" s="2">
        <v>205</v>
      </c>
      <c r="L128" s="2">
        <v>1</v>
      </c>
      <c r="M128" s="2">
        <v>0</v>
      </c>
      <c r="N128" s="2">
        <v>47</v>
      </c>
      <c r="O128" s="2">
        <v>148</v>
      </c>
      <c r="P128" s="2">
        <v>1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2</v>
      </c>
      <c r="W128" s="2">
        <v>4</v>
      </c>
      <c r="X128" s="2">
        <v>1</v>
      </c>
      <c r="Y128" s="2">
        <v>0</v>
      </c>
      <c r="Z128" s="2">
        <v>2</v>
      </c>
      <c r="AA128" s="2">
        <v>4</v>
      </c>
      <c r="AB128" s="2">
        <v>1</v>
      </c>
      <c r="AC128" s="2">
        <v>0</v>
      </c>
      <c r="AD128" s="2">
        <v>0</v>
      </c>
      <c r="AE128" s="2">
        <v>0</v>
      </c>
      <c r="AF128" s="2">
        <v>0</v>
      </c>
      <c r="AG128" s="2">
        <v>3</v>
      </c>
      <c r="AH128" s="2">
        <v>5</v>
      </c>
      <c r="AI128" s="2">
        <v>0</v>
      </c>
      <c r="AJ128" s="2">
        <v>1</v>
      </c>
      <c r="AK128" s="2">
        <v>0</v>
      </c>
      <c r="AL128" s="2">
        <v>0</v>
      </c>
      <c r="AM128" s="2">
        <v>5</v>
      </c>
      <c r="AN128" s="2">
        <v>0</v>
      </c>
      <c r="AO128" s="2">
        <v>2</v>
      </c>
      <c r="AP128" s="2">
        <v>0</v>
      </c>
      <c r="AQ128" s="2">
        <v>0</v>
      </c>
      <c r="AR128" s="2">
        <v>0</v>
      </c>
      <c r="AS128" s="2">
        <v>1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2</v>
      </c>
      <c r="BA128" s="2">
        <v>1</v>
      </c>
      <c r="BB128" s="2">
        <v>0</v>
      </c>
      <c r="BC128" s="2">
        <v>0</v>
      </c>
      <c r="BD128" s="2">
        <v>0</v>
      </c>
      <c r="BE128" s="2">
        <v>2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1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  <c r="DE128" s="2">
        <v>0</v>
      </c>
      <c r="DF128" s="2">
        <v>0</v>
      </c>
      <c r="DG128" s="2">
        <v>0</v>
      </c>
      <c r="DH128" s="2">
        <v>0</v>
      </c>
      <c r="DI128" s="2">
        <v>1</v>
      </c>
      <c r="DJ128" s="2">
        <v>1</v>
      </c>
      <c r="DK128" s="2">
        <v>0</v>
      </c>
      <c r="DL128" s="2">
        <v>1</v>
      </c>
      <c r="DM128" s="2">
        <v>1</v>
      </c>
      <c r="DN128" s="2">
        <v>1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</row>
    <row r="129" spans="1:123">
      <c r="A129" s="2" t="s">
        <v>2</v>
      </c>
      <c r="B129" s="2" t="s">
        <v>313</v>
      </c>
      <c r="C129" s="2">
        <v>407</v>
      </c>
      <c r="D129" s="2">
        <v>19</v>
      </c>
      <c r="E129" s="2">
        <v>6.78</v>
      </c>
      <c r="F129" s="2">
        <v>21.42</v>
      </c>
      <c r="G129" s="2" t="s">
        <v>314</v>
      </c>
      <c r="H129">
        <f>IF(AND(OR(لوحة_القيادة!$C$4="الكل", A129=لوحة_القيادة!$C$4), IF(لوحة_القيادة!$C$5="الكل", TRUE, INDEX($V129:$AG129, 1, VALUE(لوحة_القيادة!$C$5))&gt;0)), 1, 0)</f>
        <v>0</v>
      </c>
      <c r="I129">
        <f>IF(H129=1, SUM($H$2:H129), "")</f>
        <v>0</v>
      </c>
      <c r="J129" s="2">
        <v>0</v>
      </c>
      <c r="K129" s="2">
        <v>0</v>
      </c>
      <c r="L129" s="2">
        <v>66</v>
      </c>
      <c r="M129" s="2">
        <v>56</v>
      </c>
      <c r="N129" s="2">
        <v>273</v>
      </c>
      <c r="O129" s="2">
        <v>12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4</v>
      </c>
      <c r="Y129" s="2">
        <v>7</v>
      </c>
      <c r="Z129" s="2">
        <v>6</v>
      </c>
      <c r="AA129" s="2">
        <v>2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5</v>
      </c>
      <c r="AH129" s="2">
        <v>3</v>
      </c>
      <c r="AI129" s="2">
        <v>4</v>
      </c>
      <c r="AJ129" s="2">
        <v>2</v>
      </c>
      <c r="AK129" s="2">
        <v>0</v>
      </c>
      <c r="AL129" s="2">
        <v>0</v>
      </c>
      <c r="AM129" s="2">
        <v>5</v>
      </c>
      <c r="AN129" s="2">
        <v>0</v>
      </c>
      <c r="AO129" s="2">
        <v>0</v>
      </c>
      <c r="AP129" s="2">
        <v>0</v>
      </c>
      <c r="AQ129" s="2">
        <v>1</v>
      </c>
      <c r="AR129" s="2">
        <v>3</v>
      </c>
      <c r="AS129" s="2">
        <v>1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1</v>
      </c>
      <c r="BC129" s="2">
        <v>1</v>
      </c>
      <c r="BD129" s="2">
        <v>1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1</v>
      </c>
      <c r="BO129" s="2">
        <v>2</v>
      </c>
      <c r="BP129" s="2">
        <v>1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1</v>
      </c>
      <c r="CA129" s="2">
        <v>1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1</v>
      </c>
      <c r="DK129" s="2">
        <v>2</v>
      </c>
      <c r="DL129" s="2">
        <v>1</v>
      </c>
      <c r="DM129" s="2">
        <v>1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</row>
    <row r="130" spans="1:123">
      <c r="A130" s="2" t="s">
        <v>13</v>
      </c>
      <c r="B130" s="2" t="s">
        <v>315</v>
      </c>
      <c r="C130" s="2">
        <v>406</v>
      </c>
      <c r="D130" s="2">
        <v>18</v>
      </c>
      <c r="E130" s="2">
        <v>6.77</v>
      </c>
      <c r="F130" s="2">
        <v>22.56</v>
      </c>
      <c r="G130" s="2" t="s">
        <v>303</v>
      </c>
      <c r="H130">
        <f>IF(AND(OR(لوحة_القيادة!$C$4="الكل", A130=لوحة_القيادة!$C$4), IF(لوحة_القيادة!$C$5="الكل", TRUE, INDEX($V130:$AG130, 1, VALUE(لوحة_القيادة!$C$5))&gt;0)), 1, 0)</f>
        <v>0</v>
      </c>
      <c r="I130">
        <f>IF(H130=1, SUM($H$2:H130), "")</f>
        <v>0</v>
      </c>
      <c r="J130" s="2">
        <v>150</v>
      </c>
      <c r="K130" s="2">
        <v>82</v>
      </c>
      <c r="L130" s="2">
        <v>52</v>
      </c>
      <c r="M130" s="2">
        <v>122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5</v>
      </c>
      <c r="W130" s="2">
        <v>9</v>
      </c>
      <c r="X130" s="2">
        <v>2</v>
      </c>
      <c r="Y130" s="2">
        <v>2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4</v>
      </c>
      <c r="AH130" s="2">
        <v>2</v>
      </c>
      <c r="AI130" s="2">
        <v>5</v>
      </c>
      <c r="AJ130" s="2">
        <v>5</v>
      </c>
      <c r="AK130" s="2">
        <v>0</v>
      </c>
      <c r="AL130" s="2">
        <v>0</v>
      </c>
      <c r="AM130" s="2">
        <v>2</v>
      </c>
      <c r="AN130" s="2">
        <v>2</v>
      </c>
      <c r="AO130" s="2">
        <v>1</v>
      </c>
      <c r="AP130" s="2">
        <v>1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2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1</v>
      </c>
      <c r="BM130" s="2">
        <v>3</v>
      </c>
      <c r="BN130" s="2">
        <v>0</v>
      </c>
      <c r="BO130" s="2">
        <v>1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1</v>
      </c>
      <c r="BY130" s="2">
        <v>2</v>
      </c>
      <c r="BZ130" s="2">
        <v>1</v>
      </c>
      <c r="CA130" s="2">
        <v>1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1</v>
      </c>
      <c r="DI130" s="2">
        <v>1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</row>
    <row r="131" spans="1:123">
      <c r="A131" s="2" t="s">
        <v>10</v>
      </c>
      <c r="B131" s="2" t="s">
        <v>316</v>
      </c>
      <c r="C131" s="2">
        <v>403</v>
      </c>
      <c r="D131" s="2">
        <v>66</v>
      </c>
      <c r="E131" s="2">
        <v>6.72</v>
      </c>
      <c r="F131" s="2">
        <v>6.11</v>
      </c>
      <c r="G131" s="2" t="s">
        <v>160</v>
      </c>
      <c r="H131">
        <f>IF(AND(OR(لوحة_القيادة!$C$4="الكل", A131=لوحة_القيادة!$C$4), IF(لوحة_القيادة!$C$5="الكل", TRUE, INDEX($V131:$AG131, 1, VALUE(لوحة_القيادة!$C$5))&gt;0)), 1, 0)</f>
        <v>0</v>
      </c>
      <c r="I131">
        <f>IF(H131=1, SUM($H$2:H131), "")</f>
        <v>0</v>
      </c>
      <c r="J131" s="2">
        <v>73</v>
      </c>
      <c r="K131" s="2">
        <v>64</v>
      </c>
      <c r="L131" s="2">
        <v>107</v>
      </c>
      <c r="M131" s="2">
        <v>90</v>
      </c>
      <c r="N131" s="2">
        <v>40</v>
      </c>
      <c r="O131" s="2">
        <v>7</v>
      </c>
      <c r="P131" s="2">
        <v>22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13</v>
      </c>
      <c r="W131" s="2">
        <v>12</v>
      </c>
      <c r="X131" s="2">
        <v>13</v>
      </c>
      <c r="Y131" s="2">
        <v>14</v>
      </c>
      <c r="Z131" s="2">
        <v>6</v>
      </c>
      <c r="AA131" s="2">
        <v>3</v>
      </c>
      <c r="AB131" s="2">
        <v>5</v>
      </c>
      <c r="AC131" s="2">
        <v>0</v>
      </c>
      <c r="AD131" s="2">
        <v>0</v>
      </c>
      <c r="AE131" s="2">
        <v>0</v>
      </c>
      <c r="AF131" s="2">
        <v>0</v>
      </c>
      <c r="AG131" s="2">
        <v>11</v>
      </c>
      <c r="AH131" s="2">
        <v>16</v>
      </c>
      <c r="AI131" s="2">
        <v>16</v>
      </c>
      <c r="AJ131" s="2">
        <v>15</v>
      </c>
      <c r="AK131" s="2">
        <v>0</v>
      </c>
      <c r="AL131" s="2">
        <v>0</v>
      </c>
      <c r="AM131" s="2">
        <v>8</v>
      </c>
      <c r="AN131" s="2">
        <v>2</v>
      </c>
      <c r="AO131" s="2">
        <v>2</v>
      </c>
      <c r="AP131" s="2">
        <v>2</v>
      </c>
      <c r="AQ131" s="2">
        <v>2</v>
      </c>
      <c r="AR131" s="2">
        <v>2</v>
      </c>
      <c r="AS131" s="2">
        <v>1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3</v>
      </c>
      <c r="BA131" s="2">
        <v>3</v>
      </c>
      <c r="BB131" s="2">
        <v>4</v>
      </c>
      <c r="BC131" s="2">
        <v>3</v>
      </c>
      <c r="BD131" s="2">
        <v>2</v>
      </c>
      <c r="BE131" s="2">
        <v>0</v>
      </c>
      <c r="BF131" s="2">
        <v>1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3</v>
      </c>
      <c r="BM131" s="2">
        <v>3</v>
      </c>
      <c r="BN131" s="2">
        <v>3</v>
      </c>
      <c r="BO131" s="2">
        <v>4</v>
      </c>
      <c r="BP131" s="2">
        <v>0</v>
      </c>
      <c r="BQ131" s="2">
        <v>2</v>
      </c>
      <c r="BR131" s="2">
        <v>1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3</v>
      </c>
      <c r="BY131" s="2">
        <v>3</v>
      </c>
      <c r="BZ131" s="2">
        <v>2</v>
      </c>
      <c r="CA131" s="2">
        <v>4</v>
      </c>
      <c r="CB131" s="2">
        <v>1</v>
      </c>
      <c r="CC131" s="2">
        <v>0</v>
      </c>
      <c r="CD131" s="2">
        <v>2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2</v>
      </c>
      <c r="DI131" s="2">
        <v>1</v>
      </c>
      <c r="DJ131" s="2">
        <v>2</v>
      </c>
      <c r="DK131" s="2">
        <v>1</v>
      </c>
      <c r="DL131" s="2">
        <v>1</v>
      </c>
      <c r="DM131" s="2">
        <v>0</v>
      </c>
      <c r="DN131" s="2">
        <v>1</v>
      </c>
      <c r="DO131" s="2">
        <v>0</v>
      </c>
      <c r="DP131" s="2">
        <v>0</v>
      </c>
      <c r="DQ131" s="2">
        <v>0</v>
      </c>
      <c r="DR131" s="2">
        <v>0</v>
      </c>
      <c r="DS131" s="2">
        <v>0</v>
      </c>
    </row>
    <row r="132" spans="1:123">
      <c r="A132" s="2" t="s">
        <v>16</v>
      </c>
      <c r="B132" s="2" t="s">
        <v>317</v>
      </c>
      <c r="C132" s="2">
        <v>396</v>
      </c>
      <c r="D132" s="2">
        <v>37</v>
      </c>
      <c r="E132" s="2">
        <v>6.6</v>
      </c>
      <c r="F132" s="2">
        <v>10.7</v>
      </c>
      <c r="G132" s="2" t="s">
        <v>160</v>
      </c>
      <c r="H132">
        <f>IF(AND(OR(لوحة_القيادة!$C$4="الكل", A132=لوحة_القيادة!$C$4), IF(لوحة_القيادة!$C$5="الكل", TRUE, INDEX($V132:$AG132, 1, VALUE(لوحة_القيادة!$C$5))&gt;0)), 1, 0)</f>
        <v>0</v>
      </c>
      <c r="I132">
        <f>IF(H132=1, SUM($H$2:H132), "")</f>
        <v>0</v>
      </c>
      <c r="J132" s="2">
        <v>50</v>
      </c>
      <c r="K132" s="2">
        <v>136</v>
      </c>
      <c r="L132" s="2">
        <v>80</v>
      </c>
      <c r="M132" s="2">
        <v>76</v>
      </c>
      <c r="N132" s="2">
        <v>30</v>
      </c>
      <c r="O132" s="2">
        <v>12</v>
      </c>
      <c r="P132" s="2">
        <v>12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6</v>
      </c>
      <c r="W132" s="2">
        <v>12</v>
      </c>
      <c r="X132" s="2">
        <v>7</v>
      </c>
      <c r="Y132" s="2">
        <v>7</v>
      </c>
      <c r="Z132" s="2">
        <v>3</v>
      </c>
      <c r="AA132" s="2">
        <v>1</v>
      </c>
      <c r="AB132" s="2">
        <v>1</v>
      </c>
      <c r="AC132" s="2">
        <v>0</v>
      </c>
      <c r="AD132" s="2">
        <v>0</v>
      </c>
      <c r="AE132" s="2">
        <v>0</v>
      </c>
      <c r="AF132" s="2">
        <v>0</v>
      </c>
      <c r="AG132" s="2">
        <v>8</v>
      </c>
      <c r="AH132" s="2">
        <v>12</v>
      </c>
      <c r="AI132" s="2">
        <v>10</v>
      </c>
      <c r="AJ132" s="2">
        <v>6</v>
      </c>
      <c r="AK132" s="2">
        <v>0</v>
      </c>
      <c r="AL132" s="2">
        <v>0</v>
      </c>
      <c r="AM132" s="2">
        <v>1</v>
      </c>
      <c r="AN132" s="2">
        <v>2</v>
      </c>
      <c r="AO132" s="2">
        <v>2</v>
      </c>
      <c r="AP132" s="2">
        <v>0</v>
      </c>
      <c r="AQ132" s="2">
        <v>1</v>
      </c>
      <c r="AR132" s="2">
        <v>3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2</v>
      </c>
      <c r="BA132" s="2">
        <v>4</v>
      </c>
      <c r="BB132" s="2">
        <v>3</v>
      </c>
      <c r="BC132" s="2">
        <v>2</v>
      </c>
      <c r="BD132" s="2">
        <v>0</v>
      </c>
      <c r="BE132" s="2">
        <v>1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1</v>
      </c>
      <c r="BM132" s="2">
        <v>3</v>
      </c>
      <c r="BN132" s="2">
        <v>4</v>
      </c>
      <c r="BO132" s="2">
        <v>2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1</v>
      </c>
      <c r="BY132" s="2">
        <v>2</v>
      </c>
      <c r="BZ132" s="2">
        <v>0</v>
      </c>
      <c r="CA132" s="2">
        <v>2</v>
      </c>
      <c r="CB132" s="2">
        <v>0</v>
      </c>
      <c r="CC132" s="2">
        <v>0</v>
      </c>
      <c r="CD132" s="2">
        <v>1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I132" s="2">
        <v>1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0</v>
      </c>
      <c r="DP132" s="2">
        <v>0</v>
      </c>
      <c r="DQ132" s="2">
        <v>0</v>
      </c>
      <c r="DR132" s="2">
        <v>0</v>
      </c>
      <c r="DS132" s="2">
        <v>0</v>
      </c>
    </row>
    <row r="133" spans="1:123">
      <c r="A133" s="2" t="s">
        <v>11</v>
      </c>
      <c r="B133" s="2" t="s">
        <v>318</v>
      </c>
      <c r="C133" s="2">
        <v>392</v>
      </c>
      <c r="D133" s="2">
        <v>32</v>
      </c>
      <c r="E133" s="2">
        <v>6.53</v>
      </c>
      <c r="F133" s="2">
        <v>12.25</v>
      </c>
      <c r="G133" s="2" t="s">
        <v>170</v>
      </c>
      <c r="H133">
        <f>IF(AND(OR(لوحة_القيادة!$C$4="الكل", A133=لوحة_القيادة!$C$4), IF(لوحة_القيادة!$C$5="الكل", TRUE, INDEX($V133:$AG133, 1, VALUE(لوحة_القيادة!$C$5))&gt;0)), 1, 0)</f>
        <v>0</v>
      </c>
      <c r="I133">
        <f>IF(H133=1, SUM($H$2:H133), "")</f>
        <v>0</v>
      </c>
      <c r="J133" s="2">
        <v>22</v>
      </c>
      <c r="K133" s="2">
        <v>92</v>
      </c>
      <c r="L133" s="2">
        <v>76</v>
      </c>
      <c r="M133" s="2">
        <v>61</v>
      </c>
      <c r="N133" s="2">
        <v>120</v>
      </c>
      <c r="O133" s="2">
        <v>21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7</v>
      </c>
      <c r="W133" s="2">
        <v>8</v>
      </c>
      <c r="X133" s="2">
        <v>6</v>
      </c>
      <c r="Y133" s="2">
        <v>7</v>
      </c>
      <c r="Z133" s="2">
        <v>2</v>
      </c>
      <c r="AA133" s="2">
        <v>2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7</v>
      </c>
      <c r="AH133" s="2">
        <v>7</v>
      </c>
      <c r="AI133" s="2">
        <v>8</v>
      </c>
      <c r="AJ133" s="2">
        <v>5</v>
      </c>
      <c r="AK133" s="2">
        <v>0</v>
      </c>
      <c r="AL133" s="2">
        <v>0</v>
      </c>
      <c r="AM133" s="2">
        <v>5</v>
      </c>
      <c r="AN133" s="2">
        <v>3</v>
      </c>
      <c r="AO133" s="2">
        <v>1</v>
      </c>
      <c r="AP133" s="2">
        <v>2</v>
      </c>
      <c r="AQ133" s="2">
        <v>1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2</v>
      </c>
      <c r="BB133" s="2">
        <v>2</v>
      </c>
      <c r="BC133" s="2">
        <v>1</v>
      </c>
      <c r="BD133" s="2">
        <v>1</v>
      </c>
      <c r="BE133" s="2">
        <v>1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1</v>
      </c>
      <c r="BM133" s="2">
        <v>2</v>
      </c>
      <c r="BN133" s="2">
        <v>2</v>
      </c>
      <c r="BO133" s="2">
        <v>3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1</v>
      </c>
      <c r="BY133" s="2">
        <v>1</v>
      </c>
      <c r="BZ133" s="2">
        <v>0</v>
      </c>
      <c r="CA133" s="2">
        <v>2</v>
      </c>
      <c r="CB133" s="2">
        <v>0</v>
      </c>
      <c r="CC133" s="2">
        <v>1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2</v>
      </c>
      <c r="DI133" s="2">
        <v>2</v>
      </c>
      <c r="DJ133" s="2">
        <v>0</v>
      </c>
      <c r="DK133" s="2">
        <v>0</v>
      </c>
      <c r="DL133" s="2">
        <v>1</v>
      </c>
      <c r="DM133" s="2">
        <v>0</v>
      </c>
      <c r="DN133" s="2">
        <v>0</v>
      </c>
      <c r="DO133" s="2">
        <v>0</v>
      </c>
      <c r="DP133" s="2">
        <v>0</v>
      </c>
      <c r="DQ133" s="2">
        <v>0</v>
      </c>
      <c r="DR133" s="2">
        <v>0</v>
      </c>
      <c r="DS133" s="2">
        <v>0</v>
      </c>
    </row>
    <row r="134" spans="1:123">
      <c r="A134" s="2" t="s">
        <v>18</v>
      </c>
      <c r="B134" s="2" t="s">
        <v>319</v>
      </c>
      <c r="C134" s="2">
        <v>391</v>
      </c>
      <c r="D134" s="2">
        <v>17</v>
      </c>
      <c r="E134" s="2">
        <v>6.52</v>
      </c>
      <c r="F134" s="2">
        <v>23</v>
      </c>
      <c r="G134" s="2" t="s">
        <v>160</v>
      </c>
      <c r="H134">
        <f>IF(AND(OR(لوحة_القيادة!$C$4="الكل", A134=لوحة_القيادة!$C$4), IF(لوحة_القيادة!$C$5="الكل", TRUE, INDEX($V134:$AG134, 1, VALUE(لوحة_القيادة!$C$5))&gt;0)), 1, 0)</f>
        <v>0</v>
      </c>
      <c r="I134">
        <f>IF(H134=1, SUM($H$2:H134), "")</f>
        <v>0</v>
      </c>
      <c r="J134" s="2">
        <v>6</v>
      </c>
      <c r="K134" s="2">
        <v>15</v>
      </c>
      <c r="L134" s="2">
        <v>11</v>
      </c>
      <c r="M134" s="2">
        <v>53</v>
      </c>
      <c r="N134" s="2">
        <v>5</v>
      </c>
      <c r="O134" s="2">
        <v>196</v>
      </c>
      <c r="P134" s="2">
        <v>105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2</v>
      </c>
      <c r="W134" s="2">
        <v>2</v>
      </c>
      <c r="X134" s="2">
        <v>2</v>
      </c>
      <c r="Y134" s="2">
        <v>2</v>
      </c>
      <c r="Z134" s="2">
        <v>3</v>
      </c>
      <c r="AA134" s="2">
        <v>4</v>
      </c>
      <c r="AB134" s="2">
        <v>2</v>
      </c>
      <c r="AC134" s="2">
        <v>0</v>
      </c>
      <c r="AD134" s="2">
        <v>0</v>
      </c>
      <c r="AE134" s="2">
        <v>0</v>
      </c>
      <c r="AF134" s="2">
        <v>0</v>
      </c>
      <c r="AG134" s="2">
        <v>2</v>
      </c>
      <c r="AH134" s="2">
        <v>4</v>
      </c>
      <c r="AI134" s="2">
        <v>2</v>
      </c>
      <c r="AJ134" s="2">
        <v>4</v>
      </c>
      <c r="AK134" s="2">
        <v>0</v>
      </c>
      <c r="AL134" s="2">
        <v>0</v>
      </c>
      <c r="AM134" s="2">
        <v>5</v>
      </c>
      <c r="AN134" s="2">
        <v>0</v>
      </c>
      <c r="AO134" s="2">
        <v>0</v>
      </c>
      <c r="AP134" s="2">
        <v>1</v>
      </c>
      <c r="AQ134" s="2">
        <v>0</v>
      </c>
      <c r="AR134" s="2">
        <v>1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2</v>
      </c>
      <c r="BE134" s="2">
        <v>2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1</v>
      </c>
      <c r="BM134" s="2">
        <v>0</v>
      </c>
      <c r="BN134" s="2">
        <v>0</v>
      </c>
      <c r="BO134" s="2">
        <v>1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1</v>
      </c>
      <c r="BZ134" s="2">
        <v>0</v>
      </c>
      <c r="CA134" s="2">
        <v>1</v>
      </c>
      <c r="CB134" s="2">
        <v>0</v>
      </c>
      <c r="CC134" s="2">
        <v>1</v>
      </c>
      <c r="CD134" s="2">
        <v>1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1</v>
      </c>
      <c r="DI134" s="2">
        <v>1</v>
      </c>
      <c r="DJ134" s="2">
        <v>1</v>
      </c>
      <c r="DK134" s="2">
        <v>0</v>
      </c>
      <c r="DL134" s="2">
        <v>0</v>
      </c>
      <c r="DM134" s="2">
        <v>1</v>
      </c>
      <c r="DN134" s="2">
        <v>1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</row>
    <row r="135" spans="1:123">
      <c r="A135" s="2" t="s">
        <v>16</v>
      </c>
      <c r="B135" s="2" t="s">
        <v>320</v>
      </c>
      <c r="C135" s="2">
        <v>383</v>
      </c>
      <c r="D135" s="2">
        <v>11</v>
      </c>
      <c r="E135" s="2">
        <v>6.38</v>
      </c>
      <c r="F135" s="2">
        <v>34.82</v>
      </c>
      <c r="G135" s="2" t="s">
        <v>321</v>
      </c>
      <c r="H135">
        <f>IF(AND(OR(لوحة_القيادة!$C$4="الكل", A135=لوحة_القيادة!$C$4), IF(لوحة_القيادة!$C$5="الكل", TRUE, INDEX($V135:$AG135, 1, VALUE(لوحة_القيادة!$C$5))&gt;0)), 1, 0)</f>
        <v>0</v>
      </c>
      <c r="I135">
        <f>IF(H135=1, SUM($H$2:H135), "")</f>
        <v>0</v>
      </c>
      <c r="J135" s="2">
        <v>35</v>
      </c>
      <c r="K135" s="2">
        <v>7</v>
      </c>
      <c r="L135" s="2">
        <v>0</v>
      </c>
      <c r="M135" s="2">
        <v>0</v>
      </c>
      <c r="N135" s="2">
        <v>0</v>
      </c>
      <c r="O135" s="2">
        <v>175</v>
      </c>
      <c r="P135" s="2">
        <v>166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1</v>
      </c>
      <c r="W135" s="2">
        <v>1</v>
      </c>
      <c r="X135" s="2">
        <v>0</v>
      </c>
      <c r="Y135" s="2">
        <v>0</v>
      </c>
      <c r="Z135" s="2">
        <v>0</v>
      </c>
      <c r="AA135" s="2">
        <v>4</v>
      </c>
      <c r="AB135" s="2">
        <v>5</v>
      </c>
      <c r="AC135" s="2">
        <v>0</v>
      </c>
      <c r="AD135" s="2">
        <v>0</v>
      </c>
      <c r="AE135" s="2">
        <v>0</v>
      </c>
      <c r="AF135" s="2">
        <v>0</v>
      </c>
      <c r="AG135" s="2">
        <v>1</v>
      </c>
      <c r="AH135" s="2">
        <v>3</v>
      </c>
      <c r="AI135" s="2">
        <v>0</v>
      </c>
      <c r="AJ135" s="2">
        <v>4</v>
      </c>
      <c r="AK135" s="2">
        <v>0</v>
      </c>
      <c r="AL135" s="2">
        <v>0</v>
      </c>
      <c r="AM135" s="2">
        <v>3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1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2</v>
      </c>
      <c r="BF135" s="2">
        <v>1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1</v>
      </c>
      <c r="BY135" s="2">
        <v>0</v>
      </c>
      <c r="BZ135" s="2">
        <v>0</v>
      </c>
      <c r="CA135" s="2">
        <v>0</v>
      </c>
      <c r="CB135" s="2">
        <v>0</v>
      </c>
      <c r="CC135" s="2">
        <v>1</v>
      </c>
      <c r="CD135" s="2">
        <v>2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I135" s="2">
        <v>1</v>
      </c>
      <c r="DJ135" s="2">
        <v>0</v>
      </c>
      <c r="DK135" s="2">
        <v>0</v>
      </c>
      <c r="DL135" s="2">
        <v>0</v>
      </c>
      <c r="DM135" s="2">
        <v>1</v>
      </c>
      <c r="DN135" s="2">
        <v>1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</row>
    <row r="136" spans="1:123">
      <c r="A136" s="2" t="s">
        <v>11</v>
      </c>
      <c r="B136" s="2" t="s">
        <v>322</v>
      </c>
      <c r="C136" s="2">
        <v>379</v>
      </c>
      <c r="D136" s="2">
        <v>16</v>
      </c>
      <c r="E136" s="2">
        <v>6.32</v>
      </c>
      <c r="F136" s="2">
        <v>23.69</v>
      </c>
      <c r="G136" s="2" t="s">
        <v>170</v>
      </c>
      <c r="H136">
        <f>IF(AND(OR(لوحة_القيادة!$C$4="الكل", A136=لوحة_القيادة!$C$4), IF(لوحة_القيادة!$C$5="الكل", TRUE, INDEX($V136:$AG136, 1, VALUE(لوحة_القيادة!$C$5))&gt;0)), 1, 0)</f>
        <v>0</v>
      </c>
      <c r="I136">
        <f>IF(H136=1, SUM($H$2:H136), "")</f>
        <v>0</v>
      </c>
      <c r="J136" s="2">
        <v>210</v>
      </c>
      <c r="K136" s="2">
        <v>4</v>
      </c>
      <c r="L136" s="2">
        <v>149</v>
      </c>
      <c r="M136" s="2">
        <v>10</v>
      </c>
      <c r="N136" s="2">
        <v>2</v>
      </c>
      <c r="O136" s="2">
        <v>4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2</v>
      </c>
      <c r="W136" s="2">
        <v>2</v>
      </c>
      <c r="X136" s="2">
        <v>6</v>
      </c>
      <c r="Y136" s="2">
        <v>3</v>
      </c>
      <c r="Z136" s="2">
        <v>1</v>
      </c>
      <c r="AA136" s="2">
        <v>2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3</v>
      </c>
      <c r="AH136" s="2">
        <v>5</v>
      </c>
      <c r="AI136" s="2">
        <v>4</v>
      </c>
      <c r="AJ136" s="2">
        <v>2</v>
      </c>
      <c r="AK136" s="2">
        <v>0</v>
      </c>
      <c r="AL136" s="2">
        <v>0</v>
      </c>
      <c r="AM136" s="2">
        <v>2</v>
      </c>
      <c r="AN136" s="2">
        <v>0</v>
      </c>
      <c r="AO136" s="2">
        <v>1</v>
      </c>
      <c r="AP136" s="2">
        <v>1</v>
      </c>
      <c r="AQ136" s="2">
        <v>1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1</v>
      </c>
      <c r="BA136" s="2">
        <v>1</v>
      </c>
      <c r="BB136" s="2">
        <v>1</v>
      </c>
      <c r="BC136" s="2">
        <v>1</v>
      </c>
      <c r="BD136" s="2">
        <v>1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3</v>
      </c>
      <c r="BO136" s="2">
        <v>0</v>
      </c>
      <c r="BP136" s="2">
        <v>0</v>
      </c>
      <c r="BQ136" s="2">
        <v>1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1</v>
      </c>
      <c r="CA136" s="2">
        <v>0</v>
      </c>
      <c r="CB136" s="2">
        <v>0</v>
      </c>
      <c r="CC136" s="2">
        <v>1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  <c r="DE136" s="2">
        <v>0</v>
      </c>
      <c r="DF136" s="2">
        <v>0</v>
      </c>
      <c r="DG136" s="2">
        <v>0</v>
      </c>
      <c r="DH136" s="2">
        <v>1</v>
      </c>
      <c r="DI136" s="2">
        <v>0</v>
      </c>
      <c r="DJ136" s="2">
        <v>0</v>
      </c>
      <c r="DK136" s="2">
        <v>1</v>
      </c>
      <c r="DL136" s="2">
        <v>0</v>
      </c>
      <c r="DM136" s="2">
        <v>0</v>
      </c>
      <c r="DN136" s="2">
        <v>0</v>
      </c>
      <c r="DO136" s="2">
        <v>0</v>
      </c>
      <c r="DP136" s="2">
        <v>0</v>
      </c>
      <c r="DQ136" s="2">
        <v>0</v>
      </c>
      <c r="DR136" s="2">
        <v>0</v>
      </c>
      <c r="DS136" s="2">
        <v>0</v>
      </c>
    </row>
    <row r="137" spans="1:123">
      <c r="A137" s="2" t="s">
        <v>7</v>
      </c>
      <c r="B137" s="2" t="s">
        <v>323</v>
      </c>
      <c r="C137" s="2">
        <v>376</v>
      </c>
      <c r="D137" s="2">
        <v>57</v>
      </c>
      <c r="E137" s="2">
        <v>6.27</v>
      </c>
      <c r="F137" s="2">
        <v>6.6</v>
      </c>
      <c r="G137" s="2" t="s">
        <v>160</v>
      </c>
      <c r="H137">
        <f>IF(AND(OR(لوحة_القيادة!$C$4="الكل", A137=لوحة_القيادة!$C$4), IF(لوحة_القيادة!$C$5="الكل", TRUE, INDEX($V137:$AG137, 1, VALUE(لوحة_القيادة!$C$5))&gt;0)), 1, 0)</f>
        <v>0</v>
      </c>
      <c r="I137">
        <f>IF(H137=1, SUM($H$2:H137), "")</f>
        <v>0</v>
      </c>
      <c r="J137" s="2">
        <v>93</v>
      </c>
      <c r="K137" s="2">
        <v>130</v>
      </c>
      <c r="L137" s="2">
        <v>58</v>
      </c>
      <c r="M137" s="2">
        <v>50</v>
      </c>
      <c r="N137" s="2">
        <v>31</v>
      </c>
      <c r="O137" s="2">
        <v>12</v>
      </c>
      <c r="P137" s="2">
        <v>2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11</v>
      </c>
      <c r="W137" s="2">
        <v>16</v>
      </c>
      <c r="X137" s="2">
        <v>9</v>
      </c>
      <c r="Y137" s="2">
        <v>10</v>
      </c>
      <c r="Z137" s="2">
        <v>7</v>
      </c>
      <c r="AA137" s="2">
        <v>3</v>
      </c>
      <c r="AB137" s="2">
        <v>1</v>
      </c>
      <c r="AC137" s="2">
        <v>0</v>
      </c>
      <c r="AD137" s="2">
        <v>0</v>
      </c>
      <c r="AE137" s="2">
        <v>0</v>
      </c>
      <c r="AF137" s="2">
        <v>0</v>
      </c>
      <c r="AG137" s="2">
        <v>15</v>
      </c>
      <c r="AH137" s="2">
        <v>15</v>
      </c>
      <c r="AI137" s="2">
        <v>11</v>
      </c>
      <c r="AJ137" s="2">
        <v>12</v>
      </c>
      <c r="AK137" s="2">
        <v>0</v>
      </c>
      <c r="AL137" s="2">
        <v>0</v>
      </c>
      <c r="AM137" s="2">
        <v>4</v>
      </c>
      <c r="AN137" s="2">
        <v>4</v>
      </c>
      <c r="AO137" s="2">
        <v>4</v>
      </c>
      <c r="AP137" s="2">
        <v>0</v>
      </c>
      <c r="AQ137" s="2">
        <v>3</v>
      </c>
      <c r="AR137" s="2">
        <v>2</v>
      </c>
      <c r="AS137" s="2">
        <v>1</v>
      </c>
      <c r="AT137" s="2">
        <v>1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4</v>
      </c>
      <c r="BA137" s="2">
        <v>4</v>
      </c>
      <c r="BB137" s="2">
        <v>1</v>
      </c>
      <c r="BC137" s="2">
        <v>3</v>
      </c>
      <c r="BD137" s="2">
        <v>2</v>
      </c>
      <c r="BE137" s="2">
        <v>1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1</v>
      </c>
      <c r="BM137" s="2">
        <v>3</v>
      </c>
      <c r="BN137" s="2">
        <v>3</v>
      </c>
      <c r="BO137" s="2">
        <v>2</v>
      </c>
      <c r="BP137" s="2">
        <v>1</v>
      </c>
      <c r="BQ137" s="2">
        <v>1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2</v>
      </c>
      <c r="BY137" s="2">
        <v>4</v>
      </c>
      <c r="BZ137" s="2">
        <v>3</v>
      </c>
      <c r="CA137" s="2">
        <v>2</v>
      </c>
      <c r="CB137" s="2">
        <v>1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I137" s="2">
        <v>1</v>
      </c>
      <c r="DJ137" s="2">
        <v>2</v>
      </c>
      <c r="DK137" s="2">
        <v>0</v>
      </c>
      <c r="DL137" s="2">
        <v>1</v>
      </c>
      <c r="DM137" s="2">
        <v>0</v>
      </c>
      <c r="DN137" s="2">
        <v>0</v>
      </c>
      <c r="DO137" s="2">
        <v>0</v>
      </c>
      <c r="DP137" s="2">
        <v>0</v>
      </c>
      <c r="DQ137" s="2">
        <v>0</v>
      </c>
      <c r="DR137" s="2">
        <v>0</v>
      </c>
      <c r="DS137" s="2">
        <v>0</v>
      </c>
    </row>
    <row r="138" spans="1:123">
      <c r="A138" s="2" t="s">
        <v>16</v>
      </c>
      <c r="B138" s="2" t="s">
        <v>324</v>
      </c>
      <c r="C138" s="2">
        <v>371</v>
      </c>
      <c r="D138" s="2">
        <v>23</v>
      </c>
      <c r="E138" s="2">
        <v>6.18</v>
      </c>
      <c r="F138" s="2">
        <v>16.13</v>
      </c>
      <c r="G138" s="2" t="s">
        <v>189</v>
      </c>
      <c r="H138">
        <f>IF(AND(OR(لوحة_القيادة!$C$4="الكل", A138=لوحة_القيادة!$C$4), IF(لوحة_القيادة!$C$5="الكل", TRUE, INDEX($V138:$AG138, 1, VALUE(لوحة_القيادة!$C$5))&gt;0)), 1, 0)</f>
        <v>0</v>
      </c>
      <c r="I138">
        <f>IF(H138=1, SUM($H$2:H138), "")</f>
        <v>0</v>
      </c>
      <c r="J138" s="2">
        <v>38</v>
      </c>
      <c r="K138" s="2">
        <v>48</v>
      </c>
      <c r="L138" s="2">
        <v>133</v>
      </c>
      <c r="M138" s="2">
        <v>19</v>
      </c>
      <c r="N138" s="2">
        <v>0</v>
      </c>
      <c r="O138" s="2">
        <v>24</v>
      </c>
      <c r="P138" s="2">
        <v>109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2</v>
      </c>
      <c r="W138" s="2">
        <v>6</v>
      </c>
      <c r="X138" s="2">
        <v>6</v>
      </c>
      <c r="Y138" s="2">
        <v>3</v>
      </c>
      <c r="Z138" s="2">
        <v>0</v>
      </c>
      <c r="AA138" s="2">
        <v>3</v>
      </c>
      <c r="AB138" s="2">
        <v>3</v>
      </c>
      <c r="AC138" s="2">
        <v>0</v>
      </c>
      <c r="AD138" s="2">
        <v>0</v>
      </c>
      <c r="AE138" s="2">
        <v>0</v>
      </c>
      <c r="AF138" s="2">
        <v>0</v>
      </c>
      <c r="AG138" s="2">
        <v>3</v>
      </c>
      <c r="AH138" s="2">
        <v>5</v>
      </c>
      <c r="AI138" s="2">
        <v>2</v>
      </c>
      <c r="AJ138" s="2">
        <v>4</v>
      </c>
      <c r="AK138" s="2">
        <v>0</v>
      </c>
      <c r="AL138" s="2">
        <v>0</v>
      </c>
      <c r="AM138" s="2">
        <v>9</v>
      </c>
      <c r="AN138" s="2">
        <v>0</v>
      </c>
      <c r="AO138" s="2">
        <v>2</v>
      </c>
      <c r="AP138" s="2">
        <v>0</v>
      </c>
      <c r="AQ138" s="2">
        <v>0</v>
      </c>
      <c r="AR138" s="2">
        <v>0</v>
      </c>
      <c r="AS138" s="2">
        <v>0</v>
      </c>
      <c r="AT138" s="2">
        <v>1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1</v>
      </c>
      <c r="BB138" s="2">
        <v>3</v>
      </c>
      <c r="BC138" s="2">
        <v>1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1</v>
      </c>
      <c r="BO138" s="2">
        <v>1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1</v>
      </c>
      <c r="BZ138" s="2">
        <v>1</v>
      </c>
      <c r="CA138" s="2">
        <v>0</v>
      </c>
      <c r="CB138" s="2">
        <v>0</v>
      </c>
      <c r="CC138" s="2">
        <v>0</v>
      </c>
      <c r="CD138" s="2">
        <v>2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  <c r="DE138" s="2">
        <v>0</v>
      </c>
      <c r="DF138" s="2">
        <v>0</v>
      </c>
      <c r="DG138" s="2">
        <v>0</v>
      </c>
      <c r="DH138" s="2">
        <v>2</v>
      </c>
      <c r="DI138" s="2">
        <v>2</v>
      </c>
      <c r="DJ138" s="2">
        <v>1</v>
      </c>
      <c r="DK138" s="2">
        <v>1</v>
      </c>
      <c r="DL138" s="2">
        <v>0</v>
      </c>
      <c r="DM138" s="2">
        <v>3</v>
      </c>
      <c r="DN138" s="2">
        <v>0</v>
      </c>
      <c r="DO138" s="2">
        <v>0</v>
      </c>
      <c r="DP138" s="2">
        <v>0</v>
      </c>
      <c r="DQ138" s="2">
        <v>0</v>
      </c>
      <c r="DR138" s="2">
        <v>0</v>
      </c>
      <c r="DS138" s="2">
        <v>0</v>
      </c>
    </row>
    <row r="139" spans="1:123">
      <c r="A139" s="2" t="s">
        <v>16</v>
      </c>
      <c r="B139" s="2" t="s">
        <v>325</v>
      </c>
      <c r="C139" s="2">
        <v>370</v>
      </c>
      <c r="D139" s="2">
        <v>15</v>
      </c>
      <c r="E139" s="2">
        <v>6.17</v>
      </c>
      <c r="F139" s="2">
        <v>24.67</v>
      </c>
      <c r="G139" s="2" t="s">
        <v>240</v>
      </c>
      <c r="H139">
        <f>IF(AND(OR(لوحة_القيادة!$C$4="الكل", A139=لوحة_القيادة!$C$4), IF(لوحة_القيادة!$C$5="الكل", TRUE, INDEX($V139:$AG139, 1, VALUE(لوحة_القيادة!$C$5))&gt;0)), 1, 0)</f>
        <v>0</v>
      </c>
      <c r="I139">
        <f>IF(H139=1, SUM($H$2:H139), "")</f>
        <v>0</v>
      </c>
      <c r="J139" s="2">
        <v>18</v>
      </c>
      <c r="K139" s="2">
        <v>0</v>
      </c>
      <c r="L139" s="2">
        <v>33</v>
      </c>
      <c r="M139" s="2">
        <v>67</v>
      </c>
      <c r="N139" s="2">
        <v>225</v>
      </c>
      <c r="O139" s="2">
        <v>22</v>
      </c>
      <c r="P139" s="2">
        <v>5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2</v>
      </c>
      <c r="W139" s="2">
        <v>0</v>
      </c>
      <c r="X139" s="2">
        <v>3</v>
      </c>
      <c r="Y139" s="2">
        <v>5</v>
      </c>
      <c r="Z139" s="2">
        <v>3</v>
      </c>
      <c r="AA139" s="2">
        <v>1</v>
      </c>
      <c r="AB139" s="2">
        <v>1</v>
      </c>
      <c r="AC139" s="2">
        <v>0</v>
      </c>
      <c r="AD139" s="2">
        <v>0</v>
      </c>
      <c r="AE139" s="2">
        <v>0</v>
      </c>
      <c r="AF139" s="2">
        <v>0</v>
      </c>
      <c r="AG139" s="2">
        <v>2</v>
      </c>
      <c r="AH139" s="2">
        <v>6</v>
      </c>
      <c r="AI139" s="2">
        <v>0</v>
      </c>
      <c r="AJ139" s="2">
        <v>7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1</v>
      </c>
      <c r="AS139" s="2">
        <v>1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1</v>
      </c>
      <c r="BA139" s="2">
        <v>0</v>
      </c>
      <c r="BB139" s="2">
        <v>1</v>
      </c>
      <c r="BC139" s="2">
        <v>2</v>
      </c>
      <c r="BD139" s="2">
        <v>2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1</v>
      </c>
      <c r="BY139" s="2">
        <v>0</v>
      </c>
      <c r="BZ139" s="2">
        <v>2</v>
      </c>
      <c r="CA139" s="2">
        <v>3</v>
      </c>
      <c r="CB139" s="2">
        <v>0</v>
      </c>
      <c r="CC139" s="2">
        <v>0</v>
      </c>
      <c r="CD139" s="2">
        <v>1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  <c r="DE139" s="2">
        <v>0</v>
      </c>
      <c r="DF139" s="2">
        <v>0</v>
      </c>
      <c r="DG139" s="2">
        <v>0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2">
        <v>0</v>
      </c>
      <c r="DO139" s="2">
        <v>0</v>
      </c>
      <c r="DP139" s="2">
        <v>0</v>
      </c>
      <c r="DQ139" s="2">
        <v>0</v>
      </c>
      <c r="DR139" s="2">
        <v>0</v>
      </c>
      <c r="DS139" s="2">
        <v>0</v>
      </c>
    </row>
    <row r="140" spans="1:123">
      <c r="A140" s="2" t="s">
        <v>1</v>
      </c>
      <c r="B140" s="2" t="s">
        <v>326</v>
      </c>
      <c r="C140" s="2">
        <v>365</v>
      </c>
      <c r="D140" s="2">
        <v>41</v>
      </c>
      <c r="E140" s="2">
        <v>6.08</v>
      </c>
      <c r="F140" s="2">
        <v>8.9</v>
      </c>
      <c r="G140" s="2" t="s">
        <v>170</v>
      </c>
      <c r="H140">
        <f>IF(AND(OR(لوحة_القيادة!$C$4="الكل", A140=لوحة_القيادة!$C$4), IF(لوحة_القيادة!$C$5="الكل", TRUE, INDEX($V140:$AG140, 1, VALUE(لوحة_القيادة!$C$5))&gt;0)), 1, 0)</f>
        <v>0</v>
      </c>
      <c r="I140">
        <f>IF(H140=1, SUM($H$2:H140), "")</f>
        <v>0</v>
      </c>
      <c r="J140" s="2">
        <v>209</v>
      </c>
      <c r="K140" s="2">
        <v>61</v>
      </c>
      <c r="L140" s="2">
        <v>8</v>
      </c>
      <c r="M140" s="2">
        <v>31</v>
      </c>
      <c r="N140" s="2">
        <v>51</v>
      </c>
      <c r="O140" s="2">
        <v>5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15</v>
      </c>
      <c r="W140" s="2">
        <v>8</v>
      </c>
      <c r="X140" s="2">
        <v>3</v>
      </c>
      <c r="Y140" s="2">
        <v>8</v>
      </c>
      <c r="Z140" s="2">
        <v>6</v>
      </c>
      <c r="AA140" s="2">
        <v>1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7</v>
      </c>
      <c r="AH140" s="2">
        <v>11</v>
      </c>
      <c r="AI140" s="2">
        <v>12</v>
      </c>
      <c r="AJ140" s="2">
        <v>7</v>
      </c>
      <c r="AK140" s="2">
        <v>0</v>
      </c>
      <c r="AL140" s="2">
        <v>0</v>
      </c>
      <c r="AM140" s="2">
        <v>4</v>
      </c>
      <c r="AN140" s="2">
        <v>2</v>
      </c>
      <c r="AO140" s="2">
        <v>2</v>
      </c>
      <c r="AP140" s="2">
        <v>1</v>
      </c>
      <c r="AQ140" s="2">
        <v>0</v>
      </c>
      <c r="AR140" s="2">
        <v>1</v>
      </c>
      <c r="AS140" s="2">
        <v>1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4</v>
      </c>
      <c r="BA140" s="2">
        <v>2</v>
      </c>
      <c r="BB140" s="2">
        <v>1</v>
      </c>
      <c r="BC140" s="2">
        <v>2</v>
      </c>
      <c r="BD140" s="2">
        <v>2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4</v>
      </c>
      <c r="BM140" s="2">
        <v>2</v>
      </c>
      <c r="BN140" s="2">
        <v>1</v>
      </c>
      <c r="BO140" s="2">
        <v>3</v>
      </c>
      <c r="BP140" s="2">
        <v>2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3</v>
      </c>
      <c r="BY140" s="2">
        <v>2</v>
      </c>
      <c r="BZ140" s="2">
        <v>0</v>
      </c>
      <c r="CA140" s="2">
        <v>2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  <c r="DE140" s="2">
        <v>0</v>
      </c>
      <c r="DF140" s="2">
        <v>0</v>
      </c>
      <c r="DG140" s="2">
        <v>0</v>
      </c>
      <c r="DH140" s="2">
        <v>2</v>
      </c>
      <c r="DI140" s="2">
        <v>0</v>
      </c>
      <c r="DJ140" s="2">
        <v>0</v>
      </c>
      <c r="DK140" s="2">
        <v>1</v>
      </c>
      <c r="DL140" s="2">
        <v>1</v>
      </c>
      <c r="DM140" s="2">
        <v>0</v>
      </c>
      <c r="DN140" s="2">
        <v>0</v>
      </c>
      <c r="DO140" s="2">
        <v>0</v>
      </c>
      <c r="DP140" s="2">
        <v>0</v>
      </c>
      <c r="DQ140" s="2">
        <v>0</v>
      </c>
      <c r="DR140" s="2">
        <v>0</v>
      </c>
      <c r="DS140" s="2">
        <v>0</v>
      </c>
    </row>
    <row r="141" spans="1:123">
      <c r="A141" s="2" t="s">
        <v>20</v>
      </c>
      <c r="B141" s="2" t="s">
        <v>327</v>
      </c>
      <c r="C141" s="2">
        <v>354</v>
      </c>
      <c r="D141" s="2">
        <v>62</v>
      </c>
      <c r="E141" s="2">
        <v>5.9</v>
      </c>
      <c r="F141" s="2">
        <v>5.71</v>
      </c>
      <c r="G141" s="2" t="s">
        <v>160</v>
      </c>
      <c r="H141">
        <f>IF(AND(OR(لوحة_القيادة!$C$4="الكل", A141=لوحة_القيادة!$C$4), IF(لوحة_القيادة!$C$5="الكل", TRUE, INDEX($V141:$AG141, 1, VALUE(لوحة_القيادة!$C$5))&gt;0)), 1, 0)</f>
        <v>0</v>
      </c>
      <c r="I141">
        <f>IF(H141=1, SUM($H$2:H141), "")</f>
        <v>0</v>
      </c>
      <c r="J141" s="2">
        <v>30</v>
      </c>
      <c r="K141" s="2">
        <v>76</v>
      </c>
      <c r="L141" s="2">
        <v>40</v>
      </c>
      <c r="M141" s="2">
        <v>54</v>
      </c>
      <c r="N141" s="2">
        <v>56</v>
      </c>
      <c r="O141" s="2">
        <v>65</v>
      </c>
      <c r="P141" s="2">
        <v>33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8</v>
      </c>
      <c r="W141" s="2">
        <v>13</v>
      </c>
      <c r="X141" s="2">
        <v>5</v>
      </c>
      <c r="Y141" s="2">
        <v>10</v>
      </c>
      <c r="Z141" s="2">
        <v>13</v>
      </c>
      <c r="AA141" s="2">
        <v>10</v>
      </c>
      <c r="AB141" s="2">
        <v>3</v>
      </c>
      <c r="AC141" s="2">
        <v>0</v>
      </c>
      <c r="AD141" s="2">
        <v>0</v>
      </c>
      <c r="AE141" s="2">
        <v>0</v>
      </c>
      <c r="AF141" s="2">
        <v>0</v>
      </c>
      <c r="AG141" s="2">
        <v>13</v>
      </c>
      <c r="AH141" s="2">
        <v>14</v>
      </c>
      <c r="AI141" s="2">
        <v>16</v>
      </c>
      <c r="AJ141" s="2">
        <v>11</v>
      </c>
      <c r="AK141" s="2">
        <v>0</v>
      </c>
      <c r="AL141" s="2">
        <v>0</v>
      </c>
      <c r="AM141" s="2">
        <v>8</v>
      </c>
      <c r="AN141" s="2">
        <v>1</v>
      </c>
      <c r="AO141" s="2">
        <v>2</v>
      </c>
      <c r="AP141" s="2">
        <v>2</v>
      </c>
      <c r="AQ141" s="2">
        <v>2</v>
      </c>
      <c r="AR141" s="2">
        <v>3</v>
      </c>
      <c r="AS141" s="2">
        <v>3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2</v>
      </c>
      <c r="BA141" s="2">
        <v>4</v>
      </c>
      <c r="BB141" s="2">
        <v>1</v>
      </c>
      <c r="BC141" s="2">
        <v>2</v>
      </c>
      <c r="BD141" s="2">
        <v>4</v>
      </c>
      <c r="BE141" s="2">
        <v>1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3</v>
      </c>
      <c r="BM141" s="2">
        <v>2</v>
      </c>
      <c r="BN141" s="2">
        <v>2</v>
      </c>
      <c r="BO141" s="2">
        <v>3</v>
      </c>
      <c r="BP141" s="2">
        <v>2</v>
      </c>
      <c r="BQ141" s="2">
        <v>3</v>
      </c>
      <c r="BR141" s="2">
        <v>1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1</v>
      </c>
      <c r="BY141" s="2">
        <v>3</v>
      </c>
      <c r="BZ141" s="2">
        <v>0</v>
      </c>
      <c r="CA141" s="2">
        <v>2</v>
      </c>
      <c r="CB141" s="2">
        <v>3</v>
      </c>
      <c r="CC141" s="2">
        <v>1</v>
      </c>
      <c r="CD141" s="2">
        <v>1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  <c r="DE141" s="2">
        <v>0</v>
      </c>
      <c r="DF141" s="2">
        <v>0</v>
      </c>
      <c r="DG141" s="2">
        <v>0</v>
      </c>
      <c r="DH141" s="2">
        <v>1</v>
      </c>
      <c r="DI141" s="2">
        <v>2</v>
      </c>
      <c r="DJ141" s="2">
        <v>0</v>
      </c>
      <c r="DK141" s="2">
        <v>1</v>
      </c>
      <c r="DL141" s="2">
        <v>1</v>
      </c>
      <c r="DM141" s="2">
        <v>2</v>
      </c>
      <c r="DN141" s="2">
        <v>1</v>
      </c>
      <c r="DO141" s="2">
        <v>0</v>
      </c>
      <c r="DP141" s="2">
        <v>0</v>
      </c>
      <c r="DQ141" s="2">
        <v>0</v>
      </c>
      <c r="DR141" s="2">
        <v>0</v>
      </c>
      <c r="DS141" s="2">
        <v>0</v>
      </c>
    </row>
    <row r="142" spans="1:123">
      <c r="A142" s="2" t="s">
        <v>21</v>
      </c>
      <c r="B142" s="2" t="s">
        <v>328</v>
      </c>
      <c r="C142" s="2">
        <v>346</v>
      </c>
      <c r="D142" s="2">
        <v>39</v>
      </c>
      <c r="E142" s="2">
        <v>5.77</v>
      </c>
      <c r="F142" s="2">
        <v>8.869999999999999</v>
      </c>
      <c r="G142" s="2" t="s">
        <v>160</v>
      </c>
      <c r="H142">
        <f>IF(AND(OR(لوحة_القيادة!$C$4="الكل", A142=لوحة_القيادة!$C$4), IF(لوحة_القيادة!$C$5="الكل", TRUE, INDEX($V142:$AG142, 1, VALUE(لوحة_القيادة!$C$5))&gt;0)), 1, 0)</f>
        <v>0</v>
      </c>
      <c r="I142">
        <f>IF(H142=1, SUM($H$2:H142), "")</f>
        <v>0</v>
      </c>
      <c r="J142" s="2">
        <v>129</v>
      </c>
      <c r="K142" s="2">
        <v>50</v>
      </c>
      <c r="L142" s="2">
        <v>75</v>
      </c>
      <c r="M142" s="2">
        <v>19</v>
      </c>
      <c r="N142" s="2">
        <v>30</v>
      </c>
      <c r="O142" s="2">
        <v>36</v>
      </c>
      <c r="P142" s="2">
        <v>7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9</v>
      </c>
      <c r="W142" s="2">
        <v>10</v>
      </c>
      <c r="X142" s="2">
        <v>7</v>
      </c>
      <c r="Y142" s="2">
        <v>4</v>
      </c>
      <c r="Z142" s="2">
        <v>5</v>
      </c>
      <c r="AA142" s="2">
        <v>3</v>
      </c>
      <c r="AB142" s="2">
        <v>1</v>
      </c>
      <c r="AC142" s="2">
        <v>0</v>
      </c>
      <c r="AD142" s="2">
        <v>0</v>
      </c>
      <c r="AE142" s="2">
        <v>0</v>
      </c>
      <c r="AF142" s="2">
        <v>0</v>
      </c>
      <c r="AG142" s="2">
        <v>10</v>
      </c>
      <c r="AH142" s="2">
        <v>5</v>
      </c>
      <c r="AI142" s="2">
        <v>8</v>
      </c>
      <c r="AJ142" s="2">
        <v>6</v>
      </c>
      <c r="AK142" s="2">
        <v>0</v>
      </c>
      <c r="AL142" s="2">
        <v>0</v>
      </c>
      <c r="AM142" s="2">
        <v>10</v>
      </c>
      <c r="AN142" s="2">
        <v>2</v>
      </c>
      <c r="AO142" s="2">
        <v>4</v>
      </c>
      <c r="AP142" s="2">
        <v>1</v>
      </c>
      <c r="AQ142" s="2">
        <v>0</v>
      </c>
      <c r="AR142" s="2">
        <v>3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1</v>
      </c>
      <c r="BA142" s="2">
        <v>2</v>
      </c>
      <c r="BB142" s="2">
        <v>0</v>
      </c>
      <c r="BC142" s="2">
        <v>1</v>
      </c>
      <c r="BD142" s="2">
        <v>1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2</v>
      </c>
      <c r="BM142" s="2">
        <v>2</v>
      </c>
      <c r="BN142" s="2">
        <v>1</v>
      </c>
      <c r="BO142" s="2">
        <v>2</v>
      </c>
      <c r="BP142" s="2">
        <v>0</v>
      </c>
      <c r="BQ142" s="2">
        <v>1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1</v>
      </c>
      <c r="BY142" s="2">
        <v>0</v>
      </c>
      <c r="BZ142" s="2">
        <v>2</v>
      </c>
      <c r="CA142" s="2">
        <v>1</v>
      </c>
      <c r="CB142" s="2">
        <v>0</v>
      </c>
      <c r="CC142" s="2">
        <v>1</v>
      </c>
      <c r="CD142" s="2">
        <v>1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  <c r="DE142" s="2">
        <v>0</v>
      </c>
      <c r="DF142" s="2">
        <v>0</v>
      </c>
      <c r="DG142" s="2">
        <v>0</v>
      </c>
      <c r="DH142" s="2">
        <v>3</v>
      </c>
      <c r="DI142" s="2">
        <v>2</v>
      </c>
      <c r="DJ142" s="2">
        <v>3</v>
      </c>
      <c r="DK142" s="2">
        <v>0</v>
      </c>
      <c r="DL142" s="2">
        <v>1</v>
      </c>
      <c r="DM142" s="2">
        <v>1</v>
      </c>
      <c r="DN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</row>
    <row r="143" spans="1:123">
      <c r="A143" s="2" t="s">
        <v>9</v>
      </c>
      <c r="B143" s="2" t="s">
        <v>329</v>
      </c>
      <c r="C143" s="2">
        <v>342</v>
      </c>
      <c r="D143" s="2">
        <v>35</v>
      </c>
      <c r="E143" s="2">
        <v>5.7</v>
      </c>
      <c r="F143" s="2">
        <v>9.77</v>
      </c>
      <c r="G143" s="2" t="s">
        <v>160</v>
      </c>
      <c r="H143">
        <f>IF(AND(OR(لوحة_القيادة!$C$4="الكل", A143=لوحة_القيادة!$C$4), IF(لوحة_القيادة!$C$5="الكل", TRUE, INDEX($V143:$AG143, 1, VALUE(لوحة_القيادة!$C$5))&gt;0)), 1, 0)</f>
        <v>0</v>
      </c>
      <c r="I143">
        <f>IF(H143=1, SUM($H$2:H143), "")</f>
        <v>0</v>
      </c>
      <c r="J143" s="2">
        <v>62</v>
      </c>
      <c r="K143" s="2">
        <v>10</v>
      </c>
      <c r="L143" s="2">
        <v>35</v>
      </c>
      <c r="M143" s="2">
        <v>53</v>
      </c>
      <c r="N143" s="2">
        <v>99</v>
      </c>
      <c r="O143" s="2">
        <v>53</v>
      </c>
      <c r="P143" s="2">
        <v>30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4</v>
      </c>
      <c r="W143" s="2">
        <v>4</v>
      </c>
      <c r="X143" s="2">
        <v>3</v>
      </c>
      <c r="Y143" s="2">
        <v>6</v>
      </c>
      <c r="Z143" s="2">
        <v>9</v>
      </c>
      <c r="AA143" s="2">
        <v>7</v>
      </c>
      <c r="AB143" s="2">
        <v>2</v>
      </c>
      <c r="AC143" s="2">
        <v>0</v>
      </c>
      <c r="AD143" s="2">
        <v>0</v>
      </c>
      <c r="AE143" s="2">
        <v>0</v>
      </c>
      <c r="AF143" s="2">
        <v>0</v>
      </c>
      <c r="AG143" s="2">
        <v>9</v>
      </c>
      <c r="AH143" s="2">
        <v>6</v>
      </c>
      <c r="AI143" s="2">
        <v>6</v>
      </c>
      <c r="AJ143" s="2">
        <v>7</v>
      </c>
      <c r="AK143" s="2">
        <v>0</v>
      </c>
      <c r="AL143" s="2">
        <v>0</v>
      </c>
      <c r="AM143" s="2">
        <v>7</v>
      </c>
      <c r="AN143" s="2">
        <v>0</v>
      </c>
      <c r="AO143" s="2">
        <v>0</v>
      </c>
      <c r="AP143" s="2">
        <v>1</v>
      </c>
      <c r="AQ143" s="2">
        <v>2</v>
      </c>
      <c r="AR143" s="2">
        <v>2</v>
      </c>
      <c r="AS143" s="2">
        <v>3</v>
      </c>
      <c r="AT143" s="2">
        <v>1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1</v>
      </c>
      <c r="BA143" s="2">
        <v>1</v>
      </c>
      <c r="BB143" s="2">
        <v>0</v>
      </c>
      <c r="BC143" s="2">
        <v>1</v>
      </c>
      <c r="BD143" s="2">
        <v>2</v>
      </c>
      <c r="BE143" s="2">
        <v>1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1</v>
      </c>
      <c r="BM143" s="2">
        <v>2</v>
      </c>
      <c r="BN143" s="2">
        <v>0</v>
      </c>
      <c r="BO143" s="2">
        <v>0</v>
      </c>
      <c r="BP143" s="2">
        <v>3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1</v>
      </c>
      <c r="BY143" s="2">
        <v>1</v>
      </c>
      <c r="BZ143" s="2">
        <v>1</v>
      </c>
      <c r="CA143" s="2">
        <v>1</v>
      </c>
      <c r="CB143" s="2">
        <v>1</v>
      </c>
      <c r="CC143" s="2">
        <v>1</v>
      </c>
      <c r="CD143" s="2">
        <v>1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  <c r="DE143" s="2">
        <v>0</v>
      </c>
      <c r="DF143" s="2">
        <v>0</v>
      </c>
      <c r="DG143" s="2">
        <v>0</v>
      </c>
      <c r="DH143" s="2">
        <v>1</v>
      </c>
      <c r="DI143" s="2">
        <v>0</v>
      </c>
      <c r="DJ143" s="2">
        <v>1</v>
      </c>
      <c r="DK143" s="2">
        <v>2</v>
      </c>
      <c r="DL143" s="2">
        <v>1</v>
      </c>
      <c r="DM143" s="2">
        <v>2</v>
      </c>
      <c r="DN143" s="2">
        <v>0</v>
      </c>
      <c r="DO143" s="2">
        <v>0</v>
      </c>
      <c r="DP143" s="2">
        <v>0</v>
      </c>
      <c r="DQ143" s="2">
        <v>0</v>
      </c>
      <c r="DR143" s="2">
        <v>0</v>
      </c>
      <c r="DS143" s="2">
        <v>0</v>
      </c>
    </row>
    <row r="144" spans="1:123">
      <c r="A144" s="2" t="s">
        <v>6</v>
      </c>
      <c r="B144" s="2" t="s">
        <v>330</v>
      </c>
      <c r="C144" s="2">
        <v>337</v>
      </c>
      <c r="D144" s="2">
        <v>12</v>
      </c>
      <c r="E144" s="2">
        <v>5.62</v>
      </c>
      <c r="F144" s="2">
        <v>28.08</v>
      </c>
      <c r="G144" s="2" t="s">
        <v>331</v>
      </c>
      <c r="H144">
        <f>IF(AND(OR(لوحة_القيادة!$C$4="الكل", A144=لوحة_القيادة!$C$4), IF(لوحة_القيادة!$C$5="الكل", TRUE, INDEX($V144:$AG144, 1, VALUE(لوحة_القيادة!$C$5))&gt;0)), 1, 0)</f>
        <v>0</v>
      </c>
      <c r="I144">
        <f>IF(H144=1, SUM($H$2:H144), "")</f>
        <v>0</v>
      </c>
      <c r="J144" s="2">
        <v>94</v>
      </c>
      <c r="K144" s="2">
        <v>59</v>
      </c>
      <c r="L144" s="2">
        <v>57</v>
      </c>
      <c r="M144" s="2">
        <v>14</v>
      </c>
      <c r="N144" s="2">
        <v>0</v>
      </c>
      <c r="O144" s="2">
        <v>0</v>
      </c>
      <c r="P144" s="2">
        <v>113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3</v>
      </c>
      <c r="W144" s="2">
        <v>4</v>
      </c>
      <c r="X144" s="2">
        <v>3</v>
      </c>
      <c r="Y144" s="2">
        <v>1</v>
      </c>
      <c r="Z144" s="2">
        <v>0</v>
      </c>
      <c r="AA144" s="2">
        <v>0</v>
      </c>
      <c r="AB144" s="2">
        <v>1</v>
      </c>
      <c r="AC144" s="2">
        <v>0</v>
      </c>
      <c r="AD144" s="2">
        <v>0</v>
      </c>
      <c r="AE144" s="2">
        <v>0</v>
      </c>
      <c r="AF144" s="2">
        <v>0</v>
      </c>
      <c r="AG144" s="2">
        <v>2</v>
      </c>
      <c r="AH144" s="2">
        <v>2</v>
      </c>
      <c r="AI144" s="2">
        <v>6</v>
      </c>
      <c r="AJ144" s="2">
        <v>2</v>
      </c>
      <c r="AK144" s="2">
        <v>0</v>
      </c>
      <c r="AL144" s="2">
        <v>0</v>
      </c>
      <c r="AM144" s="2">
        <v>0</v>
      </c>
      <c r="AN144" s="2">
        <v>1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1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1</v>
      </c>
      <c r="BB144" s="2">
        <v>0</v>
      </c>
      <c r="BC144" s="2">
        <v>1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1</v>
      </c>
      <c r="BM144" s="2">
        <v>2</v>
      </c>
      <c r="BN144" s="2">
        <v>3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1</v>
      </c>
      <c r="BY144" s="2">
        <v>1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  <c r="DE144" s="2">
        <v>0</v>
      </c>
      <c r="DF144" s="2">
        <v>0</v>
      </c>
      <c r="DG144" s="2">
        <v>0</v>
      </c>
      <c r="DH144" s="2">
        <v>0</v>
      </c>
      <c r="DI144" s="2">
        <v>0</v>
      </c>
      <c r="DJ144" s="2">
        <v>0</v>
      </c>
      <c r="DK144" s="2">
        <v>0</v>
      </c>
      <c r="DL144" s="2">
        <v>0</v>
      </c>
      <c r="DM144" s="2">
        <v>0</v>
      </c>
      <c r="DN144" s="2">
        <v>0</v>
      </c>
      <c r="DO144" s="2">
        <v>0</v>
      </c>
      <c r="DP144" s="2">
        <v>0</v>
      </c>
      <c r="DQ144" s="2">
        <v>0</v>
      </c>
      <c r="DR144" s="2">
        <v>0</v>
      </c>
      <c r="DS144" s="2">
        <v>0</v>
      </c>
    </row>
    <row r="145" spans="1:123">
      <c r="A145" s="2" t="s">
        <v>11</v>
      </c>
      <c r="B145" s="2" t="s">
        <v>332</v>
      </c>
      <c r="C145" s="2">
        <v>332</v>
      </c>
      <c r="D145" s="2">
        <v>7</v>
      </c>
      <c r="E145" s="2">
        <v>5.53</v>
      </c>
      <c r="F145" s="2">
        <v>47.43</v>
      </c>
      <c r="G145" s="2" t="s">
        <v>333</v>
      </c>
      <c r="H145">
        <f>IF(AND(OR(لوحة_القيادة!$C$4="الكل", A145=لوحة_القيادة!$C$4), IF(لوحة_القيادة!$C$5="الكل", TRUE, INDEX($V145:$AG145, 1, VALUE(لوحة_القيادة!$C$5))&gt;0)), 1, 0)</f>
        <v>0</v>
      </c>
      <c r="I145">
        <f>IF(H145=1, SUM($H$2:H145), "")</f>
        <v>0</v>
      </c>
      <c r="J145" s="2">
        <v>0</v>
      </c>
      <c r="K145" s="2">
        <v>7</v>
      </c>
      <c r="L145" s="2">
        <v>140</v>
      </c>
      <c r="M145" s="2">
        <v>185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1</v>
      </c>
      <c r="X145" s="2">
        <v>4</v>
      </c>
      <c r="Y145" s="2">
        <v>2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2</v>
      </c>
      <c r="AH145" s="2">
        <v>0</v>
      </c>
      <c r="AI145" s="2">
        <v>1</v>
      </c>
      <c r="AJ145" s="2">
        <v>2</v>
      </c>
      <c r="AK145" s="2">
        <v>0</v>
      </c>
      <c r="AL145" s="2">
        <v>0</v>
      </c>
      <c r="AM145" s="2">
        <v>2</v>
      </c>
      <c r="AN145" s="2">
        <v>0</v>
      </c>
      <c r="AO145" s="2">
        <v>0</v>
      </c>
      <c r="AP145" s="2">
        <v>1</v>
      </c>
      <c r="AQ145" s="2">
        <v>1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1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1</v>
      </c>
      <c r="CA145" s="2">
        <v>1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  <c r="DE145" s="2">
        <v>0</v>
      </c>
      <c r="DF145" s="2">
        <v>0</v>
      </c>
      <c r="DG145" s="2">
        <v>0</v>
      </c>
      <c r="DH145" s="2">
        <v>0</v>
      </c>
      <c r="DI145" s="2">
        <v>1</v>
      </c>
      <c r="DJ145" s="2">
        <v>1</v>
      </c>
      <c r="DK145" s="2">
        <v>0</v>
      </c>
      <c r="DL145" s="2">
        <v>0</v>
      </c>
      <c r="DM145" s="2">
        <v>0</v>
      </c>
      <c r="DN145" s="2">
        <v>0</v>
      </c>
      <c r="DO145" s="2">
        <v>0</v>
      </c>
      <c r="DP145" s="2">
        <v>0</v>
      </c>
      <c r="DQ145" s="2">
        <v>0</v>
      </c>
      <c r="DR145" s="2">
        <v>0</v>
      </c>
      <c r="DS145" s="2">
        <v>0</v>
      </c>
    </row>
    <row r="146" spans="1:123">
      <c r="A146" s="2" t="s">
        <v>7</v>
      </c>
      <c r="B146" s="2" t="s">
        <v>334</v>
      </c>
      <c r="C146" s="2">
        <v>325</v>
      </c>
      <c r="D146" s="2">
        <v>52</v>
      </c>
      <c r="E146" s="2">
        <v>5.42</v>
      </c>
      <c r="F146" s="2">
        <v>6.25</v>
      </c>
      <c r="G146" s="2" t="s">
        <v>160</v>
      </c>
      <c r="H146">
        <f>IF(AND(OR(لوحة_القيادة!$C$4="الكل", A146=لوحة_القيادة!$C$4), IF(لوحة_القيادة!$C$5="الكل", TRUE, INDEX($V146:$AG146, 1, VALUE(لوحة_القيادة!$C$5))&gt;0)), 1, 0)</f>
        <v>0</v>
      </c>
      <c r="I146">
        <f>IF(H146=1, SUM($H$2:H146), "")</f>
        <v>0</v>
      </c>
      <c r="J146" s="2">
        <v>15</v>
      </c>
      <c r="K146" s="2">
        <v>58</v>
      </c>
      <c r="L146" s="2">
        <v>49</v>
      </c>
      <c r="M146" s="2">
        <v>48</v>
      </c>
      <c r="N146" s="2">
        <v>35</v>
      </c>
      <c r="O146" s="2">
        <v>56</v>
      </c>
      <c r="P146" s="2">
        <v>64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5</v>
      </c>
      <c r="W146" s="2">
        <v>11</v>
      </c>
      <c r="X146" s="2">
        <v>7</v>
      </c>
      <c r="Y146" s="2">
        <v>8</v>
      </c>
      <c r="Z146" s="2">
        <v>6</v>
      </c>
      <c r="AA146" s="2">
        <v>10</v>
      </c>
      <c r="AB146" s="2">
        <v>5</v>
      </c>
      <c r="AC146" s="2">
        <v>0</v>
      </c>
      <c r="AD146" s="2">
        <v>0</v>
      </c>
      <c r="AE146" s="2">
        <v>0</v>
      </c>
      <c r="AF146" s="2">
        <v>0</v>
      </c>
      <c r="AG146" s="2">
        <v>11</v>
      </c>
      <c r="AH146" s="2">
        <v>11</v>
      </c>
      <c r="AI146" s="2">
        <v>10</v>
      </c>
      <c r="AJ146" s="2">
        <v>12</v>
      </c>
      <c r="AK146" s="2">
        <v>0</v>
      </c>
      <c r="AL146" s="2">
        <v>0</v>
      </c>
      <c r="AM146" s="2">
        <v>8</v>
      </c>
      <c r="AN146" s="2">
        <v>0</v>
      </c>
      <c r="AO146" s="2">
        <v>4</v>
      </c>
      <c r="AP146" s="2">
        <v>1</v>
      </c>
      <c r="AQ146" s="2">
        <v>1</v>
      </c>
      <c r="AR146" s="2">
        <v>2</v>
      </c>
      <c r="AS146" s="2">
        <v>2</v>
      </c>
      <c r="AT146" s="2">
        <v>1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1</v>
      </c>
      <c r="BA146" s="2">
        <v>2</v>
      </c>
      <c r="BB146" s="2">
        <v>2</v>
      </c>
      <c r="BC146" s="2">
        <v>2</v>
      </c>
      <c r="BD146" s="2">
        <v>1</v>
      </c>
      <c r="BE146" s="2">
        <v>3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2</v>
      </c>
      <c r="BN146" s="2">
        <v>2</v>
      </c>
      <c r="BO146" s="2">
        <v>1</v>
      </c>
      <c r="BP146" s="2">
        <v>2</v>
      </c>
      <c r="BQ146" s="2">
        <v>2</v>
      </c>
      <c r="BR146" s="2">
        <v>1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3</v>
      </c>
      <c r="BY146" s="2">
        <v>2</v>
      </c>
      <c r="BZ146" s="2">
        <v>1</v>
      </c>
      <c r="CA146" s="2">
        <v>2</v>
      </c>
      <c r="CB146" s="2">
        <v>0</v>
      </c>
      <c r="CC146" s="2">
        <v>2</v>
      </c>
      <c r="CD146" s="2">
        <v>2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0</v>
      </c>
      <c r="DE146" s="2">
        <v>0</v>
      </c>
      <c r="DF146" s="2">
        <v>0</v>
      </c>
      <c r="DG146" s="2">
        <v>0</v>
      </c>
      <c r="DH146" s="2">
        <v>1</v>
      </c>
      <c r="DI146" s="2">
        <v>1</v>
      </c>
      <c r="DJ146" s="2">
        <v>1</v>
      </c>
      <c r="DK146" s="2">
        <v>2</v>
      </c>
      <c r="DL146" s="2">
        <v>1</v>
      </c>
      <c r="DM146" s="2">
        <v>1</v>
      </c>
      <c r="DN146" s="2">
        <v>1</v>
      </c>
      <c r="DO146" s="2">
        <v>0</v>
      </c>
      <c r="DP146" s="2">
        <v>0</v>
      </c>
      <c r="DQ146" s="2">
        <v>0</v>
      </c>
      <c r="DR146" s="2">
        <v>0</v>
      </c>
      <c r="DS146" s="2">
        <v>0</v>
      </c>
    </row>
    <row r="147" spans="1:123">
      <c r="A147" s="2" t="s">
        <v>6</v>
      </c>
      <c r="B147" s="2" t="s">
        <v>335</v>
      </c>
      <c r="C147" s="2">
        <v>324</v>
      </c>
      <c r="D147" s="2">
        <v>24</v>
      </c>
      <c r="E147" s="2">
        <v>5.4</v>
      </c>
      <c r="F147" s="2">
        <v>13.5</v>
      </c>
      <c r="G147" s="2" t="s">
        <v>160</v>
      </c>
      <c r="H147">
        <f>IF(AND(OR(لوحة_القيادة!$C$4="الكل", A147=لوحة_القيادة!$C$4), IF(لوحة_القيادة!$C$5="الكل", TRUE, INDEX($V147:$AG147, 1, VALUE(لوحة_القيادة!$C$5))&gt;0)), 1, 0)</f>
        <v>0</v>
      </c>
      <c r="I147">
        <f>IF(H147=1, SUM($H$2:H147), "")</f>
        <v>0</v>
      </c>
      <c r="J147" s="2">
        <v>10</v>
      </c>
      <c r="K147" s="2">
        <v>32</v>
      </c>
      <c r="L147" s="2">
        <v>72</v>
      </c>
      <c r="M147" s="2">
        <v>96</v>
      </c>
      <c r="N147" s="2">
        <v>53</v>
      </c>
      <c r="O147" s="2">
        <v>41</v>
      </c>
      <c r="P147" s="2">
        <v>20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4</v>
      </c>
      <c r="W147" s="2">
        <v>3</v>
      </c>
      <c r="X147" s="2">
        <v>6</v>
      </c>
      <c r="Y147" s="2">
        <v>5</v>
      </c>
      <c r="Z147" s="2">
        <v>3</v>
      </c>
      <c r="AA147" s="2">
        <v>2</v>
      </c>
      <c r="AB147" s="2">
        <v>1</v>
      </c>
      <c r="AC147" s="2">
        <v>0</v>
      </c>
      <c r="AD147" s="2">
        <v>0</v>
      </c>
      <c r="AE147" s="2">
        <v>0</v>
      </c>
      <c r="AF147" s="2">
        <v>0</v>
      </c>
      <c r="AG147" s="2">
        <v>4</v>
      </c>
      <c r="AH147" s="2">
        <v>4</v>
      </c>
      <c r="AI147" s="2">
        <v>8</v>
      </c>
      <c r="AJ147" s="2">
        <v>5</v>
      </c>
      <c r="AK147" s="2">
        <v>0</v>
      </c>
      <c r="AL147" s="2">
        <v>0</v>
      </c>
      <c r="AM147" s="2">
        <v>3</v>
      </c>
      <c r="AN147" s="2">
        <v>0</v>
      </c>
      <c r="AO147" s="2">
        <v>0</v>
      </c>
      <c r="AP147" s="2">
        <v>2</v>
      </c>
      <c r="AQ147" s="2">
        <v>1</v>
      </c>
      <c r="AR147" s="2">
        <v>1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2</v>
      </c>
      <c r="BC147" s="2">
        <v>0</v>
      </c>
      <c r="BD147" s="2">
        <v>1</v>
      </c>
      <c r="BE147" s="2">
        <v>1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2</v>
      </c>
      <c r="BM147" s="2">
        <v>2</v>
      </c>
      <c r="BN147" s="2">
        <v>1</v>
      </c>
      <c r="BO147" s="2">
        <v>3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1</v>
      </c>
      <c r="BY147" s="2">
        <v>1</v>
      </c>
      <c r="BZ147" s="2">
        <v>1</v>
      </c>
      <c r="CA147" s="2">
        <v>1</v>
      </c>
      <c r="CB147" s="2">
        <v>0</v>
      </c>
      <c r="CC147" s="2">
        <v>0</v>
      </c>
      <c r="CD147" s="2">
        <v>1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0</v>
      </c>
      <c r="DE147" s="2">
        <v>0</v>
      </c>
      <c r="DF147" s="2">
        <v>0</v>
      </c>
      <c r="DG147" s="2">
        <v>0</v>
      </c>
      <c r="DH147" s="2">
        <v>1</v>
      </c>
      <c r="DI147" s="2">
        <v>0</v>
      </c>
      <c r="DJ147" s="2">
        <v>0</v>
      </c>
      <c r="DK147" s="2">
        <v>0</v>
      </c>
      <c r="DL147" s="2">
        <v>1</v>
      </c>
      <c r="DM147" s="2">
        <v>1</v>
      </c>
      <c r="DN147" s="2">
        <v>0</v>
      </c>
      <c r="DO147" s="2">
        <v>0</v>
      </c>
      <c r="DP147" s="2">
        <v>0</v>
      </c>
      <c r="DQ147" s="2">
        <v>0</v>
      </c>
      <c r="DR147" s="2">
        <v>0</v>
      </c>
      <c r="DS147" s="2">
        <v>0</v>
      </c>
    </row>
    <row r="148" spans="1:123">
      <c r="A148" s="2" t="s">
        <v>11</v>
      </c>
      <c r="B148" s="2" t="s">
        <v>336</v>
      </c>
      <c r="C148" s="2">
        <v>322</v>
      </c>
      <c r="D148" s="2">
        <v>31</v>
      </c>
      <c r="E148" s="2">
        <v>5.37</v>
      </c>
      <c r="F148" s="2">
        <v>10.39</v>
      </c>
      <c r="G148" s="2" t="s">
        <v>210</v>
      </c>
      <c r="H148">
        <f>IF(AND(OR(لوحة_القيادة!$C$4="الكل", A148=لوحة_القيادة!$C$4), IF(لوحة_القيادة!$C$5="الكل", TRUE, INDEX($V148:$AG148, 1, VALUE(لوحة_القيادة!$C$5))&gt;0)), 1, 0)</f>
        <v>0</v>
      </c>
      <c r="I148">
        <f>IF(H148=1, SUM($H$2:H148), "")</f>
        <v>0</v>
      </c>
      <c r="J148" s="2">
        <v>64</v>
      </c>
      <c r="K148" s="2">
        <v>20</v>
      </c>
      <c r="L148" s="2">
        <v>87</v>
      </c>
      <c r="M148" s="2">
        <v>109</v>
      </c>
      <c r="N148" s="2">
        <v>42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6</v>
      </c>
      <c r="W148" s="2">
        <v>3</v>
      </c>
      <c r="X148" s="2">
        <v>6</v>
      </c>
      <c r="Y148" s="2">
        <v>9</v>
      </c>
      <c r="Z148" s="2">
        <v>7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2</v>
      </c>
      <c r="AH148" s="2">
        <v>9</v>
      </c>
      <c r="AI148" s="2">
        <v>5</v>
      </c>
      <c r="AJ148" s="2">
        <v>7</v>
      </c>
      <c r="AK148" s="2">
        <v>0</v>
      </c>
      <c r="AL148" s="2">
        <v>0</v>
      </c>
      <c r="AM148" s="2">
        <v>8</v>
      </c>
      <c r="AN148" s="2">
        <v>1</v>
      </c>
      <c r="AO148" s="2">
        <v>0</v>
      </c>
      <c r="AP148" s="2">
        <v>0</v>
      </c>
      <c r="AQ148" s="2">
        <v>1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1</v>
      </c>
      <c r="BA148" s="2">
        <v>1</v>
      </c>
      <c r="BB148" s="2">
        <v>1</v>
      </c>
      <c r="BC148" s="2">
        <v>3</v>
      </c>
      <c r="BD148" s="2">
        <v>3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1</v>
      </c>
      <c r="BM148" s="2">
        <v>0</v>
      </c>
      <c r="BN148" s="2">
        <v>2</v>
      </c>
      <c r="BO148" s="2">
        <v>1</v>
      </c>
      <c r="BP148" s="2">
        <v>1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1</v>
      </c>
      <c r="BZ148" s="2">
        <v>3</v>
      </c>
      <c r="CA148" s="2">
        <v>2</v>
      </c>
      <c r="CB148" s="2">
        <v>1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0</v>
      </c>
      <c r="DE148" s="2">
        <v>0</v>
      </c>
      <c r="DF148" s="2">
        <v>0</v>
      </c>
      <c r="DG148" s="2">
        <v>0</v>
      </c>
      <c r="DH148" s="2">
        <v>3</v>
      </c>
      <c r="DI148" s="2">
        <v>1</v>
      </c>
      <c r="DJ148" s="2">
        <v>0</v>
      </c>
      <c r="DK148" s="2">
        <v>2</v>
      </c>
      <c r="DL148" s="2">
        <v>2</v>
      </c>
      <c r="DM148" s="2">
        <v>0</v>
      </c>
      <c r="DN148" s="2">
        <v>0</v>
      </c>
      <c r="DO148" s="2">
        <v>0</v>
      </c>
      <c r="DP148" s="2">
        <v>0</v>
      </c>
      <c r="DQ148" s="2">
        <v>0</v>
      </c>
      <c r="DR148" s="2">
        <v>0</v>
      </c>
      <c r="DS148" s="2">
        <v>0</v>
      </c>
    </row>
    <row r="149" spans="1:123">
      <c r="A149" s="2" t="s">
        <v>7</v>
      </c>
      <c r="B149" s="2" t="s">
        <v>337</v>
      </c>
      <c r="C149" s="2">
        <v>319</v>
      </c>
      <c r="D149" s="2">
        <v>33</v>
      </c>
      <c r="E149" s="2">
        <v>5.32</v>
      </c>
      <c r="F149" s="2">
        <v>9.67</v>
      </c>
      <c r="G149" s="2" t="s">
        <v>160</v>
      </c>
      <c r="H149">
        <f>IF(AND(OR(لوحة_القيادة!$C$4="الكل", A149=لوحة_القيادة!$C$4), IF(لوحة_القيادة!$C$5="الكل", TRUE, INDEX($V149:$AG149, 1, VALUE(لوحة_القيادة!$C$5))&gt;0)), 1, 0)</f>
        <v>0</v>
      </c>
      <c r="I149">
        <f>IF(H149=1, SUM($H$2:H149), "")</f>
        <v>0</v>
      </c>
      <c r="J149" s="2">
        <v>25</v>
      </c>
      <c r="K149" s="2">
        <v>26</v>
      </c>
      <c r="L149" s="2">
        <v>19</v>
      </c>
      <c r="M149" s="2">
        <v>22</v>
      </c>
      <c r="N149" s="2">
        <v>18</v>
      </c>
      <c r="O149" s="2">
        <v>96</v>
      </c>
      <c r="P149" s="2">
        <v>113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5</v>
      </c>
      <c r="W149" s="2">
        <v>7</v>
      </c>
      <c r="X149" s="2">
        <v>3</v>
      </c>
      <c r="Y149" s="2">
        <v>3</v>
      </c>
      <c r="Z149" s="2">
        <v>2</v>
      </c>
      <c r="AA149" s="2">
        <v>8</v>
      </c>
      <c r="AB149" s="2">
        <v>5</v>
      </c>
      <c r="AC149" s="2">
        <v>0</v>
      </c>
      <c r="AD149" s="2">
        <v>0</v>
      </c>
      <c r="AE149" s="2">
        <v>0</v>
      </c>
      <c r="AF149" s="2">
        <v>0</v>
      </c>
      <c r="AG149" s="2">
        <v>7</v>
      </c>
      <c r="AH149" s="2">
        <v>7</v>
      </c>
      <c r="AI149" s="2">
        <v>9</v>
      </c>
      <c r="AJ149" s="2">
        <v>6</v>
      </c>
      <c r="AK149" s="2">
        <v>0</v>
      </c>
      <c r="AL149" s="2">
        <v>0</v>
      </c>
      <c r="AM149" s="2">
        <v>4</v>
      </c>
      <c r="AN149" s="2">
        <v>2</v>
      </c>
      <c r="AO149" s="2">
        <v>2</v>
      </c>
      <c r="AP149" s="2">
        <v>0</v>
      </c>
      <c r="AQ149" s="2">
        <v>0</v>
      </c>
      <c r="AR149" s="2">
        <v>0</v>
      </c>
      <c r="AS149" s="2">
        <v>2</v>
      </c>
      <c r="AT149" s="2">
        <v>1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2</v>
      </c>
      <c r="BB149" s="2">
        <v>1</v>
      </c>
      <c r="BC149" s="2">
        <v>0</v>
      </c>
      <c r="BD149" s="2">
        <v>0</v>
      </c>
      <c r="BE149" s="2">
        <v>3</v>
      </c>
      <c r="BF149" s="2">
        <v>1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2</v>
      </c>
      <c r="BM149" s="2">
        <v>1</v>
      </c>
      <c r="BN149" s="2">
        <v>1</v>
      </c>
      <c r="BO149" s="2">
        <v>2</v>
      </c>
      <c r="BP149" s="2">
        <v>1</v>
      </c>
      <c r="BQ149" s="2">
        <v>1</v>
      </c>
      <c r="BR149" s="2">
        <v>1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1</v>
      </c>
      <c r="CB149" s="2">
        <v>1</v>
      </c>
      <c r="CC149" s="2">
        <v>2</v>
      </c>
      <c r="CD149" s="2">
        <v>2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  <c r="DE149" s="2">
        <v>0</v>
      </c>
      <c r="DF149" s="2">
        <v>0</v>
      </c>
      <c r="DG149" s="2">
        <v>0</v>
      </c>
      <c r="DH149" s="2">
        <v>1</v>
      </c>
      <c r="DI149" s="2">
        <v>2</v>
      </c>
      <c r="DJ149" s="2">
        <v>1</v>
      </c>
      <c r="DK149" s="2">
        <v>0</v>
      </c>
      <c r="DL149" s="2">
        <v>0</v>
      </c>
      <c r="DM149" s="2">
        <v>0</v>
      </c>
      <c r="DN149" s="2">
        <v>0</v>
      </c>
      <c r="DO149" s="2">
        <v>0</v>
      </c>
      <c r="DP149" s="2">
        <v>0</v>
      </c>
      <c r="DQ149" s="2">
        <v>0</v>
      </c>
      <c r="DR149" s="2">
        <v>0</v>
      </c>
      <c r="DS149" s="2">
        <v>0</v>
      </c>
    </row>
    <row r="150" spans="1:123">
      <c r="A150" s="2" t="s">
        <v>16</v>
      </c>
      <c r="B150" s="2" t="s">
        <v>338</v>
      </c>
      <c r="C150" s="2">
        <v>314</v>
      </c>
      <c r="D150" s="2">
        <v>13</v>
      </c>
      <c r="E150" s="2">
        <v>5.23</v>
      </c>
      <c r="F150" s="2">
        <v>24.15</v>
      </c>
      <c r="G150" s="2" t="s">
        <v>339</v>
      </c>
      <c r="H150">
        <f>IF(AND(OR(لوحة_القيادة!$C$4="الكل", A150=لوحة_القيادة!$C$4), IF(لوحة_القيادة!$C$5="الكل", TRUE, INDEX($V150:$AG150, 1, VALUE(لوحة_القيادة!$C$5))&gt;0)), 1, 0)</f>
        <v>0</v>
      </c>
      <c r="I150">
        <f>IF(H150=1, SUM($H$2:H150), "")</f>
        <v>0</v>
      </c>
      <c r="J150" s="2">
        <v>74</v>
      </c>
      <c r="K150" s="2">
        <v>18</v>
      </c>
      <c r="L150" s="2">
        <v>94</v>
      </c>
      <c r="M150" s="2">
        <v>0</v>
      </c>
      <c r="N150" s="2">
        <v>0</v>
      </c>
      <c r="O150" s="2">
        <v>110</v>
      </c>
      <c r="P150" s="2">
        <v>18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3</v>
      </c>
      <c r="W150" s="2">
        <v>1</v>
      </c>
      <c r="X150" s="2">
        <v>5</v>
      </c>
      <c r="Y150" s="2">
        <v>0</v>
      </c>
      <c r="Z150" s="2">
        <v>0</v>
      </c>
      <c r="AA150" s="2">
        <v>3</v>
      </c>
      <c r="AB150" s="2">
        <v>1</v>
      </c>
      <c r="AC150" s="2">
        <v>0</v>
      </c>
      <c r="AD150" s="2">
        <v>0</v>
      </c>
      <c r="AE150" s="2">
        <v>0</v>
      </c>
      <c r="AF150" s="2">
        <v>0</v>
      </c>
      <c r="AG150" s="2">
        <v>1</v>
      </c>
      <c r="AH150" s="2">
        <v>3</v>
      </c>
      <c r="AI150" s="2">
        <v>4</v>
      </c>
      <c r="AJ150" s="2">
        <v>2</v>
      </c>
      <c r="AK150" s="2">
        <v>0</v>
      </c>
      <c r="AL150" s="2">
        <v>0</v>
      </c>
      <c r="AM150" s="2">
        <v>3</v>
      </c>
      <c r="AN150" s="2">
        <v>0</v>
      </c>
      <c r="AO150" s="2">
        <v>0</v>
      </c>
      <c r="AP150" s="2">
        <v>1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1</v>
      </c>
      <c r="BA150" s="2">
        <v>0</v>
      </c>
      <c r="BB150" s="2">
        <v>0</v>
      </c>
      <c r="BC150" s="2">
        <v>0</v>
      </c>
      <c r="BD150" s="2">
        <v>0</v>
      </c>
      <c r="BE150" s="2">
        <v>1</v>
      </c>
      <c r="BF150" s="2">
        <v>1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3</v>
      </c>
      <c r="BO150" s="2">
        <v>0</v>
      </c>
      <c r="BP150" s="2">
        <v>0</v>
      </c>
      <c r="BQ150" s="2">
        <v>1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1</v>
      </c>
      <c r="CA150" s="2">
        <v>0</v>
      </c>
      <c r="CB150" s="2">
        <v>0</v>
      </c>
      <c r="CC150" s="2">
        <v>1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  <c r="DE150" s="2">
        <v>0</v>
      </c>
      <c r="DF150" s="2">
        <v>0</v>
      </c>
      <c r="DG150" s="2">
        <v>0</v>
      </c>
      <c r="DH150" s="2">
        <v>2</v>
      </c>
      <c r="DI150" s="2">
        <v>1</v>
      </c>
      <c r="DJ150" s="2">
        <v>0</v>
      </c>
      <c r="DK150" s="2">
        <v>0</v>
      </c>
      <c r="DL150" s="2">
        <v>0</v>
      </c>
      <c r="DM150" s="2">
        <v>0</v>
      </c>
      <c r="DN150" s="2">
        <v>0</v>
      </c>
      <c r="DO150" s="2">
        <v>0</v>
      </c>
      <c r="DP150" s="2">
        <v>0</v>
      </c>
      <c r="DQ150" s="2">
        <v>0</v>
      </c>
      <c r="DR150" s="2">
        <v>0</v>
      </c>
      <c r="DS150" s="2">
        <v>0</v>
      </c>
    </row>
    <row r="151" spans="1:123">
      <c r="A151" s="2" t="s">
        <v>11</v>
      </c>
      <c r="B151" s="2" t="s">
        <v>340</v>
      </c>
      <c r="C151" s="2">
        <v>308</v>
      </c>
      <c r="D151" s="2">
        <v>24</v>
      </c>
      <c r="E151" s="2">
        <v>5.13</v>
      </c>
      <c r="F151" s="2">
        <v>12.83</v>
      </c>
      <c r="G151" s="2" t="s">
        <v>160</v>
      </c>
      <c r="H151">
        <f>IF(AND(OR(لوحة_القيادة!$C$4="الكل", A151=لوحة_القيادة!$C$4), IF(لوحة_القيادة!$C$5="الكل", TRUE, INDEX($V151:$AG151, 1, VALUE(لوحة_القيادة!$C$5))&gt;0)), 1, 0)</f>
        <v>0</v>
      </c>
      <c r="I151">
        <f>IF(H151=1, SUM($H$2:H151), "")</f>
        <v>0</v>
      </c>
      <c r="J151" s="2">
        <v>100</v>
      </c>
      <c r="K151" s="2">
        <v>28</v>
      </c>
      <c r="L151" s="2">
        <v>92</v>
      </c>
      <c r="M151" s="2">
        <v>18</v>
      </c>
      <c r="N151" s="2">
        <v>28</v>
      </c>
      <c r="O151" s="2">
        <v>34</v>
      </c>
      <c r="P151" s="2">
        <v>8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5</v>
      </c>
      <c r="W151" s="2">
        <v>4</v>
      </c>
      <c r="X151" s="2">
        <v>6</v>
      </c>
      <c r="Y151" s="2">
        <v>3</v>
      </c>
      <c r="Z151" s="2">
        <v>2</v>
      </c>
      <c r="AA151" s="2">
        <v>2</v>
      </c>
      <c r="AB151" s="2">
        <v>2</v>
      </c>
      <c r="AC151" s="2">
        <v>0</v>
      </c>
      <c r="AD151" s="2">
        <v>0</v>
      </c>
      <c r="AE151" s="2">
        <v>0</v>
      </c>
      <c r="AF151" s="2">
        <v>0</v>
      </c>
      <c r="AG151" s="2">
        <v>3</v>
      </c>
      <c r="AH151" s="2">
        <v>5</v>
      </c>
      <c r="AI151" s="2">
        <v>6</v>
      </c>
      <c r="AJ151" s="2">
        <v>3</v>
      </c>
      <c r="AK151" s="2">
        <v>0</v>
      </c>
      <c r="AL151" s="2">
        <v>0</v>
      </c>
      <c r="AM151" s="2">
        <v>7</v>
      </c>
      <c r="AN151" s="2">
        <v>1</v>
      </c>
      <c r="AO151" s="2">
        <v>0</v>
      </c>
      <c r="AP151" s="2">
        <v>2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2</v>
      </c>
      <c r="BB151" s="2">
        <v>0</v>
      </c>
      <c r="BC151" s="2">
        <v>1</v>
      </c>
      <c r="BD151" s="2">
        <v>1</v>
      </c>
      <c r="BE151" s="2">
        <v>1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2</v>
      </c>
      <c r="BM151" s="2">
        <v>1</v>
      </c>
      <c r="BN151" s="2">
        <v>1</v>
      </c>
      <c r="BO151" s="2">
        <v>0</v>
      </c>
      <c r="BP151" s="2">
        <v>0</v>
      </c>
      <c r="BQ151" s="2">
        <v>1</v>
      </c>
      <c r="BR151" s="2">
        <v>1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1</v>
      </c>
      <c r="BY151" s="2">
        <v>0</v>
      </c>
      <c r="BZ151" s="2">
        <v>1</v>
      </c>
      <c r="CA151" s="2">
        <v>0</v>
      </c>
      <c r="CB151" s="2">
        <v>0</v>
      </c>
      <c r="CC151" s="2">
        <v>0</v>
      </c>
      <c r="CD151" s="2">
        <v>1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  <c r="DE151" s="2">
        <v>0</v>
      </c>
      <c r="DF151" s="2">
        <v>0</v>
      </c>
      <c r="DG151" s="2">
        <v>0</v>
      </c>
      <c r="DH151" s="2">
        <v>1</v>
      </c>
      <c r="DI151" s="2">
        <v>1</v>
      </c>
      <c r="DJ151" s="2">
        <v>2</v>
      </c>
      <c r="DK151" s="2">
        <v>2</v>
      </c>
      <c r="DL151" s="2">
        <v>1</v>
      </c>
      <c r="DM151" s="2">
        <v>0</v>
      </c>
      <c r="DN151" s="2">
        <v>0</v>
      </c>
      <c r="DO151" s="2">
        <v>0</v>
      </c>
      <c r="DP151" s="2">
        <v>0</v>
      </c>
      <c r="DQ151" s="2">
        <v>0</v>
      </c>
      <c r="DR151" s="2">
        <v>0</v>
      </c>
      <c r="DS151" s="2">
        <v>0</v>
      </c>
    </row>
    <row r="152" spans="1:123">
      <c r="A152" s="2" t="s">
        <v>13</v>
      </c>
      <c r="B152" s="2" t="s">
        <v>341</v>
      </c>
      <c r="C152" s="2">
        <v>307</v>
      </c>
      <c r="D152" s="2">
        <v>17</v>
      </c>
      <c r="E152" s="2">
        <v>5.12</v>
      </c>
      <c r="F152" s="2">
        <v>18.06</v>
      </c>
      <c r="G152" s="2" t="s">
        <v>270</v>
      </c>
      <c r="H152">
        <f>IF(AND(OR(لوحة_القيادة!$C$4="الكل", A152=لوحة_القيادة!$C$4), IF(لوحة_القيادة!$C$5="الكل", TRUE, INDEX($V152:$AG152, 1, VALUE(لوحة_القيادة!$C$5))&gt;0)), 1, 0)</f>
        <v>0</v>
      </c>
      <c r="I152">
        <f>IF(H152=1, SUM($H$2:H152), "")</f>
        <v>0</v>
      </c>
      <c r="J152" s="2">
        <v>15</v>
      </c>
      <c r="K152" s="2">
        <v>0</v>
      </c>
      <c r="L152" s="2">
        <v>0</v>
      </c>
      <c r="M152" s="2">
        <v>53</v>
      </c>
      <c r="N152" s="2">
        <v>11</v>
      </c>
      <c r="O152" s="2">
        <v>223</v>
      </c>
      <c r="P152" s="2">
        <v>5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2</v>
      </c>
      <c r="W152" s="2">
        <v>0</v>
      </c>
      <c r="X152" s="2">
        <v>0</v>
      </c>
      <c r="Y152" s="2">
        <v>1</v>
      </c>
      <c r="Z152" s="2">
        <v>2</v>
      </c>
      <c r="AA152" s="2">
        <v>11</v>
      </c>
      <c r="AB152" s="2">
        <v>1</v>
      </c>
      <c r="AC152" s="2">
        <v>0</v>
      </c>
      <c r="AD152" s="2">
        <v>0</v>
      </c>
      <c r="AE152" s="2">
        <v>0</v>
      </c>
      <c r="AF152" s="2">
        <v>0</v>
      </c>
      <c r="AG152" s="2">
        <v>5</v>
      </c>
      <c r="AH152" s="2">
        <v>2</v>
      </c>
      <c r="AI152" s="2">
        <v>4</v>
      </c>
      <c r="AJ152" s="2">
        <v>3</v>
      </c>
      <c r="AK152" s="2">
        <v>0</v>
      </c>
      <c r="AL152" s="2">
        <v>0</v>
      </c>
      <c r="AM152" s="2">
        <v>3</v>
      </c>
      <c r="AN152" s="2">
        <v>0</v>
      </c>
      <c r="AO152" s="2">
        <v>0</v>
      </c>
      <c r="AP152" s="2">
        <v>0</v>
      </c>
      <c r="AQ152" s="2">
        <v>0</v>
      </c>
      <c r="AR152" s="2">
        <v>2</v>
      </c>
      <c r="AS152" s="2">
        <v>3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2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1</v>
      </c>
      <c r="BP152" s="2">
        <v>0</v>
      </c>
      <c r="BQ152" s="2">
        <v>3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2</v>
      </c>
      <c r="CD152" s="2">
        <v>1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  <c r="DE152" s="2">
        <v>0</v>
      </c>
      <c r="DF152" s="2">
        <v>0</v>
      </c>
      <c r="DG152" s="2">
        <v>0</v>
      </c>
      <c r="DH152" s="2">
        <v>2</v>
      </c>
      <c r="DI152" s="2">
        <v>0</v>
      </c>
      <c r="DJ152" s="2">
        <v>0</v>
      </c>
      <c r="DK152" s="2">
        <v>0</v>
      </c>
      <c r="DL152" s="2">
        <v>0</v>
      </c>
      <c r="DM152" s="2">
        <v>1</v>
      </c>
      <c r="DN152" s="2">
        <v>0</v>
      </c>
      <c r="DO152" s="2">
        <v>0</v>
      </c>
      <c r="DP152" s="2">
        <v>0</v>
      </c>
      <c r="DQ152" s="2">
        <v>0</v>
      </c>
      <c r="DR152" s="2">
        <v>0</v>
      </c>
      <c r="DS152" s="2">
        <v>0</v>
      </c>
    </row>
    <row r="153" spans="1:123">
      <c r="A153" s="2" t="s">
        <v>5</v>
      </c>
      <c r="B153" s="2" t="s">
        <v>342</v>
      </c>
      <c r="C153" s="2">
        <v>305</v>
      </c>
      <c r="D153" s="2">
        <v>20</v>
      </c>
      <c r="E153" s="2">
        <v>5.08</v>
      </c>
      <c r="F153" s="2">
        <v>15.25</v>
      </c>
      <c r="G153" s="2" t="s">
        <v>312</v>
      </c>
      <c r="H153">
        <f>IF(AND(OR(لوحة_القيادة!$C$4="الكل", A153=لوحة_القيادة!$C$4), IF(لوحة_القيادة!$C$5="الكل", TRUE, INDEX($V153:$AG153, 1, VALUE(لوحة_القيادة!$C$5))&gt;0)), 1, 0)</f>
        <v>0</v>
      </c>
      <c r="I153">
        <f>IF(H153=1, SUM($H$2:H153), "")</f>
        <v>0</v>
      </c>
      <c r="J153" s="2">
        <v>65</v>
      </c>
      <c r="K153" s="2">
        <v>94</v>
      </c>
      <c r="L153" s="2">
        <v>41</v>
      </c>
      <c r="M153" s="2">
        <v>0</v>
      </c>
      <c r="N153" s="2">
        <v>43</v>
      </c>
      <c r="O153" s="2">
        <v>22</v>
      </c>
      <c r="P153" s="2">
        <v>40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6</v>
      </c>
      <c r="W153" s="2">
        <v>2</v>
      </c>
      <c r="X153" s="2">
        <v>4</v>
      </c>
      <c r="Y153" s="2">
        <v>0</v>
      </c>
      <c r="Z153" s="2">
        <v>3</v>
      </c>
      <c r="AA153" s="2">
        <v>4</v>
      </c>
      <c r="AB153" s="2">
        <v>1</v>
      </c>
      <c r="AC153" s="2">
        <v>0</v>
      </c>
      <c r="AD153" s="2">
        <v>0</v>
      </c>
      <c r="AE153" s="2">
        <v>0</v>
      </c>
      <c r="AF153" s="2">
        <v>0</v>
      </c>
      <c r="AG153" s="2">
        <v>3</v>
      </c>
      <c r="AH153" s="2">
        <v>2</v>
      </c>
      <c r="AI153" s="2">
        <v>3</v>
      </c>
      <c r="AJ153" s="2">
        <v>9</v>
      </c>
      <c r="AK153" s="2">
        <v>0</v>
      </c>
      <c r="AL153" s="2">
        <v>0</v>
      </c>
      <c r="AM153" s="2">
        <v>3</v>
      </c>
      <c r="AN153" s="2">
        <v>1</v>
      </c>
      <c r="AO153" s="2">
        <v>0</v>
      </c>
      <c r="AP153" s="2">
        <v>1</v>
      </c>
      <c r="AQ153" s="2">
        <v>0</v>
      </c>
      <c r="AR153" s="2">
        <v>0</v>
      </c>
      <c r="AS153" s="2">
        <v>1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2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1</v>
      </c>
      <c r="BM153" s="2">
        <v>0</v>
      </c>
      <c r="BN153" s="2">
        <v>0</v>
      </c>
      <c r="BO153" s="2">
        <v>0</v>
      </c>
      <c r="BP153" s="2">
        <v>0</v>
      </c>
      <c r="BQ153" s="2">
        <v>2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3</v>
      </c>
      <c r="BY153" s="2">
        <v>1</v>
      </c>
      <c r="BZ153" s="2">
        <v>1</v>
      </c>
      <c r="CA153" s="2">
        <v>0</v>
      </c>
      <c r="CB153" s="2">
        <v>2</v>
      </c>
      <c r="CC153" s="2">
        <v>1</v>
      </c>
      <c r="CD153" s="2">
        <v>1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  <c r="DE153" s="2">
        <v>0</v>
      </c>
      <c r="DF153" s="2">
        <v>0</v>
      </c>
      <c r="DG153" s="2">
        <v>0</v>
      </c>
      <c r="DH153" s="2">
        <v>1</v>
      </c>
      <c r="DI153" s="2">
        <v>1</v>
      </c>
      <c r="DJ153" s="2">
        <v>0</v>
      </c>
      <c r="DK153" s="2">
        <v>0</v>
      </c>
      <c r="DL153" s="2">
        <v>1</v>
      </c>
      <c r="DM153" s="2">
        <v>0</v>
      </c>
      <c r="DN153" s="2">
        <v>0</v>
      </c>
      <c r="DO153" s="2">
        <v>0</v>
      </c>
      <c r="DP153" s="2">
        <v>0</v>
      </c>
      <c r="DQ153" s="2">
        <v>0</v>
      </c>
      <c r="DR153" s="2">
        <v>0</v>
      </c>
      <c r="DS153" s="2">
        <v>0</v>
      </c>
    </row>
    <row r="154" spans="1:123">
      <c r="A154" s="2" t="s">
        <v>1</v>
      </c>
      <c r="B154" s="2" t="s">
        <v>343</v>
      </c>
      <c r="C154" s="2">
        <v>301</v>
      </c>
      <c r="D154" s="2">
        <v>36</v>
      </c>
      <c r="E154" s="2">
        <v>5.02</v>
      </c>
      <c r="F154" s="2">
        <v>8.359999999999999</v>
      </c>
      <c r="G154" s="2" t="s">
        <v>160</v>
      </c>
      <c r="H154">
        <f>IF(AND(OR(لوحة_القيادة!$C$4="الكل", A154=لوحة_القيادة!$C$4), IF(لوحة_القيادة!$C$5="الكل", TRUE, INDEX($V154:$AG154, 1, VALUE(لوحة_القيادة!$C$5))&gt;0)), 1, 0)</f>
        <v>0</v>
      </c>
      <c r="I154">
        <f>IF(H154=1, SUM($H$2:H154), "")</f>
        <v>0</v>
      </c>
      <c r="J154" s="2">
        <v>59</v>
      </c>
      <c r="K154" s="2">
        <v>25</v>
      </c>
      <c r="L154" s="2">
        <v>76</v>
      </c>
      <c r="M154" s="2">
        <v>63</v>
      </c>
      <c r="N154" s="2">
        <v>24</v>
      </c>
      <c r="O154" s="2">
        <v>36</v>
      </c>
      <c r="P154" s="2">
        <v>18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8</v>
      </c>
      <c r="W154" s="2">
        <v>3</v>
      </c>
      <c r="X154" s="2">
        <v>5</v>
      </c>
      <c r="Y154" s="2">
        <v>7</v>
      </c>
      <c r="Z154" s="2">
        <v>3</v>
      </c>
      <c r="AA154" s="2">
        <v>7</v>
      </c>
      <c r="AB154" s="2">
        <v>3</v>
      </c>
      <c r="AC154" s="2">
        <v>0</v>
      </c>
      <c r="AD154" s="2">
        <v>0</v>
      </c>
      <c r="AE154" s="2">
        <v>0</v>
      </c>
      <c r="AF154" s="2">
        <v>0</v>
      </c>
      <c r="AG154" s="2">
        <v>7</v>
      </c>
      <c r="AH154" s="2">
        <v>8</v>
      </c>
      <c r="AI154" s="2">
        <v>8</v>
      </c>
      <c r="AJ154" s="2">
        <v>2</v>
      </c>
      <c r="AK154" s="2">
        <v>0</v>
      </c>
      <c r="AL154" s="2">
        <v>0</v>
      </c>
      <c r="AM154" s="2">
        <v>11</v>
      </c>
      <c r="AN154" s="2">
        <v>1</v>
      </c>
      <c r="AO154" s="2">
        <v>0</v>
      </c>
      <c r="AP154" s="2">
        <v>1</v>
      </c>
      <c r="AQ154" s="2">
        <v>1</v>
      </c>
      <c r="AR154" s="2">
        <v>3</v>
      </c>
      <c r="AS154" s="2">
        <v>1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3</v>
      </c>
      <c r="BA154" s="2">
        <v>0</v>
      </c>
      <c r="BB154" s="2">
        <v>1</v>
      </c>
      <c r="BC154" s="2">
        <v>2</v>
      </c>
      <c r="BD154" s="2">
        <v>0</v>
      </c>
      <c r="BE154" s="2">
        <v>2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2</v>
      </c>
      <c r="BM154" s="2">
        <v>1</v>
      </c>
      <c r="BN154" s="2">
        <v>2</v>
      </c>
      <c r="BO154" s="2">
        <v>1</v>
      </c>
      <c r="BP154" s="2">
        <v>0</v>
      </c>
      <c r="BQ154" s="2">
        <v>1</v>
      </c>
      <c r="BR154" s="2">
        <v>1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1</v>
      </c>
      <c r="CB154" s="2">
        <v>0</v>
      </c>
      <c r="CC154" s="2">
        <v>0</v>
      </c>
      <c r="CD154" s="2">
        <v>1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  <c r="DE154" s="2">
        <v>0</v>
      </c>
      <c r="DF154" s="2">
        <v>0</v>
      </c>
      <c r="DG154" s="2">
        <v>0</v>
      </c>
      <c r="DH154" s="2">
        <v>2</v>
      </c>
      <c r="DI154" s="2">
        <v>2</v>
      </c>
      <c r="DJ154" s="2">
        <v>1</v>
      </c>
      <c r="DK154" s="2">
        <v>2</v>
      </c>
      <c r="DL154" s="2">
        <v>0</v>
      </c>
      <c r="DM154" s="2">
        <v>3</v>
      </c>
      <c r="DN154" s="2">
        <v>1</v>
      </c>
      <c r="DO154" s="2">
        <v>0</v>
      </c>
      <c r="DP154" s="2">
        <v>0</v>
      </c>
      <c r="DQ154" s="2">
        <v>0</v>
      </c>
      <c r="DR154" s="2">
        <v>0</v>
      </c>
      <c r="DS154" s="2">
        <v>0</v>
      </c>
    </row>
    <row r="155" spans="1:123">
      <c r="A155" s="2" t="s">
        <v>18</v>
      </c>
      <c r="B155" s="2" t="s">
        <v>344</v>
      </c>
      <c r="C155" s="2">
        <v>301</v>
      </c>
      <c r="D155" s="2">
        <v>14</v>
      </c>
      <c r="E155" s="2">
        <v>5.02</v>
      </c>
      <c r="F155" s="2">
        <v>21.5</v>
      </c>
      <c r="G155" s="2" t="s">
        <v>170</v>
      </c>
      <c r="H155">
        <f>IF(AND(OR(لوحة_القيادة!$C$4="الكل", A155=لوحة_القيادة!$C$4), IF(لوحة_القيادة!$C$5="الكل", TRUE, INDEX($V155:$AG155, 1, VALUE(لوحة_القيادة!$C$5))&gt;0)), 1, 0)</f>
        <v>0</v>
      </c>
      <c r="I155">
        <f>IF(H155=1, SUM($H$2:H155), "")</f>
        <v>0</v>
      </c>
      <c r="J155" s="2">
        <v>86</v>
      </c>
      <c r="K155" s="2">
        <v>101</v>
      </c>
      <c r="L155" s="2">
        <v>26</v>
      </c>
      <c r="M155" s="2">
        <v>3</v>
      </c>
      <c r="N155" s="2">
        <v>36</v>
      </c>
      <c r="O155" s="2">
        <v>49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4</v>
      </c>
      <c r="W155" s="2">
        <v>2</v>
      </c>
      <c r="X155" s="2">
        <v>3</v>
      </c>
      <c r="Y155" s="2">
        <v>2</v>
      </c>
      <c r="Z155" s="2">
        <v>2</v>
      </c>
      <c r="AA155" s="2">
        <v>1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4</v>
      </c>
      <c r="AH155" s="2">
        <v>2</v>
      </c>
      <c r="AI155" s="2">
        <v>0</v>
      </c>
      <c r="AJ155" s="2">
        <v>4</v>
      </c>
      <c r="AK155" s="2">
        <v>0</v>
      </c>
      <c r="AL155" s="2">
        <v>0</v>
      </c>
      <c r="AM155" s="2">
        <v>4</v>
      </c>
      <c r="AN155" s="2">
        <v>1</v>
      </c>
      <c r="AO155" s="2">
        <v>0</v>
      </c>
      <c r="AP155" s="2">
        <v>1</v>
      </c>
      <c r="AQ155" s="2">
        <v>0</v>
      </c>
      <c r="AR155" s="2">
        <v>2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1</v>
      </c>
      <c r="BC155" s="2">
        <v>1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2</v>
      </c>
      <c r="BY155" s="2">
        <v>1</v>
      </c>
      <c r="BZ155" s="2">
        <v>1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  <c r="DE155" s="2">
        <v>0</v>
      </c>
      <c r="DF155" s="2">
        <v>0</v>
      </c>
      <c r="DG155" s="2">
        <v>0</v>
      </c>
      <c r="DH155" s="2">
        <v>1</v>
      </c>
      <c r="DI155" s="2">
        <v>1</v>
      </c>
      <c r="DJ155" s="2">
        <v>0</v>
      </c>
      <c r="DK155" s="2">
        <v>1</v>
      </c>
      <c r="DL155" s="2">
        <v>0</v>
      </c>
      <c r="DM155" s="2">
        <v>1</v>
      </c>
      <c r="DN155" s="2">
        <v>0</v>
      </c>
      <c r="DO155" s="2">
        <v>0</v>
      </c>
      <c r="DP155" s="2">
        <v>0</v>
      </c>
      <c r="DQ155" s="2">
        <v>0</v>
      </c>
      <c r="DR155" s="2">
        <v>0</v>
      </c>
      <c r="DS155" s="2">
        <v>0</v>
      </c>
    </row>
    <row r="156" spans="1:123">
      <c r="A156" s="2" t="s">
        <v>6</v>
      </c>
      <c r="B156" s="2" t="s">
        <v>345</v>
      </c>
      <c r="C156" s="2">
        <v>299</v>
      </c>
      <c r="D156" s="2">
        <v>50</v>
      </c>
      <c r="E156" s="2">
        <v>4.98</v>
      </c>
      <c r="F156" s="2">
        <v>5.98</v>
      </c>
      <c r="G156" s="2" t="s">
        <v>160</v>
      </c>
      <c r="H156">
        <f>IF(AND(OR(لوحة_القيادة!$C$4="الكل", A156=لوحة_القيادة!$C$4), IF(لوحة_القيادة!$C$5="الكل", TRUE, INDEX($V156:$AG156, 1, VALUE(لوحة_القيادة!$C$5))&gt;0)), 1, 0)</f>
        <v>0</v>
      </c>
      <c r="I156">
        <f>IF(H156=1, SUM($H$2:H156), "")</f>
        <v>0</v>
      </c>
      <c r="J156" s="2">
        <v>44</v>
      </c>
      <c r="K156" s="2">
        <v>65</v>
      </c>
      <c r="L156" s="2">
        <v>60</v>
      </c>
      <c r="M156" s="2">
        <v>88</v>
      </c>
      <c r="N156" s="2">
        <v>2</v>
      </c>
      <c r="O156" s="2">
        <v>14</v>
      </c>
      <c r="P156" s="2">
        <v>26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6</v>
      </c>
      <c r="W156" s="2">
        <v>13</v>
      </c>
      <c r="X156" s="2">
        <v>9</v>
      </c>
      <c r="Y156" s="2">
        <v>15</v>
      </c>
      <c r="Z156" s="2">
        <v>2</v>
      </c>
      <c r="AA156" s="2">
        <v>2</v>
      </c>
      <c r="AB156" s="2">
        <v>3</v>
      </c>
      <c r="AC156" s="2">
        <v>0</v>
      </c>
      <c r="AD156" s="2">
        <v>0</v>
      </c>
      <c r="AE156" s="2">
        <v>0</v>
      </c>
      <c r="AF156" s="2">
        <v>0</v>
      </c>
      <c r="AG156" s="2">
        <v>9</v>
      </c>
      <c r="AH156" s="2">
        <v>10</v>
      </c>
      <c r="AI156" s="2">
        <v>11</v>
      </c>
      <c r="AJ156" s="2">
        <v>10</v>
      </c>
      <c r="AK156" s="2">
        <v>0</v>
      </c>
      <c r="AL156" s="2">
        <v>0</v>
      </c>
      <c r="AM156" s="2">
        <v>10</v>
      </c>
      <c r="AN156" s="2">
        <v>1</v>
      </c>
      <c r="AO156" s="2">
        <v>3</v>
      </c>
      <c r="AP156" s="2">
        <v>2</v>
      </c>
      <c r="AQ156" s="2">
        <v>3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1</v>
      </c>
      <c r="BA156" s="2">
        <v>3</v>
      </c>
      <c r="BB156" s="2">
        <v>2</v>
      </c>
      <c r="BC156" s="2">
        <v>3</v>
      </c>
      <c r="BD156" s="2">
        <v>0</v>
      </c>
      <c r="BE156" s="2">
        <v>0</v>
      </c>
      <c r="BF156" s="2">
        <v>1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2</v>
      </c>
      <c r="BM156" s="2">
        <v>2</v>
      </c>
      <c r="BN156" s="2">
        <v>1</v>
      </c>
      <c r="BO156" s="2">
        <v>4</v>
      </c>
      <c r="BP156" s="2">
        <v>2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3</v>
      </c>
      <c r="BZ156" s="2">
        <v>2</v>
      </c>
      <c r="CA156" s="2">
        <v>4</v>
      </c>
      <c r="CB156" s="2">
        <v>0</v>
      </c>
      <c r="CC156" s="2">
        <v>0</v>
      </c>
      <c r="CD156" s="2">
        <v>1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  <c r="DE156" s="2">
        <v>0</v>
      </c>
      <c r="DF156" s="2">
        <v>0</v>
      </c>
      <c r="DG156" s="2">
        <v>0</v>
      </c>
      <c r="DH156" s="2">
        <v>2</v>
      </c>
      <c r="DI156" s="2">
        <v>2</v>
      </c>
      <c r="DJ156" s="2">
        <v>2</v>
      </c>
      <c r="DK156" s="2">
        <v>1</v>
      </c>
      <c r="DL156" s="2">
        <v>0</v>
      </c>
      <c r="DM156" s="2">
        <v>2</v>
      </c>
      <c r="DN156" s="2">
        <v>1</v>
      </c>
      <c r="DO156" s="2">
        <v>0</v>
      </c>
      <c r="DP156" s="2">
        <v>0</v>
      </c>
      <c r="DQ156" s="2">
        <v>0</v>
      </c>
      <c r="DR156" s="2">
        <v>0</v>
      </c>
      <c r="DS156" s="2">
        <v>0</v>
      </c>
    </row>
    <row r="157" spans="1:123">
      <c r="A157" s="2" t="s">
        <v>13</v>
      </c>
      <c r="B157" s="2" t="s">
        <v>346</v>
      </c>
      <c r="C157" s="2">
        <v>299</v>
      </c>
      <c r="D157" s="2">
        <v>23</v>
      </c>
      <c r="E157" s="2">
        <v>4.98</v>
      </c>
      <c r="F157" s="2">
        <v>13</v>
      </c>
      <c r="G157" s="2" t="s">
        <v>186</v>
      </c>
      <c r="H157">
        <f>IF(AND(OR(لوحة_القيادة!$C$4="الكل", A157=لوحة_القيادة!$C$4), IF(لوحة_القيادة!$C$5="الكل", TRUE, INDEX($V157:$AG157, 1, VALUE(لوحة_القيادة!$C$5))&gt;0)), 1, 0)</f>
        <v>0</v>
      </c>
      <c r="I157">
        <f>IF(H157=1, SUM($H$2:H157), "")</f>
        <v>0</v>
      </c>
      <c r="J157" s="2">
        <v>0</v>
      </c>
      <c r="K157" s="2">
        <v>19</v>
      </c>
      <c r="L157" s="2">
        <v>171</v>
      </c>
      <c r="M157" s="2">
        <v>61</v>
      </c>
      <c r="N157" s="2">
        <v>13</v>
      </c>
      <c r="O157" s="2">
        <v>19</v>
      </c>
      <c r="P157" s="2">
        <v>16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2</v>
      </c>
      <c r="X157" s="2">
        <v>4</v>
      </c>
      <c r="Y157" s="2">
        <v>6</v>
      </c>
      <c r="Z157" s="2">
        <v>4</v>
      </c>
      <c r="AA157" s="2">
        <v>3</v>
      </c>
      <c r="AB157" s="2">
        <v>4</v>
      </c>
      <c r="AC157" s="2">
        <v>0</v>
      </c>
      <c r="AD157" s="2">
        <v>0</v>
      </c>
      <c r="AE157" s="2">
        <v>0</v>
      </c>
      <c r="AF157" s="2">
        <v>0</v>
      </c>
      <c r="AG157" s="2">
        <v>5</v>
      </c>
      <c r="AH157" s="2">
        <v>6</v>
      </c>
      <c r="AI157" s="2">
        <v>4</v>
      </c>
      <c r="AJ157" s="2">
        <v>4</v>
      </c>
      <c r="AK157" s="2">
        <v>0</v>
      </c>
      <c r="AL157" s="2">
        <v>0</v>
      </c>
      <c r="AM157" s="2">
        <v>4</v>
      </c>
      <c r="AN157" s="2">
        <v>0</v>
      </c>
      <c r="AO157" s="2">
        <v>1</v>
      </c>
      <c r="AP157" s="2">
        <v>0</v>
      </c>
      <c r="AQ157" s="2">
        <v>1</v>
      </c>
      <c r="AR157" s="2">
        <v>2</v>
      </c>
      <c r="AS157" s="2">
        <v>1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2</v>
      </c>
      <c r="BC157" s="2">
        <v>2</v>
      </c>
      <c r="BD157" s="2">
        <v>1</v>
      </c>
      <c r="BE157" s="2">
        <v>0</v>
      </c>
      <c r="BF157" s="2">
        <v>1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2</v>
      </c>
      <c r="BO157" s="2">
        <v>1</v>
      </c>
      <c r="BP157" s="2">
        <v>0</v>
      </c>
      <c r="BQ157" s="2">
        <v>0</v>
      </c>
      <c r="BR157" s="2">
        <v>1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1</v>
      </c>
      <c r="BZ157" s="2">
        <v>0</v>
      </c>
      <c r="CA157" s="2">
        <v>2</v>
      </c>
      <c r="CB157" s="2">
        <v>0</v>
      </c>
      <c r="CC157" s="2">
        <v>0</v>
      </c>
      <c r="CD157" s="2">
        <v>1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  <c r="DE157" s="2">
        <v>0</v>
      </c>
      <c r="DF157" s="2">
        <v>0</v>
      </c>
      <c r="DG157" s="2">
        <v>0</v>
      </c>
      <c r="DH157" s="2">
        <v>0</v>
      </c>
      <c r="DI157" s="2">
        <v>0</v>
      </c>
      <c r="DJ157" s="2">
        <v>0</v>
      </c>
      <c r="DK157" s="2">
        <v>0</v>
      </c>
      <c r="DL157" s="2">
        <v>1</v>
      </c>
      <c r="DM157" s="2">
        <v>2</v>
      </c>
      <c r="DN157" s="2">
        <v>1</v>
      </c>
      <c r="DO157" s="2">
        <v>0</v>
      </c>
      <c r="DP157" s="2">
        <v>0</v>
      </c>
      <c r="DQ157" s="2">
        <v>0</v>
      </c>
      <c r="DR157" s="2">
        <v>0</v>
      </c>
      <c r="DS157" s="2">
        <v>0</v>
      </c>
    </row>
    <row r="158" spans="1:123">
      <c r="A158" s="2" t="s">
        <v>4</v>
      </c>
      <c r="B158" s="2" t="s">
        <v>347</v>
      </c>
      <c r="C158" s="2">
        <v>294</v>
      </c>
      <c r="D158" s="2">
        <v>34</v>
      </c>
      <c r="E158" s="2">
        <v>4.9</v>
      </c>
      <c r="F158" s="2">
        <v>8.65</v>
      </c>
      <c r="G158" s="2" t="s">
        <v>262</v>
      </c>
      <c r="H158">
        <f>IF(AND(OR(لوحة_القيادة!$C$4="الكل", A158=لوحة_القيادة!$C$4), IF(لوحة_القيادة!$C$5="الكل", TRUE, INDEX($V158:$AG158, 1, VALUE(لوحة_القيادة!$C$5))&gt;0)), 1, 0)</f>
        <v>0</v>
      </c>
      <c r="I158">
        <f>IF(H158=1, SUM($H$2:H158), "")</f>
        <v>0</v>
      </c>
      <c r="J158" s="2">
        <v>0</v>
      </c>
      <c r="K158" s="2">
        <v>151</v>
      </c>
      <c r="L158" s="2">
        <v>17</v>
      </c>
      <c r="M158" s="2">
        <v>46</v>
      </c>
      <c r="N158" s="2">
        <v>73</v>
      </c>
      <c r="O158" s="2">
        <v>7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11</v>
      </c>
      <c r="X158" s="2">
        <v>5</v>
      </c>
      <c r="Y158" s="2">
        <v>6</v>
      </c>
      <c r="Z158" s="2">
        <v>8</v>
      </c>
      <c r="AA158" s="2">
        <v>4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7</v>
      </c>
      <c r="AH158" s="2">
        <v>5</v>
      </c>
      <c r="AI158" s="2">
        <v>6</v>
      </c>
      <c r="AJ158" s="2">
        <v>9</v>
      </c>
      <c r="AK158" s="2">
        <v>0</v>
      </c>
      <c r="AL158" s="2">
        <v>0</v>
      </c>
      <c r="AM158" s="2">
        <v>7</v>
      </c>
      <c r="AN158" s="2">
        <v>0</v>
      </c>
      <c r="AO158" s="2">
        <v>1</v>
      </c>
      <c r="AP158" s="2">
        <v>0</v>
      </c>
      <c r="AQ158" s="2">
        <v>2</v>
      </c>
      <c r="AR158" s="2">
        <v>2</v>
      </c>
      <c r="AS158" s="2">
        <v>2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2</v>
      </c>
      <c r="BB158" s="2">
        <v>1</v>
      </c>
      <c r="BC158" s="2">
        <v>1</v>
      </c>
      <c r="BD158" s="2">
        <v>1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3</v>
      </c>
      <c r="BN158" s="2">
        <v>0</v>
      </c>
      <c r="BO158" s="2">
        <v>2</v>
      </c>
      <c r="BP158" s="2">
        <v>0</v>
      </c>
      <c r="BQ158" s="2">
        <v>1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3</v>
      </c>
      <c r="BZ158" s="2">
        <v>2</v>
      </c>
      <c r="CA158" s="2">
        <v>0</v>
      </c>
      <c r="CB158" s="2">
        <v>3</v>
      </c>
      <c r="CC158" s="2">
        <v>1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  <c r="DE158" s="2">
        <v>0</v>
      </c>
      <c r="DF158" s="2">
        <v>0</v>
      </c>
      <c r="DG158" s="2">
        <v>0</v>
      </c>
      <c r="DH158" s="2">
        <v>0</v>
      </c>
      <c r="DI158" s="2">
        <v>2</v>
      </c>
      <c r="DJ158" s="2">
        <v>2</v>
      </c>
      <c r="DK158" s="2">
        <v>1</v>
      </c>
      <c r="DL158" s="2">
        <v>2</v>
      </c>
      <c r="DM158" s="2">
        <v>0</v>
      </c>
      <c r="DN158" s="2">
        <v>0</v>
      </c>
      <c r="DO158" s="2">
        <v>0</v>
      </c>
      <c r="DP158" s="2">
        <v>0</v>
      </c>
      <c r="DQ158" s="2">
        <v>0</v>
      </c>
      <c r="DR158" s="2">
        <v>0</v>
      </c>
      <c r="DS158" s="2">
        <v>0</v>
      </c>
    </row>
    <row r="159" spans="1:123">
      <c r="A159" s="2" t="s">
        <v>14</v>
      </c>
      <c r="B159" s="2" t="s">
        <v>348</v>
      </c>
      <c r="C159" s="2">
        <v>294</v>
      </c>
      <c r="D159" s="2">
        <v>25</v>
      </c>
      <c r="E159" s="2">
        <v>4.9</v>
      </c>
      <c r="F159" s="2">
        <v>11.76</v>
      </c>
      <c r="G159" s="2" t="s">
        <v>160</v>
      </c>
      <c r="H159">
        <f>IF(AND(OR(لوحة_القيادة!$C$4="الكل", A159=لوحة_القيادة!$C$4), IF(لوحة_القيادة!$C$5="الكل", TRUE, INDEX($V159:$AG159, 1, VALUE(لوحة_القيادة!$C$5))&gt;0)), 1, 0)</f>
        <v>0</v>
      </c>
      <c r="I159">
        <f>IF(H159=1, SUM($H$2:H159), "")</f>
        <v>0</v>
      </c>
      <c r="J159" s="2">
        <v>13</v>
      </c>
      <c r="K159" s="2">
        <v>12</v>
      </c>
      <c r="L159" s="2">
        <v>174</v>
      </c>
      <c r="M159" s="2">
        <v>47</v>
      </c>
      <c r="N159" s="2">
        <v>2</v>
      </c>
      <c r="O159" s="2">
        <v>17</v>
      </c>
      <c r="P159" s="2">
        <v>29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4</v>
      </c>
      <c r="W159" s="2">
        <v>3</v>
      </c>
      <c r="X159" s="2">
        <v>7</v>
      </c>
      <c r="Y159" s="2">
        <v>4</v>
      </c>
      <c r="Z159" s="2">
        <v>1</v>
      </c>
      <c r="AA159" s="2">
        <v>5</v>
      </c>
      <c r="AB159" s="2">
        <v>1</v>
      </c>
      <c r="AC159" s="2">
        <v>0</v>
      </c>
      <c r="AD159" s="2">
        <v>0</v>
      </c>
      <c r="AE159" s="2">
        <v>0</v>
      </c>
      <c r="AF159" s="2">
        <v>0</v>
      </c>
      <c r="AG159" s="2">
        <v>6</v>
      </c>
      <c r="AH159" s="2">
        <v>3</v>
      </c>
      <c r="AI159" s="2">
        <v>8</v>
      </c>
      <c r="AJ159" s="2">
        <v>4</v>
      </c>
      <c r="AK159" s="2">
        <v>0</v>
      </c>
      <c r="AL159" s="2">
        <v>0</v>
      </c>
      <c r="AM159" s="2">
        <v>4</v>
      </c>
      <c r="AN159" s="2">
        <v>1</v>
      </c>
      <c r="AO159" s="2">
        <v>0</v>
      </c>
      <c r="AP159" s="2">
        <v>1</v>
      </c>
      <c r="AQ159" s="2">
        <v>1</v>
      </c>
      <c r="AR159" s="2">
        <v>0</v>
      </c>
      <c r="AS159" s="2">
        <v>2</v>
      </c>
      <c r="AT159" s="2">
        <v>1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1</v>
      </c>
      <c r="BB159" s="2">
        <v>1</v>
      </c>
      <c r="BC159" s="2">
        <v>0</v>
      </c>
      <c r="BD159" s="2">
        <v>0</v>
      </c>
      <c r="BE159" s="2">
        <v>1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2</v>
      </c>
      <c r="BM159" s="2">
        <v>1</v>
      </c>
      <c r="BN159" s="2">
        <v>2</v>
      </c>
      <c r="BO159" s="2">
        <v>1</v>
      </c>
      <c r="BP159" s="2">
        <v>1</v>
      </c>
      <c r="BQ159" s="2">
        <v>1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1</v>
      </c>
      <c r="BZ159" s="2">
        <v>1</v>
      </c>
      <c r="CA159" s="2">
        <v>1</v>
      </c>
      <c r="CB159" s="2">
        <v>0</v>
      </c>
      <c r="CC159" s="2">
        <v>1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0</v>
      </c>
      <c r="DB159" s="2">
        <v>0</v>
      </c>
      <c r="DC159" s="2">
        <v>0</v>
      </c>
      <c r="DD159" s="2">
        <v>0</v>
      </c>
      <c r="DE159" s="2">
        <v>0</v>
      </c>
      <c r="DF159" s="2">
        <v>0</v>
      </c>
      <c r="DG159" s="2">
        <v>0</v>
      </c>
      <c r="DH159" s="2">
        <v>1</v>
      </c>
      <c r="DI159" s="2">
        <v>0</v>
      </c>
      <c r="DJ159" s="2">
        <v>2</v>
      </c>
      <c r="DK159" s="2">
        <v>1</v>
      </c>
      <c r="DL159" s="2">
        <v>0</v>
      </c>
      <c r="DM159" s="2">
        <v>0</v>
      </c>
      <c r="DN159" s="2">
        <v>0</v>
      </c>
      <c r="DO159" s="2">
        <v>0</v>
      </c>
      <c r="DP159" s="2">
        <v>0</v>
      </c>
      <c r="DQ159" s="2">
        <v>0</v>
      </c>
      <c r="DR159" s="2">
        <v>0</v>
      </c>
      <c r="DS159" s="2">
        <v>0</v>
      </c>
    </row>
    <row r="160" spans="1:123">
      <c r="A160" s="2" t="s">
        <v>1</v>
      </c>
      <c r="B160" s="2" t="s">
        <v>349</v>
      </c>
      <c r="C160" s="2">
        <v>288</v>
      </c>
      <c r="D160" s="2">
        <v>30</v>
      </c>
      <c r="E160" s="2">
        <v>4.8</v>
      </c>
      <c r="F160" s="2">
        <v>9.6</v>
      </c>
      <c r="G160" s="2" t="s">
        <v>240</v>
      </c>
      <c r="H160">
        <f>IF(AND(OR(لوحة_القيادة!$C$4="الكل", A160=لوحة_القيادة!$C$4), IF(لوحة_القيادة!$C$5="الكل", TRUE, INDEX($V160:$AG160, 1, VALUE(لوحة_القيادة!$C$5))&gt;0)), 1, 0)</f>
        <v>0</v>
      </c>
      <c r="I160">
        <f>IF(H160=1, SUM($H$2:H160), "")</f>
        <v>0</v>
      </c>
      <c r="J160" s="2">
        <v>44</v>
      </c>
      <c r="K160" s="2">
        <v>0</v>
      </c>
      <c r="L160" s="2">
        <v>26</v>
      </c>
      <c r="M160" s="2">
        <v>63</v>
      </c>
      <c r="N160" s="2">
        <v>118</v>
      </c>
      <c r="O160" s="2">
        <v>32</v>
      </c>
      <c r="P160" s="2">
        <v>5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5</v>
      </c>
      <c r="W160" s="2">
        <v>0</v>
      </c>
      <c r="X160" s="2">
        <v>3</v>
      </c>
      <c r="Y160" s="2">
        <v>7</v>
      </c>
      <c r="Z160" s="2">
        <v>8</v>
      </c>
      <c r="AA160" s="2">
        <v>6</v>
      </c>
      <c r="AB160" s="2">
        <v>1</v>
      </c>
      <c r="AC160" s="2">
        <v>0</v>
      </c>
      <c r="AD160" s="2">
        <v>0</v>
      </c>
      <c r="AE160" s="2">
        <v>0</v>
      </c>
      <c r="AF160" s="2">
        <v>0</v>
      </c>
      <c r="AG160" s="2">
        <v>11</v>
      </c>
      <c r="AH160" s="2">
        <v>4</v>
      </c>
      <c r="AI160" s="2">
        <v>4</v>
      </c>
      <c r="AJ160" s="2">
        <v>3</v>
      </c>
      <c r="AK160" s="2">
        <v>0</v>
      </c>
      <c r="AL160" s="2">
        <v>0</v>
      </c>
      <c r="AM160" s="2">
        <v>8</v>
      </c>
      <c r="AN160" s="2">
        <v>3</v>
      </c>
      <c r="AO160" s="2">
        <v>0</v>
      </c>
      <c r="AP160" s="2">
        <v>0</v>
      </c>
      <c r="AQ160" s="2">
        <v>3</v>
      </c>
      <c r="AR160" s="2">
        <v>3</v>
      </c>
      <c r="AS160" s="2">
        <v>2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1</v>
      </c>
      <c r="BC160" s="2">
        <v>1</v>
      </c>
      <c r="BD160" s="2">
        <v>1</v>
      </c>
      <c r="BE160" s="2">
        <v>1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1</v>
      </c>
      <c r="BM160" s="2">
        <v>0</v>
      </c>
      <c r="BN160" s="2">
        <v>1</v>
      </c>
      <c r="BO160" s="2">
        <v>1</v>
      </c>
      <c r="BP160" s="2">
        <v>0</v>
      </c>
      <c r="BQ160" s="2">
        <v>1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1</v>
      </c>
      <c r="BY160" s="2">
        <v>0</v>
      </c>
      <c r="BZ160" s="2">
        <v>0</v>
      </c>
      <c r="CA160" s="2">
        <v>1</v>
      </c>
      <c r="CB160" s="2">
        <v>0</v>
      </c>
      <c r="CC160" s="2">
        <v>0</v>
      </c>
      <c r="CD160" s="2">
        <v>1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 s="2">
        <v>0</v>
      </c>
      <c r="DC160" s="2">
        <v>0</v>
      </c>
      <c r="DD160" s="2">
        <v>0</v>
      </c>
      <c r="DE160" s="2">
        <v>0</v>
      </c>
      <c r="DF160" s="2">
        <v>0</v>
      </c>
      <c r="DG160" s="2">
        <v>0</v>
      </c>
      <c r="DH160" s="2">
        <v>0</v>
      </c>
      <c r="DI160" s="2">
        <v>0</v>
      </c>
      <c r="DJ160" s="2">
        <v>1</v>
      </c>
      <c r="DK160" s="2">
        <v>1</v>
      </c>
      <c r="DL160" s="2">
        <v>4</v>
      </c>
      <c r="DM160" s="2">
        <v>2</v>
      </c>
      <c r="DN160" s="2">
        <v>0</v>
      </c>
      <c r="DO160" s="2">
        <v>0</v>
      </c>
      <c r="DP160" s="2">
        <v>0</v>
      </c>
      <c r="DQ160" s="2">
        <v>0</v>
      </c>
      <c r="DR160" s="2">
        <v>0</v>
      </c>
      <c r="DS160" s="2">
        <v>0</v>
      </c>
    </row>
    <row r="161" spans="1:123">
      <c r="A161" s="2" t="s">
        <v>16</v>
      </c>
      <c r="B161" s="2" t="s">
        <v>350</v>
      </c>
      <c r="C161" s="2">
        <v>288</v>
      </c>
      <c r="D161" s="2">
        <v>6</v>
      </c>
      <c r="E161" s="2">
        <v>4.8</v>
      </c>
      <c r="F161" s="2">
        <v>48</v>
      </c>
      <c r="G161" s="2" t="s">
        <v>351</v>
      </c>
      <c r="H161">
        <f>IF(AND(OR(لوحة_القيادة!$C$4="الكل", A161=لوحة_القيادة!$C$4), IF(لوحة_القيادة!$C$5="الكل", TRUE, INDEX($V161:$AG161, 1, VALUE(لوحة_القيادة!$C$5))&gt;0)), 1, 0)</f>
        <v>0</v>
      </c>
      <c r="I161">
        <f>IF(H161=1, SUM($H$2:H161), "")</f>
        <v>0</v>
      </c>
      <c r="J161" s="2">
        <v>0</v>
      </c>
      <c r="K161" s="2">
        <v>0</v>
      </c>
      <c r="L161" s="2">
        <v>27</v>
      </c>
      <c r="M161" s="2">
        <v>0</v>
      </c>
      <c r="N161" s="2">
        <v>0</v>
      </c>
      <c r="O161" s="2">
        <v>54</v>
      </c>
      <c r="P161" s="2">
        <v>207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1</v>
      </c>
      <c r="Y161" s="2">
        <v>0</v>
      </c>
      <c r="Z161" s="2">
        <v>0</v>
      </c>
      <c r="AA161" s="2">
        <v>1</v>
      </c>
      <c r="AB161" s="2">
        <v>4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3</v>
      </c>
      <c r="AI161" s="2">
        <v>0</v>
      </c>
      <c r="AJ161" s="2">
        <v>2</v>
      </c>
      <c r="AK161" s="2">
        <v>0</v>
      </c>
      <c r="AL161" s="2">
        <v>0</v>
      </c>
      <c r="AM161" s="2">
        <v>1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1</v>
      </c>
      <c r="BC161" s="2">
        <v>0</v>
      </c>
      <c r="BD161" s="2">
        <v>0</v>
      </c>
      <c r="BE161" s="2">
        <v>1</v>
      </c>
      <c r="BF161" s="2">
        <v>1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2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>
        <v>0</v>
      </c>
      <c r="DC161" s="2">
        <v>0</v>
      </c>
      <c r="DD161" s="2">
        <v>0</v>
      </c>
      <c r="DE161" s="2">
        <v>0</v>
      </c>
      <c r="DF161" s="2">
        <v>0</v>
      </c>
      <c r="DG161" s="2">
        <v>0</v>
      </c>
      <c r="DH161" s="2">
        <v>0</v>
      </c>
      <c r="DI161" s="2">
        <v>0</v>
      </c>
      <c r="DJ161" s="2">
        <v>0</v>
      </c>
      <c r="DK161" s="2">
        <v>0</v>
      </c>
      <c r="DL161" s="2">
        <v>0</v>
      </c>
      <c r="DM161" s="2">
        <v>0</v>
      </c>
      <c r="DN161" s="2">
        <v>1</v>
      </c>
      <c r="DO161" s="2">
        <v>0</v>
      </c>
      <c r="DP161" s="2">
        <v>0</v>
      </c>
      <c r="DQ161" s="2">
        <v>0</v>
      </c>
      <c r="DR161" s="2">
        <v>0</v>
      </c>
      <c r="DS161" s="2">
        <v>0</v>
      </c>
    </row>
    <row r="162" spans="1:123">
      <c r="A162" s="2" t="s">
        <v>13</v>
      </c>
      <c r="B162" s="2" t="s">
        <v>352</v>
      </c>
      <c r="C162" s="2">
        <v>285</v>
      </c>
      <c r="D162" s="2">
        <v>26</v>
      </c>
      <c r="E162" s="2">
        <v>4.75</v>
      </c>
      <c r="F162" s="2">
        <v>10.96</v>
      </c>
      <c r="G162" s="2" t="s">
        <v>160</v>
      </c>
      <c r="H162">
        <f>IF(AND(OR(لوحة_القيادة!$C$4="الكل", A162=لوحة_القيادة!$C$4), IF(لوحة_القيادة!$C$5="الكل", TRUE, INDEX($V162:$AG162, 1, VALUE(لوحة_القيادة!$C$5))&gt;0)), 1, 0)</f>
        <v>0</v>
      </c>
      <c r="I162">
        <f>IF(H162=1, SUM($H$2:H162), "")</f>
        <v>0</v>
      </c>
      <c r="J162" s="2">
        <v>34</v>
      </c>
      <c r="K162" s="2">
        <v>27</v>
      </c>
      <c r="L162" s="2">
        <v>127</v>
      </c>
      <c r="M162" s="2">
        <v>19</v>
      </c>
      <c r="N162" s="2">
        <v>1</v>
      </c>
      <c r="O162" s="2">
        <v>4</v>
      </c>
      <c r="P162" s="2">
        <v>73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4</v>
      </c>
      <c r="W162" s="2">
        <v>4</v>
      </c>
      <c r="X162" s="2">
        <v>9</v>
      </c>
      <c r="Y162" s="2">
        <v>4</v>
      </c>
      <c r="Z162" s="2">
        <v>1</v>
      </c>
      <c r="AA162" s="2">
        <v>2</v>
      </c>
      <c r="AB162" s="2">
        <v>2</v>
      </c>
      <c r="AC162" s="2">
        <v>0</v>
      </c>
      <c r="AD162" s="2">
        <v>0</v>
      </c>
      <c r="AE162" s="2">
        <v>0</v>
      </c>
      <c r="AF162" s="2">
        <v>0</v>
      </c>
      <c r="AG162" s="2">
        <v>4</v>
      </c>
      <c r="AH162" s="2">
        <v>2</v>
      </c>
      <c r="AI162" s="2">
        <v>7</v>
      </c>
      <c r="AJ162" s="2">
        <v>7</v>
      </c>
      <c r="AK162" s="2">
        <v>0</v>
      </c>
      <c r="AL162" s="2">
        <v>0</v>
      </c>
      <c r="AM162" s="2">
        <v>6</v>
      </c>
      <c r="AN162" s="2">
        <v>0</v>
      </c>
      <c r="AO162" s="2">
        <v>0</v>
      </c>
      <c r="AP162" s="2">
        <v>1</v>
      </c>
      <c r="AQ162" s="2">
        <v>1</v>
      </c>
      <c r="AR162" s="2">
        <v>0</v>
      </c>
      <c r="AS162" s="2">
        <v>1</v>
      </c>
      <c r="AT162" s="2">
        <v>1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1</v>
      </c>
      <c r="BC162" s="2">
        <v>1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2</v>
      </c>
      <c r="BM162" s="2">
        <v>1</v>
      </c>
      <c r="BN162" s="2">
        <v>2</v>
      </c>
      <c r="BO162" s="2">
        <v>2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1</v>
      </c>
      <c r="BY162" s="2">
        <v>1</v>
      </c>
      <c r="BZ162" s="2">
        <v>2</v>
      </c>
      <c r="CA162" s="2">
        <v>0</v>
      </c>
      <c r="CB162" s="2">
        <v>1</v>
      </c>
      <c r="CC162" s="2">
        <v>1</v>
      </c>
      <c r="CD162" s="2">
        <v>1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0</v>
      </c>
      <c r="DB162" s="2">
        <v>0</v>
      </c>
      <c r="DC162" s="2">
        <v>0</v>
      </c>
      <c r="DD162" s="2">
        <v>0</v>
      </c>
      <c r="DE162" s="2">
        <v>0</v>
      </c>
      <c r="DF162" s="2">
        <v>0</v>
      </c>
      <c r="DG162" s="2">
        <v>0</v>
      </c>
      <c r="DH162" s="2">
        <v>1</v>
      </c>
      <c r="DI162" s="2">
        <v>2</v>
      </c>
      <c r="DJ162" s="2">
        <v>3</v>
      </c>
      <c r="DK162" s="2">
        <v>0</v>
      </c>
      <c r="DL162" s="2">
        <v>0</v>
      </c>
      <c r="DM162" s="2">
        <v>0</v>
      </c>
      <c r="DN162" s="2">
        <v>0</v>
      </c>
      <c r="DO162" s="2">
        <v>0</v>
      </c>
      <c r="DP162" s="2">
        <v>0</v>
      </c>
      <c r="DQ162" s="2">
        <v>0</v>
      </c>
      <c r="DR162" s="2">
        <v>0</v>
      </c>
      <c r="DS162" s="2">
        <v>0</v>
      </c>
    </row>
    <row r="163" spans="1:123">
      <c r="A163" s="2" t="s">
        <v>22</v>
      </c>
      <c r="B163" s="2" t="s">
        <v>353</v>
      </c>
      <c r="C163" s="2">
        <v>285</v>
      </c>
      <c r="D163" s="2">
        <v>11</v>
      </c>
      <c r="E163" s="2">
        <v>4.75</v>
      </c>
      <c r="F163" s="2">
        <v>25.91</v>
      </c>
      <c r="G163" s="2" t="s">
        <v>189</v>
      </c>
      <c r="H163">
        <f>IF(AND(OR(لوحة_القيادة!$C$4="الكل", A163=لوحة_القيادة!$C$4), IF(لوحة_القيادة!$C$5="الكل", TRUE, INDEX($V163:$AG163, 1, VALUE(لوحة_القيادة!$C$5))&gt;0)), 1, 0)</f>
        <v>0</v>
      </c>
      <c r="I163">
        <f>IF(H163=1, SUM($H$2:H163), "")</f>
        <v>0</v>
      </c>
      <c r="J163" s="2">
        <v>30</v>
      </c>
      <c r="K163" s="2">
        <v>10</v>
      </c>
      <c r="L163" s="2">
        <v>29</v>
      </c>
      <c r="M163" s="2">
        <v>15</v>
      </c>
      <c r="N163" s="2">
        <v>0</v>
      </c>
      <c r="O163" s="2">
        <v>94</v>
      </c>
      <c r="P163" s="2">
        <v>107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3</v>
      </c>
      <c r="W163" s="2">
        <v>1</v>
      </c>
      <c r="X163" s="2">
        <v>1</v>
      </c>
      <c r="Y163" s="2">
        <v>1</v>
      </c>
      <c r="Z163" s="2">
        <v>0</v>
      </c>
      <c r="AA163" s="2">
        <v>4</v>
      </c>
      <c r="AB163" s="2">
        <v>1</v>
      </c>
      <c r="AC163" s="2">
        <v>0</v>
      </c>
      <c r="AD163" s="2">
        <v>0</v>
      </c>
      <c r="AE163" s="2">
        <v>0</v>
      </c>
      <c r="AF163" s="2">
        <v>0</v>
      </c>
      <c r="AG163" s="2">
        <v>2</v>
      </c>
      <c r="AH163" s="2">
        <v>2</v>
      </c>
      <c r="AI163" s="2">
        <v>1</v>
      </c>
      <c r="AJ163" s="2">
        <v>3</v>
      </c>
      <c r="AK163" s="2">
        <v>0</v>
      </c>
      <c r="AL163" s="2">
        <v>0</v>
      </c>
      <c r="AM163" s="2">
        <v>3</v>
      </c>
      <c r="AN163" s="2">
        <v>1</v>
      </c>
      <c r="AO163" s="2">
        <v>0</v>
      </c>
      <c r="AP163" s="2">
        <v>0</v>
      </c>
      <c r="AQ163" s="2">
        <v>0</v>
      </c>
      <c r="AR163" s="2">
        <v>0</v>
      </c>
      <c r="AS163" s="2">
        <v>1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1</v>
      </c>
      <c r="BC163" s="2">
        <v>0</v>
      </c>
      <c r="BD163" s="2">
        <v>0</v>
      </c>
      <c r="BE163" s="2">
        <v>1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1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1</v>
      </c>
      <c r="BY163" s="2">
        <v>0</v>
      </c>
      <c r="BZ163" s="2">
        <v>0</v>
      </c>
      <c r="CA163" s="2">
        <v>0</v>
      </c>
      <c r="CB163" s="2">
        <v>0</v>
      </c>
      <c r="CC163" s="2">
        <v>1</v>
      </c>
      <c r="CD163" s="2">
        <v>1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>
        <v>0</v>
      </c>
      <c r="DC163" s="2">
        <v>0</v>
      </c>
      <c r="DD163" s="2">
        <v>0</v>
      </c>
      <c r="DE163" s="2">
        <v>0</v>
      </c>
      <c r="DF163" s="2">
        <v>0</v>
      </c>
      <c r="DG163" s="2">
        <v>0</v>
      </c>
      <c r="DH163" s="2">
        <v>1</v>
      </c>
      <c r="DI163" s="2">
        <v>1</v>
      </c>
      <c r="DJ163" s="2">
        <v>0</v>
      </c>
      <c r="DK163" s="2">
        <v>0</v>
      </c>
      <c r="DL163" s="2">
        <v>0</v>
      </c>
      <c r="DM163" s="2">
        <v>1</v>
      </c>
      <c r="DN163" s="2">
        <v>0</v>
      </c>
      <c r="DO163" s="2">
        <v>0</v>
      </c>
      <c r="DP163" s="2">
        <v>0</v>
      </c>
      <c r="DQ163" s="2">
        <v>0</v>
      </c>
      <c r="DR163" s="2">
        <v>0</v>
      </c>
      <c r="DS163" s="2">
        <v>0</v>
      </c>
    </row>
    <row r="164" spans="1:123">
      <c r="A164" s="2" t="s">
        <v>14</v>
      </c>
      <c r="B164" s="2" t="s">
        <v>354</v>
      </c>
      <c r="C164" s="2">
        <v>280</v>
      </c>
      <c r="D164" s="2">
        <v>18</v>
      </c>
      <c r="E164" s="2">
        <v>4.67</v>
      </c>
      <c r="F164" s="2">
        <v>15.56</v>
      </c>
      <c r="G164" s="2" t="s">
        <v>170</v>
      </c>
      <c r="H164">
        <f>IF(AND(OR(لوحة_القيادة!$C$4="الكل", A164=لوحة_القيادة!$C$4), IF(لوحة_القيادة!$C$5="الكل", TRUE, INDEX($V164:$AG164, 1, VALUE(لوحة_القيادة!$C$5))&gt;0)), 1, 0)</f>
        <v>0</v>
      </c>
      <c r="I164">
        <f>IF(H164=1, SUM($H$2:H164), "")</f>
        <v>0</v>
      </c>
      <c r="J164" s="2">
        <v>21</v>
      </c>
      <c r="K164" s="2">
        <v>144</v>
      </c>
      <c r="L164" s="2">
        <v>101</v>
      </c>
      <c r="M164" s="2">
        <v>3</v>
      </c>
      <c r="N164" s="2">
        <v>7</v>
      </c>
      <c r="O164" s="2">
        <v>4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4</v>
      </c>
      <c r="W164" s="2">
        <v>3</v>
      </c>
      <c r="X164" s="2">
        <v>6</v>
      </c>
      <c r="Y164" s="2">
        <v>2</v>
      </c>
      <c r="Z164" s="2">
        <v>1</v>
      </c>
      <c r="AA164" s="2">
        <v>2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4</v>
      </c>
      <c r="AH164" s="2">
        <v>3</v>
      </c>
      <c r="AI164" s="2">
        <v>4</v>
      </c>
      <c r="AJ164" s="2">
        <v>1</v>
      </c>
      <c r="AK164" s="2">
        <v>0</v>
      </c>
      <c r="AL164" s="2">
        <v>0</v>
      </c>
      <c r="AM164" s="2">
        <v>6</v>
      </c>
      <c r="AN164" s="2">
        <v>0</v>
      </c>
      <c r="AO164" s="2">
        <v>0</v>
      </c>
      <c r="AP164" s="2">
        <v>2</v>
      </c>
      <c r="AQ164" s="2">
        <v>1</v>
      </c>
      <c r="AR164" s="2">
        <v>0</v>
      </c>
      <c r="AS164" s="2">
        <v>1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2</v>
      </c>
      <c r="BA164" s="2">
        <v>0</v>
      </c>
      <c r="BB164" s="2">
        <v>1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2</v>
      </c>
      <c r="BN164" s="2">
        <v>2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1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>
        <v>0</v>
      </c>
      <c r="DC164" s="2">
        <v>0</v>
      </c>
      <c r="DD164" s="2">
        <v>0</v>
      </c>
      <c r="DE164" s="2">
        <v>0</v>
      </c>
      <c r="DF164" s="2">
        <v>0</v>
      </c>
      <c r="DG164" s="2">
        <v>0</v>
      </c>
      <c r="DH164" s="2">
        <v>2</v>
      </c>
      <c r="DI164" s="2">
        <v>1</v>
      </c>
      <c r="DJ164" s="2">
        <v>0</v>
      </c>
      <c r="DK164" s="2">
        <v>1</v>
      </c>
      <c r="DL164" s="2">
        <v>1</v>
      </c>
      <c r="DM164" s="2">
        <v>1</v>
      </c>
      <c r="DN164" s="2">
        <v>0</v>
      </c>
      <c r="DO164" s="2">
        <v>0</v>
      </c>
      <c r="DP164" s="2">
        <v>0</v>
      </c>
      <c r="DQ164" s="2">
        <v>0</v>
      </c>
      <c r="DR164" s="2">
        <v>0</v>
      </c>
      <c r="DS164" s="2">
        <v>0</v>
      </c>
    </row>
    <row r="165" spans="1:123">
      <c r="A165" s="2" t="s">
        <v>22</v>
      </c>
      <c r="B165" s="2" t="s">
        <v>355</v>
      </c>
      <c r="C165" s="2">
        <v>277</v>
      </c>
      <c r="D165" s="2">
        <v>37</v>
      </c>
      <c r="E165" s="2">
        <v>4.62</v>
      </c>
      <c r="F165" s="2">
        <v>7.49</v>
      </c>
      <c r="G165" s="2" t="s">
        <v>208</v>
      </c>
      <c r="H165">
        <f>IF(AND(OR(لوحة_القيادة!$C$4="الكل", A165=لوحة_القيادة!$C$4), IF(لوحة_القيادة!$C$5="الكل", TRUE, INDEX($V165:$AG165, 1, VALUE(لوحة_القيادة!$C$5))&gt;0)), 1, 0)</f>
        <v>0</v>
      </c>
      <c r="I165">
        <f>IF(H165=1, SUM($H$2:H165), "")</f>
        <v>0</v>
      </c>
      <c r="J165" s="2">
        <v>99</v>
      </c>
      <c r="K165" s="2">
        <v>83</v>
      </c>
      <c r="L165" s="2">
        <v>0</v>
      </c>
      <c r="M165" s="2">
        <v>58</v>
      </c>
      <c r="N165" s="2">
        <v>37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13</v>
      </c>
      <c r="W165" s="2">
        <v>10</v>
      </c>
      <c r="X165" s="2">
        <v>0</v>
      </c>
      <c r="Y165" s="2">
        <v>8</v>
      </c>
      <c r="Z165" s="2">
        <v>6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9</v>
      </c>
      <c r="AH165" s="2">
        <v>7</v>
      </c>
      <c r="AI165" s="2">
        <v>5</v>
      </c>
      <c r="AJ165" s="2">
        <v>8</v>
      </c>
      <c r="AK165" s="2">
        <v>0</v>
      </c>
      <c r="AL165" s="2">
        <v>0</v>
      </c>
      <c r="AM165" s="2">
        <v>8</v>
      </c>
      <c r="AN165" s="2">
        <v>4</v>
      </c>
      <c r="AO165" s="2">
        <v>1</v>
      </c>
      <c r="AP165" s="2">
        <v>0</v>
      </c>
      <c r="AQ165" s="2">
        <v>2</v>
      </c>
      <c r="AR165" s="2">
        <v>2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2</v>
      </c>
      <c r="BA165" s="2">
        <v>2</v>
      </c>
      <c r="BB165" s="2">
        <v>0</v>
      </c>
      <c r="BC165" s="2">
        <v>1</v>
      </c>
      <c r="BD165" s="2">
        <v>2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3</v>
      </c>
      <c r="BM165" s="2">
        <v>1</v>
      </c>
      <c r="BN165" s="2">
        <v>0</v>
      </c>
      <c r="BO165" s="2">
        <v>1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1</v>
      </c>
      <c r="BY165" s="2">
        <v>3</v>
      </c>
      <c r="BZ165" s="2">
        <v>0</v>
      </c>
      <c r="CA165" s="2">
        <v>2</v>
      </c>
      <c r="CB165" s="2">
        <v>2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0</v>
      </c>
      <c r="DB165" s="2">
        <v>0</v>
      </c>
      <c r="DC165" s="2">
        <v>0</v>
      </c>
      <c r="DD165" s="2">
        <v>0</v>
      </c>
      <c r="DE165" s="2">
        <v>0</v>
      </c>
      <c r="DF165" s="2">
        <v>0</v>
      </c>
      <c r="DG165" s="2">
        <v>0</v>
      </c>
      <c r="DH165" s="2">
        <v>3</v>
      </c>
      <c r="DI165" s="2">
        <v>3</v>
      </c>
      <c r="DJ165" s="2">
        <v>0</v>
      </c>
      <c r="DK165" s="2">
        <v>2</v>
      </c>
      <c r="DL165" s="2">
        <v>0</v>
      </c>
      <c r="DM165" s="2">
        <v>0</v>
      </c>
      <c r="DN165" s="2">
        <v>0</v>
      </c>
      <c r="DO165" s="2">
        <v>0</v>
      </c>
      <c r="DP165" s="2">
        <v>0</v>
      </c>
      <c r="DQ165" s="2">
        <v>0</v>
      </c>
      <c r="DR165" s="2">
        <v>0</v>
      </c>
      <c r="DS165" s="2">
        <v>0</v>
      </c>
    </row>
    <row r="166" spans="1:123">
      <c r="A166" s="2" t="s">
        <v>16</v>
      </c>
      <c r="B166" s="2" t="s">
        <v>356</v>
      </c>
      <c r="C166" s="2">
        <v>273</v>
      </c>
      <c r="D166" s="2">
        <v>23</v>
      </c>
      <c r="E166" s="2">
        <v>4.55</v>
      </c>
      <c r="F166" s="2">
        <v>11.87</v>
      </c>
      <c r="G166" s="2" t="s">
        <v>160</v>
      </c>
      <c r="H166">
        <f>IF(AND(OR(لوحة_القيادة!$C$4="الكل", A166=لوحة_القيادة!$C$4), IF(لوحة_القيادة!$C$5="الكل", TRUE, INDEX($V166:$AG166, 1, VALUE(لوحة_القيادة!$C$5))&gt;0)), 1, 0)</f>
        <v>0</v>
      </c>
      <c r="I166">
        <f>IF(H166=1, SUM($H$2:H166), "")</f>
        <v>0</v>
      </c>
      <c r="J166" s="2">
        <v>15</v>
      </c>
      <c r="K166" s="2">
        <v>1</v>
      </c>
      <c r="L166" s="2">
        <v>83</v>
      </c>
      <c r="M166" s="2">
        <v>11</v>
      </c>
      <c r="N166" s="2">
        <v>130</v>
      </c>
      <c r="O166" s="2">
        <v>25</v>
      </c>
      <c r="P166" s="2">
        <v>8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2</v>
      </c>
      <c r="W166" s="2">
        <v>1</v>
      </c>
      <c r="X166" s="2">
        <v>6</v>
      </c>
      <c r="Y166" s="2">
        <v>5</v>
      </c>
      <c r="Z166" s="2">
        <v>4</v>
      </c>
      <c r="AA166" s="2">
        <v>4</v>
      </c>
      <c r="AB166" s="2">
        <v>1</v>
      </c>
      <c r="AC166" s="2">
        <v>0</v>
      </c>
      <c r="AD166" s="2">
        <v>0</v>
      </c>
      <c r="AE166" s="2">
        <v>0</v>
      </c>
      <c r="AF166" s="2">
        <v>0</v>
      </c>
      <c r="AG166" s="2">
        <v>3</v>
      </c>
      <c r="AH166" s="2">
        <v>7</v>
      </c>
      <c r="AI166" s="2">
        <v>4</v>
      </c>
      <c r="AJ166" s="2">
        <v>5</v>
      </c>
      <c r="AK166" s="2">
        <v>0</v>
      </c>
      <c r="AL166" s="2">
        <v>0</v>
      </c>
      <c r="AM166" s="2">
        <v>4</v>
      </c>
      <c r="AN166" s="2">
        <v>0</v>
      </c>
      <c r="AO166" s="2">
        <v>0</v>
      </c>
      <c r="AP166" s="2">
        <v>1</v>
      </c>
      <c r="AQ166" s="2">
        <v>1</v>
      </c>
      <c r="AR166" s="2">
        <v>1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1</v>
      </c>
      <c r="BA166" s="2">
        <v>0</v>
      </c>
      <c r="BB166" s="2">
        <v>3</v>
      </c>
      <c r="BC166" s="2">
        <v>1</v>
      </c>
      <c r="BD166" s="2">
        <v>1</v>
      </c>
      <c r="BE166" s="2">
        <v>1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1</v>
      </c>
      <c r="BM166" s="2">
        <v>0</v>
      </c>
      <c r="BN166" s="2">
        <v>1</v>
      </c>
      <c r="BO166" s="2">
        <v>1</v>
      </c>
      <c r="BP166" s="2">
        <v>0</v>
      </c>
      <c r="BQ166" s="2">
        <v>1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2</v>
      </c>
      <c r="CB166" s="2">
        <v>1</v>
      </c>
      <c r="CC166" s="2">
        <v>1</v>
      </c>
      <c r="CD166" s="2">
        <v>1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>
        <v>0</v>
      </c>
      <c r="DC166" s="2">
        <v>0</v>
      </c>
      <c r="DD166" s="2">
        <v>0</v>
      </c>
      <c r="DE166" s="2">
        <v>0</v>
      </c>
      <c r="DF166" s="2">
        <v>0</v>
      </c>
      <c r="DG166" s="2">
        <v>0</v>
      </c>
      <c r="DH166" s="2">
        <v>0</v>
      </c>
      <c r="DI166" s="2">
        <v>1</v>
      </c>
      <c r="DJ166" s="2">
        <v>1</v>
      </c>
      <c r="DK166" s="2">
        <v>0</v>
      </c>
      <c r="DL166" s="2">
        <v>1</v>
      </c>
      <c r="DM166" s="2">
        <v>1</v>
      </c>
      <c r="DN166" s="2">
        <v>0</v>
      </c>
      <c r="DO166" s="2">
        <v>0</v>
      </c>
      <c r="DP166" s="2">
        <v>0</v>
      </c>
      <c r="DQ166" s="2">
        <v>0</v>
      </c>
      <c r="DR166" s="2">
        <v>0</v>
      </c>
      <c r="DS166" s="2">
        <v>0</v>
      </c>
    </row>
    <row r="167" spans="1:123">
      <c r="A167" s="2" t="s">
        <v>6</v>
      </c>
      <c r="B167" s="2" t="s">
        <v>357</v>
      </c>
      <c r="C167" s="2">
        <v>270</v>
      </c>
      <c r="D167" s="2">
        <v>36</v>
      </c>
      <c r="E167" s="2">
        <v>4.5</v>
      </c>
      <c r="F167" s="2">
        <v>7.5</v>
      </c>
      <c r="G167" s="2" t="s">
        <v>160</v>
      </c>
      <c r="H167">
        <f>IF(AND(OR(لوحة_القيادة!$C$4="الكل", A167=لوحة_القيادة!$C$4), IF(لوحة_القيادة!$C$5="الكل", TRUE, INDEX($V167:$AG167, 1, VALUE(لوحة_القيادة!$C$5))&gt;0)), 1, 0)</f>
        <v>0</v>
      </c>
      <c r="I167">
        <f>IF(H167=1, SUM($H$2:H167), "")</f>
        <v>0</v>
      </c>
      <c r="J167" s="2">
        <v>43</v>
      </c>
      <c r="K167" s="2">
        <v>35</v>
      </c>
      <c r="L167" s="2">
        <v>57</v>
      </c>
      <c r="M167" s="2">
        <v>26</v>
      </c>
      <c r="N167" s="2">
        <v>70</v>
      </c>
      <c r="O167" s="2">
        <v>13</v>
      </c>
      <c r="P167" s="2">
        <v>26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6</v>
      </c>
      <c r="W167" s="2">
        <v>4</v>
      </c>
      <c r="X167" s="2">
        <v>8</v>
      </c>
      <c r="Y167" s="2">
        <v>4</v>
      </c>
      <c r="Z167" s="2">
        <v>8</v>
      </c>
      <c r="AA167" s="2">
        <v>3</v>
      </c>
      <c r="AB167" s="2">
        <v>3</v>
      </c>
      <c r="AC167" s="2">
        <v>0</v>
      </c>
      <c r="AD167" s="2">
        <v>0</v>
      </c>
      <c r="AE167" s="2">
        <v>0</v>
      </c>
      <c r="AF167" s="2">
        <v>0</v>
      </c>
      <c r="AG167" s="2">
        <v>7</v>
      </c>
      <c r="AH167" s="2">
        <v>9</v>
      </c>
      <c r="AI167" s="2">
        <v>6</v>
      </c>
      <c r="AJ167" s="2">
        <v>7</v>
      </c>
      <c r="AK167" s="2">
        <v>0</v>
      </c>
      <c r="AL167" s="2">
        <v>0</v>
      </c>
      <c r="AM167" s="2">
        <v>7</v>
      </c>
      <c r="AN167" s="2">
        <v>1</v>
      </c>
      <c r="AO167" s="2">
        <v>0</v>
      </c>
      <c r="AP167" s="2">
        <v>2</v>
      </c>
      <c r="AQ167" s="2">
        <v>1</v>
      </c>
      <c r="AR167" s="2">
        <v>2</v>
      </c>
      <c r="AS167" s="2">
        <v>0</v>
      </c>
      <c r="AT167" s="2">
        <v>1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1</v>
      </c>
      <c r="BB167" s="2">
        <v>3</v>
      </c>
      <c r="BC167" s="2">
        <v>1</v>
      </c>
      <c r="BD167" s="2">
        <v>2</v>
      </c>
      <c r="BE167" s="2">
        <v>2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2</v>
      </c>
      <c r="BM167" s="2">
        <v>1</v>
      </c>
      <c r="BN167" s="2">
        <v>1</v>
      </c>
      <c r="BO167" s="2">
        <v>1</v>
      </c>
      <c r="BP167" s="2">
        <v>0</v>
      </c>
      <c r="BQ167" s="2">
        <v>0</v>
      </c>
      <c r="BR167" s="2">
        <v>1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1</v>
      </c>
      <c r="BY167" s="2">
        <v>2</v>
      </c>
      <c r="BZ167" s="2">
        <v>1</v>
      </c>
      <c r="CA167" s="2">
        <v>0</v>
      </c>
      <c r="CB167" s="2">
        <v>2</v>
      </c>
      <c r="CC167" s="2">
        <v>0</v>
      </c>
      <c r="CD167" s="2">
        <v>1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>
        <v>0</v>
      </c>
      <c r="DC167" s="2">
        <v>0</v>
      </c>
      <c r="DD167" s="2">
        <v>0</v>
      </c>
      <c r="DE167" s="2">
        <v>0</v>
      </c>
      <c r="DF167" s="2">
        <v>0</v>
      </c>
      <c r="DG167" s="2">
        <v>0</v>
      </c>
      <c r="DH167" s="2">
        <v>2</v>
      </c>
      <c r="DI167" s="2">
        <v>0</v>
      </c>
      <c r="DJ167" s="2">
        <v>1</v>
      </c>
      <c r="DK167" s="2">
        <v>1</v>
      </c>
      <c r="DL167" s="2">
        <v>2</v>
      </c>
      <c r="DM167" s="2">
        <v>1</v>
      </c>
      <c r="DN167" s="2">
        <v>0</v>
      </c>
      <c r="DO167" s="2">
        <v>0</v>
      </c>
      <c r="DP167" s="2">
        <v>0</v>
      </c>
      <c r="DQ167" s="2">
        <v>0</v>
      </c>
      <c r="DR167" s="2">
        <v>0</v>
      </c>
      <c r="DS167" s="2">
        <v>0</v>
      </c>
    </row>
    <row r="168" spans="1:123">
      <c r="A168" s="2" t="s">
        <v>13</v>
      </c>
      <c r="B168" s="2" t="s">
        <v>358</v>
      </c>
      <c r="C168" s="2">
        <v>266</v>
      </c>
      <c r="D168" s="2">
        <v>30</v>
      </c>
      <c r="E168" s="2">
        <v>4.43</v>
      </c>
      <c r="F168" s="2">
        <v>8.869999999999999</v>
      </c>
      <c r="G168" s="2" t="s">
        <v>160</v>
      </c>
      <c r="H168">
        <f>IF(AND(OR(لوحة_القيادة!$C$4="الكل", A168=لوحة_القيادة!$C$4), IF(لوحة_القيادة!$C$5="الكل", TRUE, INDEX($V168:$AG168, 1, VALUE(لوحة_القيادة!$C$5))&gt;0)), 1, 0)</f>
        <v>0</v>
      </c>
      <c r="I168">
        <f>IF(H168=1, SUM($H$2:H168), "")</f>
        <v>0</v>
      </c>
      <c r="J168" s="2">
        <v>7</v>
      </c>
      <c r="K168" s="2">
        <v>12</v>
      </c>
      <c r="L168" s="2">
        <v>96</v>
      </c>
      <c r="M168" s="2">
        <v>8</v>
      </c>
      <c r="N168" s="2">
        <v>12</v>
      </c>
      <c r="O168" s="2">
        <v>71</v>
      </c>
      <c r="P168" s="2">
        <v>60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2</v>
      </c>
      <c r="W168" s="2">
        <v>3</v>
      </c>
      <c r="X168" s="2">
        <v>8</v>
      </c>
      <c r="Y168" s="2">
        <v>3</v>
      </c>
      <c r="Z168" s="2">
        <v>3</v>
      </c>
      <c r="AA168" s="2">
        <v>7</v>
      </c>
      <c r="AB168" s="2">
        <v>4</v>
      </c>
      <c r="AC168" s="2">
        <v>0</v>
      </c>
      <c r="AD168" s="2">
        <v>0</v>
      </c>
      <c r="AE168" s="2">
        <v>0</v>
      </c>
      <c r="AF168" s="2">
        <v>0</v>
      </c>
      <c r="AG168" s="2">
        <v>1</v>
      </c>
      <c r="AH168" s="2">
        <v>6</v>
      </c>
      <c r="AI168" s="2">
        <v>7</v>
      </c>
      <c r="AJ168" s="2">
        <v>6</v>
      </c>
      <c r="AK168" s="2">
        <v>0</v>
      </c>
      <c r="AL168" s="2">
        <v>0</v>
      </c>
      <c r="AM168" s="2">
        <v>10</v>
      </c>
      <c r="AN168" s="2">
        <v>0</v>
      </c>
      <c r="AO168" s="2">
        <v>0</v>
      </c>
      <c r="AP168" s="2">
        <v>1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2</v>
      </c>
      <c r="BC168" s="2">
        <v>0</v>
      </c>
      <c r="BD168" s="2">
        <v>1</v>
      </c>
      <c r="BE168" s="2">
        <v>2</v>
      </c>
      <c r="BF168" s="2">
        <v>1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1</v>
      </c>
      <c r="BM168" s="2">
        <v>1</v>
      </c>
      <c r="BN168" s="2">
        <v>3</v>
      </c>
      <c r="BO168" s="2">
        <v>0</v>
      </c>
      <c r="BP168" s="2">
        <v>0</v>
      </c>
      <c r="BQ168" s="2">
        <v>2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1</v>
      </c>
      <c r="CA168" s="2">
        <v>2</v>
      </c>
      <c r="CB168" s="2">
        <v>0</v>
      </c>
      <c r="CC168" s="2">
        <v>1</v>
      </c>
      <c r="CD168" s="2">
        <v>2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0</v>
      </c>
      <c r="DB168" s="2">
        <v>0</v>
      </c>
      <c r="DC168" s="2">
        <v>0</v>
      </c>
      <c r="DD168" s="2">
        <v>0</v>
      </c>
      <c r="DE168" s="2">
        <v>0</v>
      </c>
      <c r="DF168" s="2">
        <v>0</v>
      </c>
      <c r="DG168" s="2">
        <v>0</v>
      </c>
      <c r="DH168" s="2">
        <v>1</v>
      </c>
      <c r="DI168" s="2">
        <v>2</v>
      </c>
      <c r="DJ168" s="2">
        <v>1</v>
      </c>
      <c r="DK168" s="2">
        <v>1</v>
      </c>
      <c r="DL168" s="2">
        <v>2</v>
      </c>
      <c r="DM168" s="2">
        <v>2</v>
      </c>
      <c r="DN168" s="2">
        <v>1</v>
      </c>
      <c r="DO168" s="2">
        <v>0</v>
      </c>
      <c r="DP168" s="2">
        <v>0</v>
      </c>
      <c r="DQ168" s="2">
        <v>0</v>
      </c>
      <c r="DR168" s="2">
        <v>0</v>
      </c>
      <c r="DS168" s="2">
        <v>0</v>
      </c>
    </row>
    <row r="169" spans="1:123">
      <c r="A169" s="2" t="s">
        <v>11</v>
      </c>
      <c r="B169" s="2" t="s">
        <v>359</v>
      </c>
      <c r="C169" s="2">
        <v>264</v>
      </c>
      <c r="D169" s="2">
        <v>4</v>
      </c>
      <c r="E169" s="2">
        <v>4.4</v>
      </c>
      <c r="F169" s="2">
        <v>66</v>
      </c>
      <c r="G169" s="2" t="s">
        <v>232</v>
      </c>
      <c r="H169">
        <f>IF(AND(OR(لوحة_القيادة!$C$4="الكل", A169=لوحة_القيادة!$C$4), IF(لوحة_القيادة!$C$5="الكل", TRUE, INDEX($V169:$AG169, 1, VALUE(لوحة_القيادة!$C$5))&gt;0)), 1, 0)</f>
        <v>0</v>
      </c>
      <c r="I169">
        <f>IF(H169=1, SUM($H$2:H169), "")</f>
        <v>0</v>
      </c>
      <c r="J169" s="2">
        <v>72</v>
      </c>
      <c r="K169" s="2">
        <v>0</v>
      </c>
      <c r="L169" s="2">
        <v>0</v>
      </c>
      <c r="M169" s="2">
        <v>29</v>
      </c>
      <c r="N169" s="2">
        <v>0</v>
      </c>
      <c r="O169" s="2">
        <v>163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1</v>
      </c>
      <c r="W169" s="2">
        <v>0</v>
      </c>
      <c r="X169" s="2">
        <v>0</v>
      </c>
      <c r="Y169" s="2">
        <v>1</v>
      </c>
      <c r="Z169" s="2">
        <v>0</v>
      </c>
      <c r="AA169" s="2">
        <v>2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1</v>
      </c>
      <c r="AH169" s="2">
        <v>1</v>
      </c>
      <c r="AI169" s="2">
        <v>0</v>
      </c>
      <c r="AJ169" s="2">
        <v>2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1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1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1</v>
      </c>
      <c r="BY169" s="2">
        <v>0</v>
      </c>
      <c r="BZ169" s="2">
        <v>0</v>
      </c>
      <c r="CA169" s="2">
        <v>1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0</v>
      </c>
      <c r="DE169" s="2">
        <v>0</v>
      </c>
      <c r="DF169" s="2">
        <v>0</v>
      </c>
      <c r="DG169" s="2">
        <v>0</v>
      </c>
      <c r="DH169" s="2">
        <v>0</v>
      </c>
      <c r="DI169" s="2">
        <v>0</v>
      </c>
      <c r="DJ169" s="2">
        <v>0</v>
      </c>
      <c r="DK169" s="2">
        <v>0</v>
      </c>
      <c r="DL169" s="2">
        <v>0</v>
      </c>
      <c r="DM169" s="2">
        <v>0</v>
      </c>
      <c r="DN169" s="2">
        <v>0</v>
      </c>
      <c r="DO169" s="2">
        <v>0</v>
      </c>
      <c r="DP169" s="2">
        <v>0</v>
      </c>
      <c r="DQ169" s="2">
        <v>0</v>
      </c>
      <c r="DR169" s="2">
        <v>0</v>
      </c>
      <c r="DS169" s="2">
        <v>0</v>
      </c>
    </row>
    <row r="170" spans="1:123">
      <c r="A170" s="2" t="s">
        <v>6</v>
      </c>
      <c r="B170" s="2" t="s">
        <v>360</v>
      </c>
      <c r="C170" s="2">
        <v>262</v>
      </c>
      <c r="D170" s="2">
        <v>10</v>
      </c>
      <c r="E170" s="2">
        <v>4.37</v>
      </c>
      <c r="F170" s="2">
        <v>26.2</v>
      </c>
      <c r="G170" s="2" t="s">
        <v>176</v>
      </c>
      <c r="H170">
        <f>IF(AND(OR(لوحة_القيادة!$C$4="الكل", A170=لوحة_القيادة!$C$4), IF(لوحة_القيادة!$C$5="الكل", TRUE, INDEX($V170:$AG170, 1, VALUE(لوحة_القيادة!$C$5))&gt;0)), 1, 0)</f>
        <v>0</v>
      </c>
      <c r="I170">
        <f>IF(H170=1, SUM($H$2:H170), "")</f>
        <v>0</v>
      </c>
      <c r="J170" s="2">
        <v>15</v>
      </c>
      <c r="K170" s="2">
        <v>147</v>
      </c>
      <c r="L170" s="2">
        <v>0</v>
      </c>
      <c r="M170" s="2">
        <v>48</v>
      </c>
      <c r="N170" s="2">
        <v>8</v>
      </c>
      <c r="O170" s="2">
        <v>44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1</v>
      </c>
      <c r="W170" s="2">
        <v>4</v>
      </c>
      <c r="X170" s="2">
        <v>0</v>
      </c>
      <c r="Y170" s="2">
        <v>2</v>
      </c>
      <c r="Z170" s="2">
        <v>2</v>
      </c>
      <c r="AA170" s="2">
        <v>1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1</v>
      </c>
      <c r="AH170" s="2">
        <v>2</v>
      </c>
      <c r="AI170" s="2">
        <v>3</v>
      </c>
      <c r="AJ170" s="2">
        <v>3</v>
      </c>
      <c r="AK170" s="2">
        <v>0</v>
      </c>
      <c r="AL170" s="2">
        <v>0</v>
      </c>
      <c r="AM170" s="2">
        <v>1</v>
      </c>
      <c r="AN170" s="2">
        <v>1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1</v>
      </c>
      <c r="BB170" s="2">
        <v>0</v>
      </c>
      <c r="BC170" s="2">
        <v>0</v>
      </c>
      <c r="BD170" s="2">
        <v>0</v>
      </c>
      <c r="BE170" s="2">
        <v>1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1</v>
      </c>
      <c r="BP170" s="2">
        <v>2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2</v>
      </c>
      <c r="BZ170" s="2">
        <v>0</v>
      </c>
      <c r="CA170" s="2">
        <v>1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0</v>
      </c>
      <c r="DB170" s="2">
        <v>0</v>
      </c>
      <c r="DC170" s="2">
        <v>0</v>
      </c>
      <c r="DD170" s="2">
        <v>0</v>
      </c>
      <c r="DE170" s="2">
        <v>0</v>
      </c>
      <c r="DF170" s="2">
        <v>0</v>
      </c>
      <c r="DG170" s="2">
        <v>0</v>
      </c>
      <c r="DH170" s="2">
        <v>0</v>
      </c>
      <c r="DI170" s="2">
        <v>1</v>
      </c>
      <c r="DJ170" s="2">
        <v>0</v>
      </c>
      <c r="DK170" s="2">
        <v>0</v>
      </c>
      <c r="DL170" s="2">
        <v>0</v>
      </c>
      <c r="DM170" s="2">
        <v>0</v>
      </c>
      <c r="DN170" s="2">
        <v>0</v>
      </c>
      <c r="DO170" s="2">
        <v>0</v>
      </c>
      <c r="DP170" s="2">
        <v>0</v>
      </c>
      <c r="DQ170" s="2">
        <v>0</v>
      </c>
      <c r="DR170" s="2">
        <v>0</v>
      </c>
      <c r="DS170" s="2">
        <v>0</v>
      </c>
    </row>
    <row r="171" spans="1:123">
      <c r="A171" s="2" t="s">
        <v>13</v>
      </c>
      <c r="B171" s="2" t="s">
        <v>361</v>
      </c>
      <c r="C171" s="2">
        <v>262</v>
      </c>
      <c r="D171" s="2">
        <v>33</v>
      </c>
      <c r="E171" s="2">
        <v>4.37</v>
      </c>
      <c r="F171" s="2">
        <v>7.94</v>
      </c>
      <c r="G171" s="2" t="s">
        <v>170</v>
      </c>
      <c r="H171">
        <f>IF(AND(OR(لوحة_القيادة!$C$4="الكل", A171=لوحة_القيادة!$C$4), IF(لوحة_القيادة!$C$5="الكل", TRUE, INDEX($V171:$AG171, 1, VALUE(لوحة_القيادة!$C$5))&gt;0)), 1, 0)</f>
        <v>0</v>
      </c>
      <c r="I171">
        <f>IF(H171=1, SUM($H$2:H171), "")</f>
        <v>0</v>
      </c>
      <c r="J171" s="2">
        <v>49</v>
      </c>
      <c r="K171" s="2">
        <v>39</v>
      </c>
      <c r="L171" s="2">
        <v>84</v>
      </c>
      <c r="M171" s="2">
        <v>50</v>
      </c>
      <c r="N171" s="2">
        <v>19</v>
      </c>
      <c r="O171" s="2">
        <v>21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7</v>
      </c>
      <c r="W171" s="2">
        <v>7</v>
      </c>
      <c r="X171" s="2">
        <v>8</v>
      </c>
      <c r="Y171" s="2">
        <v>6</v>
      </c>
      <c r="Z171" s="2">
        <v>3</v>
      </c>
      <c r="AA171" s="2">
        <v>2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7</v>
      </c>
      <c r="AH171" s="2">
        <v>10</v>
      </c>
      <c r="AI171" s="2">
        <v>9</v>
      </c>
      <c r="AJ171" s="2">
        <v>5</v>
      </c>
      <c r="AK171" s="2">
        <v>0</v>
      </c>
      <c r="AL171" s="2">
        <v>0</v>
      </c>
      <c r="AM171" s="2">
        <v>2</v>
      </c>
      <c r="AN171" s="2">
        <v>1</v>
      </c>
      <c r="AO171" s="2">
        <v>1</v>
      </c>
      <c r="AP171" s="2">
        <v>2</v>
      </c>
      <c r="AQ171" s="2">
        <v>1</v>
      </c>
      <c r="AR171" s="2">
        <v>2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2</v>
      </c>
      <c r="BA171" s="2">
        <v>2</v>
      </c>
      <c r="BB171" s="2">
        <v>4</v>
      </c>
      <c r="BC171" s="2">
        <v>0</v>
      </c>
      <c r="BD171" s="2">
        <v>1</v>
      </c>
      <c r="BE171" s="2">
        <v>1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4</v>
      </c>
      <c r="BM171" s="2">
        <v>1</v>
      </c>
      <c r="BN171" s="2">
        <v>1</v>
      </c>
      <c r="BO171" s="2">
        <v>3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2</v>
      </c>
      <c r="BZ171" s="2">
        <v>1</v>
      </c>
      <c r="CA171" s="2">
        <v>1</v>
      </c>
      <c r="CB171" s="2">
        <v>0</v>
      </c>
      <c r="CC171" s="2">
        <v>1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0</v>
      </c>
      <c r="DB171" s="2">
        <v>0</v>
      </c>
      <c r="DC171" s="2">
        <v>0</v>
      </c>
      <c r="DD171" s="2">
        <v>0</v>
      </c>
      <c r="DE171" s="2">
        <v>0</v>
      </c>
      <c r="DF171" s="2">
        <v>0</v>
      </c>
      <c r="DG171" s="2">
        <v>0</v>
      </c>
      <c r="DH171" s="2">
        <v>0</v>
      </c>
      <c r="DI171" s="2">
        <v>1</v>
      </c>
      <c r="DJ171" s="2">
        <v>0</v>
      </c>
      <c r="DK171" s="2">
        <v>1</v>
      </c>
      <c r="DL171" s="2">
        <v>0</v>
      </c>
      <c r="DM171" s="2">
        <v>0</v>
      </c>
      <c r="DN171" s="2">
        <v>0</v>
      </c>
      <c r="DO171" s="2">
        <v>0</v>
      </c>
      <c r="DP171" s="2">
        <v>0</v>
      </c>
      <c r="DQ171" s="2">
        <v>0</v>
      </c>
      <c r="DR171" s="2">
        <v>0</v>
      </c>
      <c r="DS171" s="2">
        <v>0</v>
      </c>
    </row>
    <row r="172" spans="1:123">
      <c r="A172" s="2" t="s">
        <v>16</v>
      </c>
      <c r="B172" s="2" t="s">
        <v>362</v>
      </c>
      <c r="C172" s="2">
        <v>262</v>
      </c>
      <c r="D172" s="2">
        <v>24</v>
      </c>
      <c r="E172" s="2">
        <v>4.37</v>
      </c>
      <c r="F172" s="2">
        <v>10.92</v>
      </c>
      <c r="G172" s="2" t="s">
        <v>160</v>
      </c>
      <c r="H172">
        <f>IF(AND(OR(لوحة_القيادة!$C$4="الكل", A172=لوحة_القيادة!$C$4), IF(لوحة_القيادة!$C$5="الكل", TRUE, INDEX($V172:$AG172, 1, VALUE(لوحة_القيادة!$C$5))&gt;0)), 1, 0)</f>
        <v>0</v>
      </c>
      <c r="I172">
        <f>IF(H172=1, SUM($H$2:H172), "")</f>
        <v>0</v>
      </c>
      <c r="J172" s="2">
        <v>54</v>
      </c>
      <c r="K172" s="2">
        <v>65</v>
      </c>
      <c r="L172" s="2">
        <v>46</v>
      </c>
      <c r="M172" s="2">
        <v>7</v>
      </c>
      <c r="N172" s="2">
        <v>6</v>
      </c>
      <c r="O172" s="2">
        <v>49</v>
      </c>
      <c r="P172" s="2">
        <v>35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6</v>
      </c>
      <c r="W172" s="2">
        <v>6</v>
      </c>
      <c r="X172" s="2">
        <v>4</v>
      </c>
      <c r="Y172" s="2">
        <v>1</v>
      </c>
      <c r="Z172" s="2">
        <v>1</v>
      </c>
      <c r="AA172" s="2">
        <v>3</v>
      </c>
      <c r="AB172" s="2">
        <v>3</v>
      </c>
      <c r="AC172" s="2">
        <v>0</v>
      </c>
      <c r="AD172" s="2">
        <v>0</v>
      </c>
      <c r="AE172" s="2">
        <v>0</v>
      </c>
      <c r="AF172" s="2">
        <v>0</v>
      </c>
      <c r="AG172" s="2">
        <v>3</v>
      </c>
      <c r="AH172" s="2">
        <v>5</v>
      </c>
      <c r="AI172" s="2">
        <v>7</v>
      </c>
      <c r="AJ172" s="2">
        <v>8</v>
      </c>
      <c r="AK172" s="2">
        <v>0</v>
      </c>
      <c r="AL172" s="2">
        <v>0</v>
      </c>
      <c r="AM172" s="2">
        <v>1</v>
      </c>
      <c r="AN172" s="2">
        <v>1</v>
      </c>
      <c r="AO172" s="2">
        <v>1</v>
      </c>
      <c r="AP172" s="2">
        <v>0</v>
      </c>
      <c r="AQ172" s="2">
        <v>0</v>
      </c>
      <c r="AR172" s="2">
        <v>0</v>
      </c>
      <c r="AS172" s="2">
        <v>1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2</v>
      </c>
      <c r="BB172" s="2">
        <v>2</v>
      </c>
      <c r="BC172" s="2">
        <v>0</v>
      </c>
      <c r="BD172" s="2">
        <v>0</v>
      </c>
      <c r="BE172" s="2">
        <v>0</v>
      </c>
      <c r="BF172" s="2">
        <v>1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2</v>
      </c>
      <c r="BM172" s="2">
        <v>1</v>
      </c>
      <c r="BN172" s="2">
        <v>1</v>
      </c>
      <c r="BO172" s="2">
        <v>1</v>
      </c>
      <c r="BP172" s="2">
        <v>1</v>
      </c>
      <c r="BQ172" s="2">
        <v>0</v>
      </c>
      <c r="BR172" s="2">
        <v>1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2</v>
      </c>
      <c r="BY172" s="2">
        <v>2</v>
      </c>
      <c r="BZ172" s="2">
        <v>1</v>
      </c>
      <c r="CA172" s="2">
        <v>0</v>
      </c>
      <c r="CB172" s="2">
        <v>0</v>
      </c>
      <c r="CC172" s="2">
        <v>2</v>
      </c>
      <c r="CD172" s="2">
        <v>1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0</v>
      </c>
      <c r="CY172" s="2">
        <v>0</v>
      </c>
      <c r="CZ172" s="2">
        <v>0</v>
      </c>
      <c r="DA172" s="2">
        <v>0</v>
      </c>
      <c r="DB172" s="2">
        <v>0</v>
      </c>
      <c r="DC172" s="2">
        <v>0</v>
      </c>
      <c r="DD172" s="2">
        <v>0</v>
      </c>
      <c r="DE172" s="2">
        <v>0</v>
      </c>
      <c r="DF172" s="2">
        <v>0</v>
      </c>
      <c r="DG172" s="2">
        <v>0</v>
      </c>
      <c r="DH172" s="2">
        <v>1</v>
      </c>
      <c r="DI172" s="2">
        <v>0</v>
      </c>
      <c r="DJ172" s="2">
        <v>0</v>
      </c>
      <c r="DK172" s="2">
        <v>0</v>
      </c>
      <c r="DL172" s="2">
        <v>0</v>
      </c>
      <c r="DM172" s="2">
        <v>0</v>
      </c>
      <c r="DN172" s="2">
        <v>0</v>
      </c>
      <c r="DO172" s="2">
        <v>0</v>
      </c>
      <c r="DP172" s="2">
        <v>0</v>
      </c>
      <c r="DQ172" s="2">
        <v>0</v>
      </c>
      <c r="DR172" s="2">
        <v>0</v>
      </c>
      <c r="DS172" s="2">
        <v>0</v>
      </c>
    </row>
    <row r="173" spans="1:123">
      <c r="A173" s="2" t="s">
        <v>10</v>
      </c>
      <c r="B173" s="2" t="s">
        <v>363</v>
      </c>
      <c r="C173" s="2">
        <v>252</v>
      </c>
      <c r="D173" s="2">
        <v>45</v>
      </c>
      <c r="E173" s="2">
        <v>4.2</v>
      </c>
      <c r="F173" s="2">
        <v>5.6</v>
      </c>
      <c r="G173" s="2" t="s">
        <v>160</v>
      </c>
      <c r="H173">
        <f>IF(AND(OR(لوحة_القيادة!$C$4="الكل", A173=لوحة_القيادة!$C$4), IF(لوحة_القيادة!$C$5="الكل", TRUE, INDEX($V173:$AG173, 1, VALUE(لوحة_القيادة!$C$5))&gt;0)), 1, 0)</f>
        <v>0</v>
      </c>
      <c r="I173">
        <f>IF(H173=1, SUM($H$2:H173), "")</f>
        <v>0</v>
      </c>
      <c r="J173" s="2">
        <v>46</v>
      </c>
      <c r="K173" s="2">
        <v>86</v>
      </c>
      <c r="L173" s="2">
        <v>31</v>
      </c>
      <c r="M173" s="2">
        <v>28</v>
      </c>
      <c r="N173" s="2">
        <v>54</v>
      </c>
      <c r="O173" s="2">
        <v>5</v>
      </c>
      <c r="P173" s="2">
        <v>2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9</v>
      </c>
      <c r="W173" s="2">
        <v>12</v>
      </c>
      <c r="X173" s="2">
        <v>6</v>
      </c>
      <c r="Y173" s="2">
        <v>6</v>
      </c>
      <c r="Z173" s="2">
        <v>9</v>
      </c>
      <c r="AA173" s="2">
        <v>2</v>
      </c>
      <c r="AB173" s="2">
        <v>1</v>
      </c>
      <c r="AC173" s="2">
        <v>0</v>
      </c>
      <c r="AD173" s="2">
        <v>0</v>
      </c>
      <c r="AE173" s="2">
        <v>0</v>
      </c>
      <c r="AF173" s="2">
        <v>0</v>
      </c>
      <c r="AG173" s="2">
        <v>8</v>
      </c>
      <c r="AH173" s="2">
        <v>12</v>
      </c>
      <c r="AI173" s="2">
        <v>10</v>
      </c>
      <c r="AJ173" s="2">
        <v>11</v>
      </c>
      <c r="AK173" s="2">
        <v>0</v>
      </c>
      <c r="AL173" s="2">
        <v>0</v>
      </c>
      <c r="AM173" s="2">
        <v>4</v>
      </c>
      <c r="AN173" s="2">
        <v>3</v>
      </c>
      <c r="AO173" s="2">
        <v>1</v>
      </c>
      <c r="AP173" s="2">
        <v>1</v>
      </c>
      <c r="AQ173" s="2">
        <v>1</v>
      </c>
      <c r="AR173" s="2">
        <v>2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4</v>
      </c>
      <c r="BA173" s="2">
        <v>3</v>
      </c>
      <c r="BB173" s="2">
        <v>2</v>
      </c>
      <c r="BC173" s="2">
        <v>2</v>
      </c>
      <c r="BD173" s="2">
        <v>1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2</v>
      </c>
      <c r="BM173" s="2">
        <v>3</v>
      </c>
      <c r="BN173" s="2">
        <v>1</v>
      </c>
      <c r="BO173" s="2">
        <v>1</v>
      </c>
      <c r="BP173" s="2">
        <v>2</v>
      </c>
      <c r="BQ173" s="2">
        <v>1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4</v>
      </c>
      <c r="BZ173" s="2">
        <v>2</v>
      </c>
      <c r="CA173" s="2">
        <v>1</v>
      </c>
      <c r="CB173" s="2">
        <v>2</v>
      </c>
      <c r="CC173" s="2">
        <v>1</v>
      </c>
      <c r="CD173" s="2">
        <v>1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>
        <v>0</v>
      </c>
      <c r="DC173" s="2">
        <v>0</v>
      </c>
      <c r="DD173" s="2">
        <v>0</v>
      </c>
      <c r="DE173" s="2">
        <v>0</v>
      </c>
      <c r="DF173" s="2">
        <v>0</v>
      </c>
      <c r="DG173" s="2">
        <v>0</v>
      </c>
      <c r="DH173" s="2">
        <v>0</v>
      </c>
      <c r="DI173" s="2">
        <v>1</v>
      </c>
      <c r="DJ173" s="2">
        <v>0</v>
      </c>
      <c r="DK173" s="2">
        <v>1</v>
      </c>
      <c r="DL173" s="2">
        <v>2</v>
      </c>
      <c r="DM173" s="2">
        <v>0</v>
      </c>
      <c r="DN173" s="2">
        <v>0</v>
      </c>
      <c r="DO173" s="2">
        <v>0</v>
      </c>
      <c r="DP173" s="2">
        <v>0</v>
      </c>
      <c r="DQ173" s="2">
        <v>0</v>
      </c>
      <c r="DR173" s="2">
        <v>0</v>
      </c>
      <c r="DS173" s="2">
        <v>0</v>
      </c>
    </row>
    <row r="174" spans="1:123">
      <c r="A174" s="2" t="s">
        <v>18</v>
      </c>
      <c r="B174" s="2" t="s">
        <v>364</v>
      </c>
      <c r="C174" s="2">
        <v>251</v>
      </c>
      <c r="D174" s="2">
        <v>5</v>
      </c>
      <c r="E174" s="2">
        <v>4.18</v>
      </c>
      <c r="F174" s="2">
        <v>50.2</v>
      </c>
      <c r="G174" s="2" t="s">
        <v>333</v>
      </c>
      <c r="H174">
        <f>IF(AND(OR(لوحة_القيادة!$C$4="الكل", A174=لوحة_القيادة!$C$4), IF(لوحة_القيادة!$C$5="الكل", TRUE, INDEX($V174:$AG174, 1, VALUE(لوحة_القيادة!$C$5))&gt;0)), 1, 0)</f>
        <v>0</v>
      </c>
      <c r="I174">
        <f>IF(H174=1, SUM($H$2:H174), "")</f>
        <v>0</v>
      </c>
      <c r="J174" s="2">
        <v>0</v>
      </c>
      <c r="K174" s="2">
        <v>247</v>
      </c>
      <c r="L174" s="2">
        <v>1</v>
      </c>
      <c r="M174" s="2">
        <v>3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3</v>
      </c>
      <c r="X174" s="2">
        <v>1</v>
      </c>
      <c r="Y174" s="2">
        <v>1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1</v>
      </c>
      <c r="AH174" s="2">
        <v>1</v>
      </c>
      <c r="AI174" s="2">
        <v>1</v>
      </c>
      <c r="AJ174" s="2">
        <v>0</v>
      </c>
      <c r="AK174" s="2">
        <v>0</v>
      </c>
      <c r="AL174" s="2">
        <v>0</v>
      </c>
      <c r="AM174" s="2">
        <v>2</v>
      </c>
      <c r="AN174" s="2">
        <v>0</v>
      </c>
      <c r="AO174" s="2">
        <v>1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1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1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 s="2">
        <v>0</v>
      </c>
      <c r="DC174" s="2">
        <v>0</v>
      </c>
      <c r="DD174" s="2">
        <v>0</v>
      </c>
      <c r="DE174" s="2">
        <v>0</v>
      </c>
      <c r="DF174" s="2">
        <v>0</v>
      </c>
      <c r="DG174" s="2">
        <v>0</v>
      </c>
      <c r="DH174" s="2">
        <v>0</v>
      </c>
      <c r="DI174" s="2">
        <v>1</v>
      </c>
      <c r="DJ174" s="2">
        <v>1</v>
      </c>
      <c r="DK174" s="2">
        <v>0</v>
      </c>
      <c r="DL174" s="2">
        <v>0</v>
      </c>
      <c r="DM174" s="2">
        <v>0</v>
      </c>
      <c r="DN174" s="2">
        <v>0</v>
      </c>
      <c r="DO174" s="2">
        <v>0</v>
      </c>
      <c r="DP174" s="2">
        <v>0</v>
      </c>
      <c r="DQ174" s="2">
        <v>0</v>
      </c>
      <c r="DR174" s="2">
        <v>0</v>
      </c>
      <c r="DS174" s="2">
        <v>0</v>
      </c>
    </row>
    <row r="175" spans="1:123">
      <c r="A175" s="2" t="s">
        <v>6</v>
      </c>
      <c r="B175" s="2" t="s">
        <v>365</v>
      </c>
      <c r="C175" s="2">
        <v>248</v>
      </c>
      <c r="D175" s="2">
        <v>48</v>
      </c>
      <c r="E175" s="2">
        <v>4.13</v>
      </c>
      <c r="F175" s="2">
        <v>5.17</v>
      </c>
      <c r="G175" s="2" t="s">
        <v>160</v>
      </c>
      <c r="H175">
        <f>IF(AND(OR(لوحة_القيادة!$C$4="الكل", A175=لوحة_القيادة!$C$4), IF(لوحة_القيادة!$C$5="الكل", TRUE, INDEX($V175:$AG175, 1, VALUE(لوحة_القيادة!$C$5))&gt;0)), 1, 0)</f>
        <v>0</v>
      </c>
      <c r="I175">
        <f>IF(H175=1, SUM($H$2:H175), "")</f>
        <v>0</v>
      </c>
      <c r="J175" s="2">
        <v>67</v>
      </c>
      <c r="K175" s="2">
        <v>23</v>
      </c>
      <c r="L175" s="2">
        <v>48</v>
      </c>
      <c r="M175" s="2">
        <v>6</v>
      </c>
      <c r="N175" s="2">
        <v>49</v>
      </c>
      <c r="O175" s="2">
        <v>40</v>
      </c>
      <c r="P175" s="2">
        <v>15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9</v>
      </c>
      <c r="W175" s="2">
        <v>6</v>
      </c>
      <c r="X175" s="2">
        <v>9</v>
      </c>
      <c r="Y175" s="2">
        <v>1</v>
      </c>
      <c r="Z175" s="2">
        <v>10</v>
      </c>
      <c r="AA175" s="2">
        <v>10</v>
      </c>
      <c r="AB175" s="2">
        <v>3</v>
      </c>
      <c r="AC175" s="2">
        <v>0</v>
      </c>
      <c r="AD175" s="2">
        <v>0</v>
      </c>
      <c r="AE175" s="2">
        <v>0</v>
      </c>
      <c r="AF175" s="2">
        <v>0</v>
      </c>
      <c r="AG175" s="2">
        <v>10</v>
      </c>
      <c r="AH175" s="2">
        <v>13</v>
      </c>
      <c r="AI175" s="2">
        <v>9</v>
      </c>
      <c r="AJ175" s="2">
        <v>8</v>
      </c>
      <c r="AK175" s="2">
        <v>0</v>
      </c>
      <c r="AL175" s="2">
        <v>0</v>
      </c>
      <c r="AM175" s="2">
        <v>8</v>
      </c>
      <c r="AN175" s="2">
        <v>2</v>
      </c>
      <c r="AO175" s="2">
        <v>2</v>
      </c>
      <c r="AP175" s="2">
        <v>0</v>
      </c>
      <c r="AQ175" s="2">
        <v>0</v>
      </c>
      <c r="AR175" s="2">
        <v>4</v>
      </c>
      <c r="AS175" s="2">
        <v>1</v>
      </c>
      <c r="AT175" s="2">
        <v>1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2</v>
      </c>
      <c r="BA175" s="2">
        <v>2</v>
      </c>
      <c r="BB175" s="2">
        <v>3</v>
      </c>
      <c r="BC175" s="2">
        <v>0</v>
      </c>
      <c r="BD175" s="2">
        <v>2</v>
      </c>
      <c r="BE175" s="2">
        <v>3</v>
      </c>
      <c r="BF175" s="2">
        <v>1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2</v>
      </c>
      <c r="BM175" s="2">
        <v>1</v>
      </c>
      <c r="BN175" s="2">
        <v>2</v>
      </c>
      <c r="BO175" s="2">
        <v>0</v>
      </c>
      <c r="BP175" s="2">
        <v>2</v>
      </c>
      <c r="BQ175" s="2">
        <v>2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2</v>
      </c>
      <c r="BY175" s="2">
        <v>1</v>
      </c>
      <c r="BZ175" s="2">
        <v>2</v>
      </c>
      <c r="CA175" s="2">
        <v>0</v>
      </c>
      <c r="CB175" s="2">
        <v>1</v>
      </c>
      <c r="CC175" s="2">
        <v>1</v>
      </c>
      <c r="CD175" s="2">
        <v>1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>
        <v>0</v>
      </c>
      <c r="DC175" s="2">
        <v>0</v>
      </c>
      <c r="DD175" s="2">
        <v>0</v>
      </c>
      <c r="DE175" s="2">
        <v>0</v>
      </c>
      <c r="DF175" s="2">
        <v>0</v>
      </c>
      <c r="DG175" s="2">
        <v>0</v>
      </c>
      <c r="DH175" s="2">
        <v>1</v>
      </c>
      <c r="DI175" s="2">
        <v>0</v>
      </c>
      <c r="DJ175" s="2">
        <v>2</v>
      </c>
      <c r="DK175" s="2">
        <v>1</v>
      </c>
      <c r="DL175" s="2">
        <v>1</v>
      </c>
      <c r="DM175" s="2">
        <v>3</v>
      </c>
      <c r="DN175" s="2">
        <v>0</v>
      </c>
      <c r="DO175" s="2">
        <v>0</v>
      </c>
      <c r="DP175" s="2">
        <v>0</v>
      </c>
      <c r="DQ175" s="2">
        <v>0</v>
      </c>
      <c r="DR175" s="2">
        <v>0</v>
      </c>
      <c r="DS175" s="2">
        <v>0</v>
      </c>
    </row>
    <row r="176" spans="1:123">
      <c r="A176" s="2" t="s">
        <v>17</v>
      </c>
      <c r="B176" s="2" t="s">
        <v>366</v>
      </c>
      <c r="C176" s="2">
        <v>244</v>
      </c>
      <c r="D176" s="2">
        <v>21</v>
      </c>
      <c r="E176" s="2">
        <v>4.07</v>
      </c>
      <c r="F176" s="2">
        <v>11.62</v>
      </c>
      <c r="G176" s="2" t="s">
        <v>160</v>
      </c>
      <c r="H176">
        <f>IF(AND(OR(لوحة_القيادة!$C$4="الكل", A176=لوحة_القيادة!$C$4), IF(لوحة_القيادة!$C$5="الكل", TRUE, INDEX($V176:$AG176, 1, VALUE(لوحة_القيادة!$C$5))&gt;0)), 1, 0)</f>
        <v>0</v>
      </c>
      <c r="I176">
        <f>IF(H176=1, SUM($H$2:H176), "")</f>
        <v>0</v>
      </c>
      <c r="J176" s="2">
        <v>20</v>
      </c>
      <c r="K176" s="2">
        <v>51</v>
      </c>
      <c r="L176" s="2">
        <v>25</v>
      </c>
      <c r="M176" s="2">
        <v>81</v>
      </c>
      <c r="N176" s="2">
        <v>28</v>
      </c>
      <c r="O176" s="2">
        <v>21</v>
      </c>
      <c r="P176" s="2">
        <v>18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3</v>
      </c>
      <c r="W176" s="2">
        <v>4</v>
      </c>
      <c r="X176" s="2">
        <v>4</v>
      </c>
      <c r="Y176" s="2">
        <v>4</v>
      </c>
      <c r="Z176" s="2">
        <v>3</v>
      </c>
      <c r="AA176" s="2">
        <v>2</v>
      </c>
      <c r="AB176" s="2">
        <v>1</v>
      </c>
      <c r="AC176" s="2">
        <v>0</v>
      </c>
      <c r="AD176" s="2">
        <v>0</v>
      </c>
      <c r="AE176" s="2">
        <v>0</v>
      </c>
      <c r="AF176" s="2">
        <v>0</v>
      </c>
      <c r="AG176" s="2">
        <v>4</v>
      </c>
      <c r="AH176" s="2">
        <v>5</v>
      </c>
      <c r="AI176" s="2">
        <v>4</v>
      </c>
      <c r="AJ176" s="2">
        <v>4</v>
      </c>
      <c r="AK176" s="2">
        <v>0</v>
      </c>
      <c r="AL176" s="2">
        <v>0</v>
      </c>
      <c r="AM176" s="2">
        <v>4</v>
      </c>
      <c r="AN176" s="2">
        <v>1</v>
      </c>
      <c r="AO176" s="2">
        <v>2</v>
      </c>
      <c r="AP176" s="2">
        <v>0</v>
      </c>
      <c r="AQ176" s="2">
        <v>1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1</v>
      </c>
      <c r="BC176" s="2">
        <v>2</v>
      </c>
      <c r="BD176" s="2">
        <v>0</v>
      </c>
      <c r="BE176" s="2">
        <v>2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1</v>
      </c>
      <c r="BN176" s="2">
        <v>2</v>
      </c>
      <c r="BO176" s="2">
        <v>0</v>
      </c>
      <c r="BP176" s="2">
        <v>1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2</v>
      </c>
      <c r="BY176" s="2">
        <v>0</v>
      </c>
      <c r="BZ176" s="2">
        <v>0</v>
      </c>
      <c r="CA176" s="2">
        <v>1</v>
      </c>
      <c r="CB176" s="2">
        <v>0</v>
      </c>
      <c r="CC176" s="2">
        <v>0</v>
      </c>
      <c r="CD176" s="2">
        <v>1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>
        <v>0</v>
      </c>
      <c r="DC176" s="2">
        <v>0</v>
      </c>
      <c r="DD176" s="2">
        <v>0</v>
      </c>
      <c r="DE176" s="2">
        <v>0</v>
      </c>
      <c r="DF176" s="2">
        <v>0</v>
      </c>
      <c r="DG176" s="2">
        <v>0</v>
      </c>
      <c r="DH176" s="2">
        <v>0</v>
      </c>
      <c r="DI176" s="2">
        <v>1</v>
      </c>
      <c r="DJ176" s="2">
        <v>1</v>
      </c>
      <c r="DK176" s="2">
        <v>0</v>
      </c>
      <c r="DL176" s="2">
        <v>2</v>
      </c>
      <c r="DM176" s="2">
        <v>0</v>
      </c>
      <c r="DN176" s="2">
        <v>0</v>
      </c>
      <c r="DO176" s="2">
        <v>0</v>
      </c>
      <c r="DP176" s="2">
        <v>0</v>
      </c>
      <c r="DQ176" s="2">
        <v>0</v>
      </c>
      <c r="DR176" s="2">
        <v>0</v>
      </c>
      <c r="DS176" s="2">
        <v>0</v>
      </c>
    </row>
    <row r="177" spans="1:123">
      <c r="A177" s="2" t="s">
        <v>17</v>
      </c>
      <c r="B177" s="2" t="s">
        <v>367</v>
      </c>
      <c r="C177" s="2">
        <v>243</v>
      </c>
      <c r="D177" s="2">
        <v>10</v>
      </c>
      <c r="E177" s="2">
        <v>4.05</v>
      </c>
      <c r="F177" s="2">
        <v>24.3</v>
      </c>
      <c r="G177" s="2" t="s">
        <v>170</v>
      </c>
      <c r="H177">
        <f>IF(AND(OR(لوحة_القيادة!$C$4="الكل", A177=لوحة_القيادة!$C$4), IF(لوحة_القيادة!$C$5="الكل", TRUE, INDEX($V177:$AG177, 1, VALUE(لوحة_القيادة!$C$5))&gt;0)), 1, 0)</f>
        <v>0</v>
      </c>
      <c r="I177">
        <f>IF(H177=1, SUM($H$2:H177), "")</f>
        <v>0</v>
      </c>
      <c r="J177" s="2">
        <v>127</v>
      </c>
      <c r="K177" s="2">
        <v>1</v>
      </c>
      <c r="L177" s="2">
        <v>7</v>
      </c>
      <c r="M177" s="2">
        <v>13</v>
      </c>
      <c r="N177" s="2">
        <v>94</v>
      </c>
      <c r="O177" s="2">
        <v>1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3</v>
      </c>
      <c r="W177" s="2">
        <v>1</v>
      </c>
      <c r="X177" s="2">
        <v>1</v>
      </c>
      <c r="Y177" s="2">
        <v>3</v>
      </c>
      <c r="Z177" s="2">
        <v>1</v>
      </c>
      <c r="AA177" s="2">
        <v>1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3</v>
      </c>
      <c r="AH177" s="2">
        <v>3</v>
      </c>
      <c r="AI177" s="2">
        <v>2</v>
      </c>
      <c r="AJ177" s="2">
        <v>1</v>
      </c>
      <c r="AK177" s="2">
        <v>0</v>
      </c>
      <c r="AL177" s="2">
        <v>0</v>
      </c>
      <c r="AM177" s="2">
        <v>1</v>
      </c>
      <c r="AN177" s="2">
        <v>0</v>
      </c>
      <c r="AO177" s="2">
        <v>0</v>
      </c>
      <c r="AP177" s="2">
        <v>0</v>
      </c>
      <c r="AQ177" s="2">
        <v>2</v>
      </c>
      <c r="AR177" s="2">
        <v>1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2</v>
      </c>
      <c r="BA177" s="2">
        <v>0</v>
      </c>
      <c r="BB177" s="2">
        <v>0</v>
      </c>
      <c r="BC177" s="2">
        <v>1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1</v>
      </c>
      <c r="BO177" s="2">
        <v>0</v>
      </c>
      <c r="BP177" s="2">
        <v>0</v>
      </c>
      <c r="BQ177" s="2">
        <v>1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1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>
        <v>0</v>
      </c>
      <c r="DC177" s="2">
        <v>0</v>
      </c>
      <c r="DD177" s="2">
        <v>0</v>
      </c>
      <c r="DE177" s="2">
        <v>0</v>
      </c>
      <c r="DF177" s="2">
        <v>0</v>
      </c>
      <c r="DG177" s="2">
        <v>0</v>
      </c>
      <c r="DH177" s="2">
        <v>0</v>
      </c>
      <c r="DI177" s="2">
        <v>1</v>
      </c>
      <c r="DJ177" s="2">
        <v>0</v>
      </c>
      <c r="DK177" s="2">
        <v>0</v>
      </c>
      <c r="DL177" s="2">
        <v>0</v>
      </c>
      <c r="DM177" s="2">
        <v>0</v>
      </c>
      <c r="DN177" s="2">
        <v>0</v>
      </c>
      <c r="DO177" s="2">
        <v>0</v>
      </c>
      <c r="DP177" s="2">
        <v>0</v>
      </c>
      <c r="DQ177" s="2">
        <v>0</v>
      </c>
      <c r="DR177" s="2">
        <v>0</v>
      </c>
      <c r="DS177" s="2">
        <v>0</v>
      </c>
    </row>
    <row r="178" spans="1:123">
      <c r="A178" s="2" t="s">
        <v>20</v>
      </c>
      <c r="B178" s="2" t="s">
        <v>368</v>
      </c>
      <c r="C178" s="2">
        <v>243</v>
      </c>
      <c r="D178" s="2">
        <v>48</v>
      </c>
      <c r="E178" s="2">
        <v>4.05</v>
      </c>
      <c r="F178" s="2">
        <v>5.06</v>
      </c>
      <c r="G178" s="2" t="s">
        <v>160</v>
      </c>
      <c r="H178">
        <f>IF(AND(OR(لوحة_القيادة!$C$4="الكل", A178=لوحة_القيادة!$C$4), IF(لوحة_القيادة!$C$5="الكل", TRUE, INDEX($V178:$AG178, 1, VALUE(لوحة_القيادة!$C$5))&gt;0)), 1, 0)</f>
        <v>0</v>
      </c>
      <c r="I178">
        <f>IF(H178=1, SUM($H$2:H178), "")</f>
        <v>0</v>
      </c>
      <c r="J178" s="2">
        <v>11</v>
      </c>
      <c r="K178" s="2">
        <v>44</v>
      </c>
      <c r="L178" s="2">
        <v>81</v>
      </c>
      <c r="M178" s="2">
        <v>39</v>
      </c>
      <c r="N178" s="2">
        <v>24</v>
      </c>
      <c r="O178" s="2">
        <v>35</v>
      </c>
      <c r="P178" s="2">
        <v>9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4</v>
      </c>
      <c r="W178" s="2">
        <v>9</v>
      </c>
      <c r="X178" s="2">
        <v>10</v>
      </c>
      <c r="Y178" s="2">
        <v>9</v>
      </c>
      <c r="Z178" s="2">
        <v>7</v>
      </c>
      <c r="AA178" s="2">
        <v>6</v>
      </c>
      <c r="AB178" s="2">
        <v>3</v>
      </c>
      <c r="AC178" s="2">
        <v>0</v>
      </c>
      <c r="AD178" s="2">
        <v>0</v>
      </c>
      <c r="AE178" s="2">
        <v>0</v>
      </c>
      <c r="AF178" s="2">
        <v>0</v>
      </c>
      <c r="AG178" s="2">
        <v>10</v>
      </c>
      <c r="AH178" s="2">
        <v>6</v>
      </c>
      <c r="AI178" s="2">
        <v>9</v>
      </c>
      <c r="AJ178" s="2">
        <v>11</v>
      </c>
      <c r="AK178" s="2">
        <v>0</v>
      </c>
      <c r="AL178" s="2">
        <v>0</v>
      </c>
      <c r="AM178" s="2">
        <v>12</v>
      </c>
      <c r="AN178" s="2">
        <v>1</v>
      </c>
      <c r="AO178" s="2">
        <v>0</v>
      </c>
      <c r="AP178" s="2">
        <v>2</v>
      </c>
      <c r="AQ178" s="2">
        <v>1</v>
      </c>
      <c r="AR178" s="2">
        <v>4</v>
      </c>
      <c r="AS178" s="2">
        <v>1</v>
      </c>
      <c r="AT178" s="2">
        <v>1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1</v>
      </c>
      <c r="BB178" s="2">
        <v>1</v>
      </c>
      <c r="BC178" s="2">
        <v>2</v>
      </c>
      <c r="BD178" s="2">
        <v>0</v>
      </c>
      <c r="BE178" s="2">
        <v>2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2</v>
      </c>
      <c r="BM178" s="2">
        <v>2</v>
      </c>
      <c r="BN178" s="2">
        <v>2</v>
      </c>
      <c r="BO178" s="2">
        <v>1</v>
      </c>
      <c r="BP178" s="2">
        <v>0</v>
      </c>
      <c r="BQ178" s="2">
        <v>1</v>
      </c>
      <c r="BR178" s="2">
        <v>1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3</v>
      </c>
      <c r="BZ178" s="2">
        <v>3</v>
      </c>
      <c r="CA178" s="2">
        <v>2</v>
      </c>
      <c r="CB178" s="2">
        <v>1</v>
      </c>
      <c r="CC178" s="2">
        <v>1</v>
      </c>
      <c r="CD178" s="2">
        <v>1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>
        <v>0</v>
      </c>
      <c r="DE178" s="2">
        <v>0</v>
      </c>
      <c r="DF178" s="2">
        <v>0</v>
      </c>
      <c r="DG178" s="2">
        <v>0</v>
      </c>
      <c r="DH178" s="2">
        <v>1</v>
      </c>
      <c r="DI178" s="2">
        <v>3</v>
      </c>
      <c r="DJ178" s="2">
        <v>2</v>
      </c>
      <c r="DK178" s="2">
        <v>3</v>
      </c>
      <c r="DL178" s="2">
        <v>2</v>
      </c>
      <c r="DM178" s="2">
        <v>1</v>
      </c>
      <c r="DN178" s="2">
        <v>0</v>
      </c>
      <c r="DO178" s="2">
        <v>0</v>
      </c>
      <c r="DP178" s="2">
        <v>0</v>
      </c>
      <c r="DQ178" s="2">
        <v>0</v>
      </c>
      <c r="DR178" s="2">
        <v>0</v>
      </c>
      <c r="DS178" s="2">
        <v>0</v>
      </c>
    </row>
    <row r="179" spans="1:123">
      <c r="A179" s="2" t="s">
        <v>9</v>
      </c>
      <c r="B179" s="2" t="s">
        <v>369</v>
      </c>
      <c r="C179" s="2">
        <v>239</v>
      </c>
      <c r="D179" s="2">
        <v>23</v>
      </c>
      <c r="E179" s="2">
        <v>3.98</v>
      </c>
      <c r="F179" s="2">
        <v>10.39</v>
      </c>
      <c r="G179" s="2" t="s">
        <v>160</v>
      </c>
      <c r="H179">
        <f>IF(AND(OR(لوحة_القيادة!$C$4="الكل", A179=لوحة_القيادة!$C$4), IF(لوحة_القيادة!$C$5="الكل", TRUE, INDEX($V179:$AG179, 1, VALUE(لوحة_القيادة!$C$5))&gt;0)), 1, 0)</f>
        <v>0</v>
      </c>
      <c r="I179">
        <f>IF(H179=1, SUM($H$2:H179), "")</f>
        <v>0</v>
      </c>
      <c r="J179" s="2">
        <v>17</v>
      </c>
      <c r="K179" s="2">
        <v>18</v>
      </c>
      <c r="L179" s="2">
        <v>32</v>
      </c>
      <c r="M179" s="2">
        <v>8</v>
      </c>
      <c r="N179" s="2">
        <v>6</v>
      </c>
      <c r="O179" s="2">
        <v>65</v>
      </c>
      <c r="P179" s="2">
        <v>93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3</v>
      </c>
      <c r="W179" s="2">
        <v>4</v>
      </c>
      <c r="X179" s="2">
        <v>3</v>
      </c>
      <c r="Y179" s="2">
        <v>3</v>
      </c>
      <c r="Z179" s="2">
        <v>3</v>
      </c>
      <c r="AA179" s="2">
        <v>5</v>
      </c>
      <c r="AB179" s="2">
        <v>2</v>
      </c>
      <c r="AC179" s="2">
        <v>0</v>
      </c>
      <c r="AD179" s="2">
        <v>0</v>
      </c>
      <c r="AE179" s="2">
        <v>0</v>
      </c>
      <c r="AF179" s="2">
        <v>0</v>
      </c>
      <c r="AG179" s="2">
        <v>1</v>
      </c>
      <c r="AH179" s="2">
        <v>5</v>
      </c>
      <c r="AI179" s="2">
        <v>9</v>
      </c>
      <c r="AJ179" s="2">
        <v>3</v>
      </c>
      <c r="AK179" s="2">
        <v>0</v>
      </c>
      <c r="AL179" s="2">
        <v>0</v>
      </c>
      <c r="AM179" s="2">
        <v>5</v>
      </c>
      <c r="AN179" s="2">
        <v>0</v>
      </c>
      <c r="AO179" s="2">
        <v>0</v>
      </c>
      <c r="AP179" s="2">
        <v>0</v>
      </c>
      <c r="AQ179" s="2">
        <v>1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2</v>
      </c>
      <c r="BB179" s="2">
        <v>0</v>
      </c>
      <c r="BC179" s="2">
        <v>1</v>
      </c>
      <c r="BD179" s="2">
        <v>1</v>
      </c>
      <c r="BE179" s="2">
        <v>0</v>
      </c>
      <c r="BF179" s="2">
        <v>1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2</v>
      </c>
      <c r="BM179" s="2">
        <v>1</v>
      </c>
      <c r="BN179" s="2">
        <v>2</v>
      </c>
      <c r="BO179" s="2">
        <v>0</v>
      </c>
      <c r="BP179" s="2">
        <v>1</v>
      </c>
      <c r="BQ179" s="2">
        <v>2</v>
      </c>
      <c r="BR179" s="2">
        <v>1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1</v>
      </c>
      <c r="CA179" s="2">
        <v>1</v>
      </c>
      <c r="CB179" s="2">
        <v>0</v>
      </c>
      <c r="CC179" s="2">
        <v>1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>
        <v>0</v>
      </c>
      <c r="DC179" s="2">
        <v>0</v>
      </c>
      <c r="DD179" s="2">
        <v>0</v>
      </c>
      <c r="DE179" s="2">
        <v>0</v>
      </c>
      <c r="DF179" s="2">
        <v>0</v>
      </c>
      <c r="DG179" s="2">
        <v>0</v>
      </c>
      <c r="DH179" s="2">
        <v>1</v>
      </c>
      <c r="DI179" s="2">
        <v>1</v>
      </c>
      <c r="DJ179" s="2">
        <v>0</v>
      </c>
      <c r="DK179" s="2">
        <v>0</v>
      </c>
      <c r="DL179" s="2">
        <v>1</v>
      </c>
      <c r="DM179" s="2">
        <v>2</v>
      </c>
      <c r="DN179" s="2">
        <v>0</v>
      </c>
      <c r="DO179" s="2">
        <v>0</v>
      </c>
      <c r="DP179" s="2">
        <v>0</v>
      </c>
      <c r="DQ179" s="2">
        <v>0</v>
      </c>
      <c r="DR179" s="2">
        <v>0</v>
      </c>
      <c r="DS179" s="2">
        <v>0</v>
      </c>
    </row>
    <row r="180" spans="1:123">
      <c r="A180" s="2" t="s">
        <v>9</v>
      </c>
      <c r="B180" s="2" t="s">
        <v>370</v>
      </c>
      <c r="C180" s="2">
        <v>233</v>
      </c>
      <c r="D180" s="2">
        <v>26</v>
      </c>
      <c r="E180" s="2">
        <v>3.88</v>
      </c>
      <c r="F180" s="2">
        <v>8.960000000000001</v>
      </c>
      <c r="G180" s="2" t="s">
        <v>160</v>
      </c>
      <c r="H180">
        <f>IF(AND(OR(لوحة_القيادة!$C$4="الكل", A180=لوحة_القيادة!$C$4), IF(لوحة_القيادة!$C$5="الكل", TRUE, INDEX($V180:$AG180, 1, VALUE(لوحة_القيادة!$C$5))&gt;0)), 1, 0)</f>
        <v>0</v>
      </c>
      <c r="I180">
        <f>IF(H180=1, SUM($H$2:H180), "")</f>
        <v>0</v>
      </c>
      <c r="J180" s="2">
        <v>33</v>
      </c>
      <c r="K180" s="2">
        <v>14</v>
      </c>
      <c r="L180" s="2">
        <v>69</v>
      </c>
      <c r="M180" s="2">
        <v>67</v>
      </c>
      <c r="N180" s="2">
        <v>26</v>
      </c>
      <c r="O180" s="2">
        <v>4</v>
      </c>
      <c r="P180" s="2">
        <v>20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5</v>
      </c>
      <c r="W180" s="2">
        <v>4</v>
      </c>
      <c r="X180" s="2">
        <v>2</v>
      </c>
      <c r="Y180" s="2">
        <v>8</v>
      </c>
      <c r="Z180" s="2">
        <v>3</v>
      </c>
      <c r="AA180" s="2">
        <v>2</v>
      </c>
      <c r="AB180" s="2">
        <v>2</v>
      </c>
      <c r="AC180" s="2">
        <v>0</v>
      </c>
      <c r="AD180" s="2">
        <v>0</v>
      </c>
      <c r="AE180" s="2">
        <v>0</v>
      </c>
      <c r="AF180" s="2">
        <v>0</v>
      </c>
      <c r="AG180" s="2">
        <v>3</v>
      </c>
      <c r="AH180" s="2">
        <v>5</v>
      </c>
      <c r="AI180" s="2">
        <v>8</v>
      </c>
      <c r="AJ180" s="2">
        <v>3</v>
      </c>
      <c r="AK180" s="2">
        <v>0</v>
      </c>
      <c r="AL180" s="2">
        <v>0</v>
      </c>
      <c r="AM180" s="2">
        <v>7</v>
      </c>
      <c r="AN180" s="2">
        <v>1</v>
      </c>
      <c r="AO180" s="2">
        <v>1</v>
      </c>
      <c r="AP180" s="2">
        <v>0</v>
      </c>
      <c r="AQ180" s="2">
        <v>1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1</v>
      </c>
      <c r="BB180" s="2">
        <v>0</v>
      </c>
      <c r="BC180" s="2">
        <v>2</v>
      </c>
      <c r="BD180" s="2">
        <v>1</v>
      </c>
      <c r="BE180" s="2">
        <v>0</v>
      </c>
      <c r="BF180" s="2">
        <v>1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2</v>
      </c>
      <c r="BM180" s="2">
        <v>1</v>
      </c>
      <c r="BN180" s="2">
        <v>1</v>
      </c>
      <c r="BO180" s="2">
        <v>2</v>
      </c>
      <c r="BP180" s="2">
        <v>2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3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>
        <v>0</v>
      </c>
      <c r="DC180" s="2">
        <v>0</v>
      </c>
      <c r="DD180" s="2">
        <v>0</v>
      </c>
      <c r="DE180" s="2">
        <v>0</v>
      </c>
      <c r="DF180" s="2">
        <v>0</v>
      </c>
      <c r="DG180" s="2">
        <v>0</v>
      </c>
      <c r="DH180" s="2">
        <v>2</v>
      </c>
      <c r="DI180" s="2">
        <v>1</v>
      </c>
      <c r="DJ180" s="2">
        <v>1</v>
      </c>
      <c r="DK180" s="2">
        <v>0</v>
      </c>
      <c r="DL180" s="2">
        <v>0</v>
      </c>
      <c r="DM180" s="2">
        <v>2</v>
      </c>
      <c r="DN180" s="2">
        <v>1</v>
      </c>
      <c r="DO180" s="2">
        <v>0</v>
      </c>
      <c r="DP180" s="2">
        <v>0</v>
      </c>
      <c r="DQ180" s="2">
        <v>0</v>
      </c>
      <c r="DR180" s="2">
        <v>0</v>
      </c>
      <c r="DS180" s="2">
        <v>0</v>
      </c>
    </row>
    <row r="181" spans="1:123">
      <c r="A181" s="2" t="s">
        <v>8</v>
      </c>
      <c r="B181" s="2" t="s">
        <v>371</v>
      </c>
      <c r="C181" s="2">
        <v>232</v>
      </c>
      <c r="D181" s="2">
        <v>13</v>
      </c>
      <c r="E181" s="2">
        <v>3.87</v>
      </c>
      <c r="F181" s="2">
        <v>17.85</v>
      </c>
      <c r="G181" s="2" t="s">
        <v>160</v>
      </c>
      <c r="H181">
        <f>IF(AND(OR(لوحة_القيادة!$C$4="الكل", A181=لوحة_القيادة!$C$4), IF(لوحة_القيادة!$C$5="الكل", TRUE, INDEX($V181:$AG181, 1, VALUE(لوحة_القيادة!$C$5))&gt;0)), 1, 0)</f>
        <v>0</v>
      </c>
      <c r="I181">
        <f>IF(H181=1, SUM($H$2:H181), "")</f>
        <v>0</v>
      </c>
      <c r="J181" s="2">
        <v>1</v>
      </c>
      <c r="K181" s="2">
        <v>26</v>
      </c>
      <c r="L181" s="2">
        <v>49</v>
      </c>
      <c r="M181" s="2">
        <v>4</v>
      </c>
      <c r="N181" s="2">
        <v>67</v>
      </c>
      <c r="O181" s="2">
        <v>63</v>
      </c>
      <c r="P181" s="2">
        <v>22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1</v>
      </c>
      <c r="W181" s="2">
        <v>3</v>
      </c>
      <c r="X181" s="2">
        <v>2</v>
      </c>
      <c r="Y181" s="2">
        <v>1</v>
      </c>
      <c r="Z181" s="2">
        <v>3</v>
      </c>
      <c r="AA181" s="2">
        <v>2</v>
      </c>
      <c r="AB181" s="2">
        <v>1</v>
      </c>
      <c r="AC181" s="2">
        <v>0</v>
      </c>
      <c r="AD181" s="2">
        <v>0</v>
      </c>
      <c r="AE181" s="2">
        <v>0</v>
      </c>
      <c r="AF181" s="2">
        <v>0</v>
      </c>
      <c r="AG181" s="2">
        <v>2</v>
      </c>
      <c r="AH181" s="2">
        <v>3</v>
      </c>
      <c r="AI181" s="2">
        <v>3</v>
      </c>
      <c r="AJ181" s="2">
        <v>2</v>
      </c>
      <c r="AK181" s="2">
        <v>0</v>
      </c>
      <c r="AL181" s="2">
        <v>0</v>
      </c>
      <c r="AM181" s="2">
        <v>3</v>
      </c>
      <c r="AN181" s="2">
        <v>1</v>
      </c>
      <c r="AO181" s="2">
        <v>0</v>
      </c>
      <c r="AP181" s="2">
        <v>1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1</v>
      </c>
      <c r="BE181" s="2">
        <v>2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1</v>
      </c>
      <c r="BN181" s="2">
        <v>0</v>
      </c>
      <c r="BO181" s="2">
        <v>1</v>
      </c>
      <c r="BP181" s="2">
        <v>1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1</v>
      </c>
      <c r="BZ181" s="2">
        <v>1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>
        <v>0</v>
      </c>
      <c r="DC181" s="2">
        <v>0</v>
      </c>
      <c r="DD181" s="2">
        <v>0</v>
      </c>
      <c r="DE181" s="2">
        <v>0</v>
      </c>
      <c r="DF181" s="2">
        <v>0</v>
      </c>
      <c r="DG181" s="2">
        <v>0</v>
      </c>
      <c r="DH181" s="2">
        <v>0</v>
      </c>
      <c r="DI181" s="2">
        <v>1</v>
      </c>
      <c r="DJ181" s="2">
        <v>0</v>
      </c>
      <c r="DK181" s="2">
        <v>0</v>
      </c>
      <c r="DL181" s="2">
        <v>1</v>
      </c>
      <c r="DM181" s="2">
        <v>0</v>
      </c>
      <c r="DN181" s="2">
        <v>1</v>
      </c>
      <c r="DO181" s="2">
        <v>0</v>
      </c>
      <c r="DP181" s="2">
        <v>0</v>
      </c>
      <c r="DQ181" s="2">
        <v>0</v>
      </c>
      <c r="DR181" s="2">
        <v>0</v>
      </c>
      <c r="DS181" s="2">
        <v>0</v>
      </c>
    </row>
    <row r="182" spans="1:123">
      <c r="A182" s="2" t="s">
        <v>18</v>
      </c>
      <c r="B182" s="2" t="s">
        <v>372</v>
      </c>
      <c r="C182" s="2">
        <v>232</v>
      </c>
      <c r="D182" s="2">
        <v>1</v>
      </c>
      <c r="E182" s="2">
        <v>3.87</v>
      </c>
      <c r="F182" s="2">
        <v>232</v>
      </c>
      <c r="G182" s="2" t="s">
        <v>24</v>
      </c>
      <c r="H182">
        <f>IF(AND(OR(لوحة_القيادة!$C$4="الكل", A182=لوحة_القيادة!$C$4), IF(لوحة_القيادة!$C$5="الكل", TRUE, INDEX($V182:$AG182, 1, VALUE(لوحة_القيادة!$C$5))&gt;0)), 1, 0)</f>
        <v>0</v>
      </c>
      <c r="I182">
        <f>IF(H182=1, SUM($H$2:H182), "")</f>
        <v>0</v>
      </c>
      <c r="J182" s="2">
        <v>0</v>
      </c>
      <c r="K182" s="2">
        <v>232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1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1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1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0</v>
      </c>
      <c r="DE182" s="2">
        <v>0</v>
      </c>
      <c r="DF182" s="2">
        <v>0</v>
      </c>
      <c r="DG182" s="2">
        <v>0</v>
      </c>
      <c r="DH182" s="2">
        <v>0</v>
      </c>
      <c r="DI182" s="2">
        <v>0</v>
      </c>
      <c r="DJ182" s="2">
        <v>0</v>
      </c>
      <c r="DK182" s="2">
        <v>0</v>
      </c>
      <c r="DL182" s="2">
        <v>0</v>
      </c>
      <c r="DM182" s="2">
        <v>0</v>
      </c>
      <c r="DN182" s="2">
        <v>0</v>
      </c>
      <c r="DO182" s="2">
        <v>0</v>
      </c>
      <c r="DP182" s="2">
        <v>0</v>
      </c>
      <c r="DQ182" s="2">
        <v>0</v>
      </c>
      <c r="DR182" s="2">
        <v>0</v>
      </c>
      <c r="DS182" s="2">
        <v>0</v>
      </c>
    </row>
    <row r="183" spans="1:123">
      <c r="A183" s="2" t="s">
        <v>18</v>
      </c>
      <c r="B183" s="2" t="s">
        <v>373</v>
      </c>
      <c r="C183" s="2">
        <v>221</v>
      </c>
      <c r="D183" s="2">
        <v>16</v>
      </c>
      <c r="E183" s="2">
        <v>3.68</v>
      </c>
      <c r="F183" s="2">
        <v>13.81</v>
      </c>
      <c r="G183" s="2" t="s">
        <v>252</v>
      </c>
      <c r="H183">
        <f>IF(AND(OR(لوحة_القيادة!$C$4="الكل", A183=لوحة_القيادة!$C$4), IF(لوحة_القيادة!$C$5="الكل", TRUE, INDEX($V183:$AG183, 1, VALUE(لوحة_القيادة!$C$5))&gt;0)), 1, 0)</f>
        <v>0</v>
      </c>
      <c r="I183">
        <f>IF(H183=1, SUM($H$2:H183), "")</f>
        <v>0</v>
      </c>
      <c r="J183" s="2">
        <v>28</v>
      </c>
      <c r="K183" s="2">
        <v>3</v>
      </c>
      <c r="L183" s="2">
        <v>9</v>
      </c>
      <c r="M183" s="2">
        <v>7</v>
      </c>
      <c r="N183" s="2">
        <v>3</v>
      </c>
      <c r="O183" s="2">
        <v>0</v>
      </c>
      <c r="P183" s="2">
        <v>171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6</v>
      </c>
      <c r="W183" s="2">
        <v>1</v>
      </c>
      <c r="X183" s="2">
        <v>4</v>
      </c>
      <c r="Y183" s="2">
        <v>2</v>
      </c>
      <c r="Z183" s="2">
        <v>2</v>
      </c>
      <c r="AA183" s="2">
        <v>0</v>
      </c>
      <c r="AB183" s="2">
        <v>1</v>
      </c>
      <c r="AC183" s="2">
        <v>0</v>
      </c>
      <c r="AD183" s="2">
        <v>0</v>
      </c>
      <c r="AE183" s="2">
        <v>0</v>
      </c>
      <c r="AF183" s="2">
        <v>0</v>
      </c>
      <c r="AG183" s="2">
        <v>4</v>
      </c>
      <c r="AH183" s="2">
        <v>3</v>
      </c>
      <c r="AI183" s="2">
        <v>3</v>
      </c>
      <c r="AJ183" s="2">
        <v>3</v>
      </c>
      <c r="AK183" s="2">
        <v>0</v>
      </c>
      <c r="AL183" s="2">
        <v>0</v>
      </c>
      <c r="AM183" s="2">
        <v>3</v>
      </c>
      <c r="AN183" s="2">
        <v>0</v>
      </c>
      <c r="AO183" s="2">
        <v>1</v>
      </c>
      <c r="AP183" s="2">
        <v>1</v>
      </c>
      <c r="AQ183" s="2">
        <v>0</v>
      </c>
      <c r="AR183" s="2">
        <v>2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2</v>
      </c>
      <c r="BA183" s="2">
        <v>0</v>
      </c>
      <c r="BB183" s="2">
        <v>1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1</v>
      </c>
      <c r="BM183" s="2">
        <v>0</v>
      </c>
      <c r="BN183" s="2">
        <v>1</v>
      </c>
      <c r="BO183" s="2">
        <v>1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1</v>
      </c>
      <c r="BY183" s="2">
        <v>0</v>
      </c>
      <c r="BZ183" s="2">
        <v>0</v>
      </c>
      <c r="CA183" s="2">
        <v>1</v>
      </c>
      <c r="CB183" s="2">
        <v>0</v>
      </c>
      <c r="CC183" s="2">
        <v>0</v>
      </c>
      <c r="CD183" s="2">
        <v>1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  <c r="DE183" s="2">
        <v>0</v>
      </c>
      <c r="DF183" s="2">
        <v>0</v>
      </c>
      <c r="DG183" s="2">
        <v>0</v>
      </c>
      <c r="DH183" s="2">
        <v>2</v>
      </c>
      <c r="DI183" s="2">
        <v>0</v>
      </c>
      <c r="DJ183" s="2">
        <v>1</v>
      </c>
      <c r="DK183" s="2">
        <v>0</v>
      </c>
      <c r="DL183" s="2">
        <v>0</v>
      </c>
      <c r="DM183" s="2">
        <v>0</v>
      </c>
      <c r="DN183" s="2">
        <v>0</v>
      </c>
      <c r="DO183" s="2">
        <v>0</v>
      </c>
      <c r="DP183" s="2">
        <v>0</v>
      </c>
      <c r="DQ183" s="2">
        <v>0</v>
      </c>
      <c r="DR183" s="2">
        <v>0</v>
      </c>
      <c r="DS183" s="2">
        <v>0</v>
      </c>
    </row>
    <row r="184" spans="1:123">
      <c r="A184" s="2" t="s">
        <v>9</v>
      </c>
      <c r="B184" s="2" t="s">
        <v>374</v>
      </c>
      <c r="C184" s="2">
        <v>219</v>
      </c>
      <c r="D184" s="2">
        <v>19</v>
      </c>
      <c r="E184" s="2">
        <v>3.65</v>
      </c>
      <c r="F184" s="2">
        <v>11.53</v>
      </c>
      <c r="G184" s="2" t="s">
        <v>160</v>
      </c>
      <c r="H184">
        <f>IF(AND(OR(لوحة_القيادة!$C$4="الكل", A184=لوحة_القيادة!$C$4), IF(لوحة_القيادة!$C$5="الكل", TRUE, INDEX($V184:$AG184, 1, VALUE(لوحة_القيادة!$C$5))&gt;0)), 1, 0)</f>
        <v>0</v>
      </c>
      <c r="I184">
        <f>IF(H184=1, SUM($H$2:H184), "")</f>
        <v>0</v>
      </c>
      <c r="J184" s="2">
        <v>38</v>
      </c>
      <c r="K184" s="2">
        <v>46</v>
      </c>
      <c r="L184" s="2">
        <v>38</v>
      </c>
      <c r="M184" s="2">
        <v>45</v>
      </c>
      <c r="N184" s="2">
        <v>39</v>
      </c>
      <c r="O184" s="2">
        <v>12</v>
      </c>
      <c r="P184" s="2">
        <v>1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2</v>
      </c>
      <c r="W184" s="2">
        <v>2</v>
      </c>
      <c r="X184" s="2">
        <v>6</v>
      </c>
      <c r="Y184" s="2">
        <v>3</v>
      </c>
      <c r="Z184" s="2">
        <v>2</v>
      </c>
      <c r="AA184" s="2">
        <v>3</v>
      </c>
      <c r="AB184" s="2">
        <v>1</v>
      </c>
      <c r="AC184" s="2">
        <v>0</v>
      </c>
      <c r="AD184" s="2">
        <v>0</v>
      </c>
      <c r="AE184" s="2">
        <v>0</v>
      </c>
      <c r="AF184" s="2">
        <v>0</v>
      </c>
      <c r="AG184" s="2">
        <v>6</v>
      </c>
      <c r="AH184" s="2">
        <v>4</v>
      </c>
      <c r="AI184" s="2">
        <v>2</v>
      </c>
      <c r="AJ184" s="2">
        <v>5</v>
      </c>
      <c r="AK184" s="2">
        <v>0</v>
      </c>
      <c r="AL184" s="2">
        <v>0</v>
      </c>
      <c r="AM184" s="2">
        <v>2</v>
      </c>
      <c r="AN184" s="2">
        <v>1</v>
      </c>
      <c r="AO184" s="2">
        <v>1</v>
      </c>
      <c r="AP184" s="2">
        <v>0</v>
      </c>
      <c r="AQ184" s="2">
        <v>1</v>
      </c>
      <c r="AR184" s="2">
        <v>1</v>
      </c>
      <c r="AS184" s="2">
        <v>2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2</v>
      </c>
      <c r="BC184" s="2">
        <v>1</v>
      </c>
      <c r="BD184" s="2">
        <v>1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1</v>
      </c>
      <c r="BM184" s="2">
        <v>0</v>
      </c>
      <c r="BN184" s="2">
        <v>1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1</v>
      </c>
      <c r="BZ184" s="2">
        <v>2</v>
      </c>
      <c r="CA184" s="2">
        <v>1</v>
      </c>
      <c r="CB184" s="2">
        <v>0</v>
      </c>
      <c r="CC184" s="2">
        <v>0</v>
      </c>
      <c r="CD184" s="2">
        <v>1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  <c r="DE184" s="2">
        <v>0</v>
      </c>
      <c r="DF184" s="2">
        <v>0</v>
      </c>
      <c r="DG184" s="2">
        <v>0</v>
      </c>
      <c r="DH184" s="2">
        <v>0</v>
      </c>
      <c r="DI184" s="2">
        <v>0</v>
      </c>
      <c r="DJ184" s="2">
        <v>1</v>
      </c>
      <c r="DK184" s="2">
        <v>0</v>
      </c>
      <c r="DL184" s="2">
        <v>0</v>
      </c>
      <c r="DM184" s="2">
        <v>1</v>
      </c>
      <c r="DN184" s="2">
        <v>0</v>
      </c>
      <c r="DO184" s="2">
        <v>0</v>
      </c>
      <c r="DP184" s="2">
        <v>0</v>
      </c>
      <c r="DQ184" s="2">
        <v>0</v>
      </c>
      <c r="DR184" s="2">
        <v>0</v>
      </c>
      <c r="DS184" s="2">
        <v>0</v>
      </c>
    </row>
    <row r="185" spans="1:123">
      <c r="A185" s="2" t="s">
        <v>13</v>
      </c>
      <c r="B185" s="2" t="s">
        <v>375</v>
      </c>
      <c r="C185" s="2">
        <v>218</v>
      </c>
      <c r="D185" s="2">
        <v>6</v>
      </c>
      <c r="E185" s="2">
        <v>3.63</v>
      </c>
      <c r="F185" s="2">
        <v>36.33</v>
      </c>
      <c r="G185" s="2" t="s">
        <v>376</v>
      </c>
      <c r="H185">
        <f>IF(AND(OR(لوحة_القيادة!$C$4="الكل", A185=لوحة_القيادة!$C$4), IF(لوحة_القيادة!$C$5="الكل", TRUE, INDEX($V185:$AG185, 1, VALUE(لوحة_القيادة!$C$5))&gt;0)), 1, 0)</f>
        <v>0</v>
      </c>
      <c r="I185">
        <f>IF(H185=1, SUM($H$2:H185), "")</f>
        <v>0</v>
      </c>
      <c r="J185" s="2">
        <v>0</v>
      </c>
      <c r="K185" s="2">
        <v>0</v>
      </c>
      <c r="L185" s="2">
        <v>0</v>
      </c>
      <c r="M185" s="2">
        <v>164</v>
      </c>
      <c r="N185" s="2">
        <v>54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3</v>
      </c>
      <c r="Z185" s="2">
        <v>3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2</v>
      </c>
      <c r="AI185" s="2">
        <v>1</v>
      </c>
      <c r="AJ185" s="2">
        <v>1</v>
      </c>
      <c r="AK185" s="2">
        <v>0</v>
      </c>
      <c r="AL185" s="2">
        <v>0</v>
      </c>
      <c r="AM185" s="2">
        <v>2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1</v>
      </c>
      <c r="BD185" s="2">
        <v>1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1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1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  <c r="DE185" s="2">
        <v>0</v>
      </c>
      <c r="DF185" s="2">
        <v>0</v>
      </c>
      <c r="DG185" s="2">
        <v>0</v>
      </c>
      <c r="DH185" s="2">
        <v>0</v>
      </c>
      <c r="DI185" s="2">
        <v>0</v>
      </c>
      <c r="DJ185" s="2">
        <v>0</v>
      </c>
      <c r="DK185" s="2">
        <v>1</v>
      </c>
      <c r="DL185" s="2">
        <v>1</v>
      </c>
      <c r="DM185" s="2">
        <v>0</v>
      </c>
      <c r="DN185" s="2">
        <v>0</v>
      </c>
      <c r="DO185" s="2">
        <v>0</v>
      </c>
      <c r="DP185" s="2">
        <v>0</v>
      </c>
      <c r="DQ185" s="2">
        <v>0</v>
      </c>
      <c r="DR185" s="2">
        <v>0</v>
      </c>
      <c r="DS185" s="2">
        <v>0</v>
      </c>
    </row>
    <row r="186" spans="1:123">
      <c r="A186" s="2" t="s">
        <v>20</v>
      </c>
      <c r="B186" s="2" t="s">
        <v>377</v>
      </c>
      <c r="C186" s="2">
        <v>216</v>
      </c>
      <c r="D186" s="2">
        <v>30</v>
      </c>
      <c r="E186" s="2">
        <v>3.6</v>
      </c>
      <c r="F186" s="2">
        <v>7.2</v>
      </c>
      <c r="G186" s="2" t="s">
        <v>160</v>
      </c>
      <c r="H186">
        <f>IF(AND(OR(لوحة_القيادة!$C$4="الكل", A186=لوحة_القيادة!$C$4), IF(لوحة_القيادة!$C$5="الكل", TRUE, INDEX($V186:$AG186, 1, VALUE(لوحة_القيادة!$C$5))&gt;0)), 1, 0)</f>
        <v>0</v>
      </c>
      <c r="I186">
        <f>IF(H186=1, SUM($H$2:H186), "")</f>
        <v>0</v>
      </c>
      <c r="J186" s="2">
        <v>47</v>
      </c>
      <c r="K186" s="2">
        <v>43</v>
      </c>
      <c r="L186" s="2">
        <v>7</v>
      </c>
      <c r="M186" s="2">
        <v>87</v>
      </c>
      <c r="N186" s="2">
        <v>6</v>
      </c>
      <c r="O186" s="2">
        <v>6</v>
      </c>
      <c r="P186" s="2">
        <v>20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4</v>
      </c>
      <c r="W186" s="2">
        <v>9</v>
      </c>
      <c r="X186" s="2">
        <v>3</v>
      </c>
      <c r="Y186" s="2">
        <v>6</v>
      </c>
      <c r="Z186" s="2">
        <v>2</v>
      </c>
      <c r="AA186" s="2">
        <v>3</v>
      </c>
      <c r="AB186" s="2">
        <v>3</v>
      </c>
      <c r="AC186" s="2">
        <v>0</v>
      </c>
      <c r="AD186" s="2">
        <v>0</v>
      </c>
      <c r="AE186" s="2">
        <v>0</v>
      </c>
      <c r="AF186" s="2">
        <v>0</v>
      </c>
      <c r="AG186" s="2">
        <v>5</v>
      </c>
      <c r="AH186" s="2">
        <v>9</v>
      </c>
      <c r="AI186" s="2">
        <v>9</v>
      </c>
      <c r="AJ186" s="2">
        <v>3</v>
      </c>
      <c r="AK186" s="2">
        <v>0</v>
      </c>
      <c r="AL186" s="2">
        <v>0</v>
      </c>
      <c r="AM186" s="2">
        <v>4</v>
      </c>
      <c r="AN186" s="2">
        <v>1</v>
      </c>
      <c r="AO186" s="2">
        <v>2</v>
      </c>
      <c r="AP186" s="2">
        <v>0</v>
      </c>
      <c r="AQ186" s="2">
        <v>1</v>
      </c>
      <c r="AR186" s="2">
        <v>0</v>
      </c>
      <c r="AS186" s="2">
        <v>0</v>
      </c>
      <c r="AT186" s="2">
        <v>1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2</v>
      </c>
      <c r="BA186" s="2">
        <v>3</v>
      </c>
      <c r="BB186" s="2">
        <v>0</v>
      </c>
      <c r="BC186" s="2">
        <v>1</v>
      </c>
      <c r="BD186" s="2">
        <v>1</v>
      </c>
      <c r="BE186" s="2">
        <v>1</v>
      </c>
      <c r="BF186" s="2">
        <v>1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1</v>
      </c>
      <c r="BM186" s="2">
        <v>2</v>
      </c>
      <c r="BN186" s="2">
        <v>2</v>
      </c>
      <c r="BO186" s="2">
        <v>2</v>
      </c>
      <c r="BP186" s="2">
        <v>1</v>
      </c>
      <c r="BQ186" s="2">
        <v>0</v>
      </c>
      <c r="BR186" s="2">
        <v>1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2</v>
      </c>
      <c r="BZ186" s="2">
        <v>0</v>
      </c>
      <c r="CA186" s="2">
        <v>0</v>
      </c>
      <c r="CB186" s="2">
        <v>0</v>
      </c>
      <c r="CC186" s="2">
        <v>1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  <c r="DE186" s="2">
        <v>0</v>
      </c>
      <c r="DF186" s="2">
        <v>0</v>
      </c>
      <c r="DG186" s="2">
        <v>0</v>
      </c>
      <c r="DH186" s="2">
        <v>0</v>
      </c>
      <c r="DI186" s="2">
        <v>0</v>
      </c>
      <c r="DJ186" s="2">
        <v>1</v>
      </c>
      <c r="DK186" s="2">
        <v>2</v>
      </c>
      <c r="DL186" s="2">
        <v>0</v>
      </c>
      <c r="DM186" s="2">
        <v>1</v>
      </c>
      <c r="DN186" s="2">
        <v>0</v>
      </c>
      <c r="DO186" s="2">
        <v>0</v>
      </c>
      <c r="DP186" s="2">
        <v>0</v>
      </c>
      <c r="DQ186" s="2">
        <v>0</v>
      </c>
      <c r="DR186" s="2">
        <v>0</v>
      </c>
      <c r="DS186" s="2">
        <v>0</v>
      </c>
    </row>
    <row r="187" spans="1:123">
      <c r="A187" s="2" t="s">
        <v>9</v>
      </c>
      <c r="B187" s="2" t="s">
        <v>378</v>
      </c>
      <c r="C187" s="2">
        <v>215</v>
      </c>
      <c r="D187" s="2">
        <v>41</v>
      </c>
      <c r="E187" s="2">
        <v>3.58</v>
      </c>
      <c r="F187" s="2">
        <v>5.24</v>
      </c>
      <c r="G187" s="2" t="s">
        <v>160</v>
      </c>
      <c r="H187">
        <f>IF(AND(OR(لوحة_القيادة!$C$4="الكل", A187=لوحة_القيادة!$C$4), IF(لوحة_القيادة!$C$5="الكل", TRUE, INDEX($V187:$AG187, 1, VALUE(لوحة_القيادة!$C$5))&gt;0)), 1, 0)</f>
        <v>0</v>
      </c>
      <c r="I187">
        <f>IF(H187=1, SUM($H$2:H187), "")</f>
        <v>0</v>
      </c>
      <c r="J187" s="2">
        <v>15</v>
      </c>
      <c r="K187" s="2">
        <v>41</v>
      </c>
      <c r="L187" s="2">
        <v>31</v>
      </c>
      <c r="M187" s="2">
        <v>46</v>
      </c>
      <c r="N187" s="2">
        <v>29</v>
      </c>
      <c r="O187" s="2">
        <v>35</v>
      </c>
      <c r="P187" s="2">
        <v>18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5</v>
      </c>
      <c r="W187" s="2">
        <v>7</v>
      </c>
      <c r="X187" s="2">
        <v>4</v>
      </c>
      <c r="Y187" s="2">
        <v>9</v>
      </c>
      <c r="Z187" s="2">
        <v>7</v>
      </c>
      <c r="AA187" s="2">
        <v>6</v>
      </c>
      <c r="AB187" s="2">
        <v>3</v>
      </c>
      <c r="AC187" s="2">
        <v>0</v>
      </c>
      <c r="AD187" s="2">
        <v>0</v>
      </c>
      <c r="AE187" s="2">
        <v>0</v>
      </c>
      <c r="AF187" s="2">
        <v>0</v>
      </c>
      <c r="AG187" s="2">
        <v>8</v>
      </c>
      <c r="AH187" s="2">
        <v>12</v>
      </c>
      <c r="AI187" s="2">
        <v>5</v>
      </c>
      <c r="AJ187" s="2">
        <v>6</v>
      </c>
      <c r="AK187" s="2">
        <v>0</v>
      </c>
      <c r="AL187" s="2">
        <v>0</v>
      </c>
      <c r="AM187" s="2">
        <v>10</v>
      </c>
      <c r="AN187" s="2">
        <v>1</v>
      </c>
      <c r="AO187" s="2">
        <v>2</v>
      </c>
      <c r="AP187" s="2">
        <v>0</v>
      </c>
      <c r="AQ187" s="2">
        <v>2</v>
      </c>
      <c r="AR187" s="2">
        <v>2</v>
      </c>
      <c r="AS187" s="2">
        <v>0</v>
      </c>
      <c r="AT187" s="2">
        <v>1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2</v>
      </c>
      <c r="BA187" s="2">
        <v>2</v>
      </c>
      <c r="BB187" s="2">
        <v>2</v>
      </c>
      <c r="BC187" s="2">
        <v>2</v>
      </c>
      <c r="BD187" s="2">
        <v>1</v>
      </c>
      <c r="BE187" s="2">
        <v>3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1</v>
      </c>
      <c r="BN187" s="2">
        <v>1</v>
      </c>
      <c r="BO187" s="2">
        <v>1</v>
      </c>
      <c r="BP187" s="2">
        <v>0</v>
      </c>
      <c r="BQ187" s="2">
        <v>1</v>
      </c>
      <c r="BR187" s="2">
        <v>1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1</v>
      </c>
      <c r="CB187" s="2">
        <v>2</v>
      </c>
      <c r="CC187" s="2">
        <v>2</v>
      </c>
      <c r="CD187" s="2">
        <v>1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  <c r="DE187" s="2">
        <v>0</v>
      </c>
      <c r="DF187" s="2">
        <v>0</v>
      </c>
      <c r="DG187" s="2">
        <v>0</v>
      </c>
      <c r="DH187" s="2">
        <v>2</v>
      </c>
      <c r="DI187" s="2">
        <v>2</v>
      </c>
      <c r="DJ187" s="2">
        <v>1</v>
      </c>
      <c r="DK187" s="2">
        <v>3</v>
      </c>
      <c r="DL187" s="2">
        <v>2</v>
      </c>
      <c r="DM187" s="2">
        <v>0</v>
      </c>
      <c r="DN187" s="2">
        <v>0</v>
      </c>
      <c r="DO187" s="2">
        <v>0</v>
      </c>
      <c r="DP187" s="2">
        <v>0</v>
      </c>
      <c r="DQ187" s="2">
        <v>0</v>
      </c>
      <c r="DR187" s="2">
        <v>0</v>
      </c>
      <c r="DS187" s="2">
        <v>0</v>
      </c>
    </row>
    <row r="188" spans="1:123">
      <c r="A188" s="2" t="s">
        <v>1</v>
      </c>
      <c r="B188" s="2" t="s">
        <v>379</v>
      </c>
      <c r="C188" s="2">
        <v>214</v>
      </c>
      <c r="D188" s="2">
        <v>30</v>
      </c>
      <c r="E188" s="2">
        <v>3.57</v>
      </c>
      <c r="F188" s="2">
        <v>7.13</v>
      </c>
      <c r="G188" s="2" t="s">
        <v>160</v>
      </c>
      <c r="H188">
        <f>IF(AND(OR(لوحة_القيادة!$C$4="الكل", A188=لوحة_القيادة!$C$4), IF(لوحة_القيادة!$C$5="الكل", TRUE, INDEX($V188:$AG188, 1, VALUE(لوحة_القيادة!$C$5))&gt;0)), 1, 0)</f>
        <v>0</v>
      </c>
      <c r="I188">
        <f>IF(H188=1, SUM($H$2:H188), "")</f>
        <v>0</v>
      </c>
      <c r="J188" s="2">
        <v>3</v>
      </c>
      <c r="K188" s="2">
        <v>16</v>
      </c>
      <c r="L188" s="2">
        <v>72</v>
      </c>
      <c r="M188" s="2">
        <v>18</v>
      </c>
      <c r="N188" s="2">
        <v>24</v>
      </c>
      <c r="O188" s="2">
        <v>66</v>
      </c>
      <c r="P188" s="2">
        <v>15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1</v>
      </c>
      <c r="W188" s="2">
        <v>4</v>
      </c>
      <c r="X188" s="2">
        <v>4</v>
      </c>
      <c r="Y188" s="2">
        <v>5</v>
      </c>
      <c r="Z188" s="2">
        <v>3</v>
      </c>
      <c r="AA188" s="2">
        <v>11</v>
      </c>
      <c r="AB188" s="2">
        <v>2</v>
      </c>
      <c r="AC188" s="2">
        <v>0</v>
      </c>
      <c r="AD188" s="2">
        <v>0</v>
      </c>
      <c r="AE188" s="2">
        <v>0</v>
      </c>
      <c r="AF188" s="2">
        <v>0</v>
      </c>
      <c r="AG188" s="2">
        <v>5</v>
      </c>
      <c r="AH188" s="2">
        <v>9</v>
      </c>
      <c r="AI188" s="2">
        <v>6</v>
      </c>
      <c r="AJ188" s="2">
        <v>5</v>
      </c>
      <c r="AK188" s="2">
        <v>0</v>
      </c>
      <c r="AL188" s="2">
        <v>0</v>
      </c>
      <c r="AM188" s="2">
        <v>5</v>
      </c>
      <c r="AN188" s="2">
        <v>1</v>
      </c>
      <c r="AO188" s="2">
        <v>1</v>
      </c>
      <c r="AP188" s="2">
        <v>0</v>
      </c>
      <c r="AQ188" s="2">
        <v>1</v>
      </c>
      <c r="AR188" s="2">
        <v>1</v>
      </c>
      <c r="AS188" s="2">
        <v>1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1</v>
      </c>
      <c r="BB188" s="2">
        <v>1</v>
      </c>
      <c r="BC188" s="2">
        <v>1</v>
      </c>
      <c r="BD188" s="2">
        <v>2</v>
      </c>
      <c r="BE188" s="2">
        <v>3</v>
      </c>
      <c r="BF188" s="2">
        <v>1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1</v>
      </c>
      <c r="BN188" s="2">
        <v>2</v>
      </c>
      <c r="BO188" s="2">
        <v>1</v>
      </c>
      <c r="BP188" s="2">
        <v>0</v>
      </c>
      <c r="BQ188" s="2">
        <v>2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1</v>
      </c>
      <c r="BZ188" s="2">
        <v>1</v>
      </c>
      <c r="CA188" s="2">
        <v>1</v>
      </c>
      <c r="CB188" s="2">
        <v>0</v>
      </c>
      <c r="CC188" s="2">
        <v>2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0</v>
      </c>
      <c r="DB188" s="2">
        <v>0</v>
      </c>
      <c r="DC188" s="2">
        <v>0</v>
      </c>
      <c r="DD188" s="2">
        <v>0</v>
      </c>
      <c r="DE188" s="2">
        <v>0</v>
      </c>
      <c r="DF188" s="2">
        <v>0</v>
      </c>
      <c r="DG188" s="2">
        <v>0</v>
      </c>
      <c r="DH188" s="2">
        <v>0</v>
      </c>
      <c r="DI188" s="2">
        <v>0</v>
      </c>
      <c r="DJ188" s="2">
        <v>0</v>
      </c>
      <c r="DK188" s="2">
        <v>1</v>
      </c>
      <c r="DL188" s="2">
        <v>0</v>
      </c>
      <c r="DM188" s="2">
        <v>3</v>
      </c>
      <c r="DN188" s="2">
        <v>1</v>
      </c>
      <c r="DO188" s="2">
        <v>0</v>
      </c>
      <c r="DP188" s="2">
        <v>0</v>
      </c>
      <c r="DQ188" s="2">
        <v>0</v>
      </c>
      <c r="DR188" s="2">
        <v>0</v>
      </c>
      <c r="DS188" s="2">
        <v>0</v>
      </c>
    </row>
    <row r="189" spans="1:123">
      <c r="A189" s="2" t="s">
        <v>17</v>
      </c>
      <c r="B189" s="2" t="s">
        <v>380</v>
      </c>
      <c r="C189" s="2">
        <v>214</v>
      </c>
      <c r="D189" s="2">
        <v>13</v>
      </c>
      <c r="E189" s="2">
        <v>3.57</v>
      </c>
      <c r="F189" s="2">
        <v>16.46</v>
      </c>
      <c r="G189" s="2" t="s">
        <v>160</v>
      </c>
      <c r="H189">
        <f>IF(AND(OR(لوحة_القيادة!$C$4="الكل", A189=لوحة_القيادة!$C$4), IF(لوحة_القيادة!$C$5="الكل", TRUE, INDEX($V189:$AG189, 1, VALUE(لوحة_القيادة!$C$5))&gt;0)), 1, 0)</f>
        <v>0</v>
      </c>
      <c r="I189">
        <f>IF(H189=1, SUM($H$2:H189), "")</f>
        <v>0</v>
      </c>
      <c r="J189" s="2">
        <v>31</v>
      </c>
      <c r="K189" s="2">
        <v>17</v>
      </c>
      <c r="L189" s="2">
        <v>88</v>
      </c>
      <c r="M189" s="2">
        <v>1</v>
      </c>
      <c r="N189" s="2">
        <v>6</v>
      </c>
      <c r="O189" s="2">
        <v>45</v>
      </c>
      <c r="P189" s="2">
        <v>26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1</v>
      </c>
      <c r="W189" s="2">
        <v>2</v>
      </c>
      <c r="X189" s="2">
        <v>3</v>
      </c>
      <c r="Y189" s="2">
        <v>1</v>
      </c>
      <c r="Z189" s="2">
        <v>1</v>
      </c>
      <c r="AA189" s="2">
        <v>3</v>
      </c>
      <c r="AB189" s="2">
        <v>2</v>
      </c>
      <c r="AC189" s="2">
        <v>0</v>
      </c>
      <c r="AD189" s="2">
        <v>0</v>
      </c>
      <c r="AE189" s="2">
        <v>0</v>
      </c>
      <c r="AF189" s="2">
        <v>0</v>
      </c>
      <c r="AG189" s="2">
        <v>3</v>
      </c>
      <c r="AH189" s="2">
        <v>1</v>
      </c>
      <c r="AI189" s="2">
        <v>3</v>
      </c>
      <c r="AJ189" s="2">
        <v>3</v>
      </c>
      <c r="AK189" s="2">
        <v>0</v>
      </c>
      <c r="AL189" s="2">
        <v>0</v>
      </c>
      <c r="AM189" s="2">
        <v>3</v>
      </c>
      <c r="AN189" s="2">
        <v>0</v>
      </c>
      <c r="AO189" s="2">
        <v>0</v>
      </c>
      <c r="AP189" s="2">
        <v>0</v>
      </c>
      <c r="AQ189" s="2">
        <v>1</v>
      </c>
      <c r="AR189" s="2">
        <v>0</v>
      </c>
      <c r="AS189" s="2">
        <v>1</v>
      </c>
      <c r="AT189" s="2">
        <v>1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1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1</v>
      </c>
      <c r="BM189" s="2">
        <v>1</v>
      </c>
      <c r="BN189" s="2">
        <v>1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1</v>
      </c>
      <c r="BZ189" s="2">
        <v>1</v>
      </c>
      <c r="CA189" s="2">
        <v>0</v>
      </c>
      <c r="CB189" s="2">
        <v>0</v>
      </c>
      <c r="CC189" s="2">
        <v>0</v>
      </c>
      <c r="CD189" s="2">
        <v>1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0</v>
      </c>
      <c r="DB189" s="2">
        <v>0</v>
      </c>
      <c r="DC189" s="2">
        <v>0</v>
      </c>
      <c r="DD189" s="2">
        <v>0</v>
      </c>
      <c r="DE189" s="2">
        <v>0</v>
      </c>
      <c r="DF189" s="2">
        <v>0</v>
      </c>
      <c r="DG189" s="2">
        <v>0</v>
      </c>
      <c r="DH189" s="2">
        <v>0</v>
      </c>
      <c r="DI189" s="2">
        <v>0</v>
      </c>
      <c r="DJ189" s="2">
        <v>1</v>
      </c>
      <c r="DK189" s="2">
        <v>0</v>
      </c>
      <c r="DL189" s="2">
        <v>1</v>
      </c>
      <c r="DM189" s="2">
        <v>1</v>
      </c>
      <c r="DN189" s="2">
        <v>0</v>
      </c>
      <c r="DO189" s="2">
        <v>0</v>
      </c>
      <c r="DP189" s="2">
        <v>0</v>
      </c>
      <c r="DQ189" s="2">
        <v>0</v>
      </c>
      <c r="DR189" s="2">
        <v>0</v>
      </c>
      <c r="DS189" s="2">
        <v>0</v>
      </c>
    </row>
    <row r="190" spans="1:123">
      <c r="A190" s="2" t="s">
        <v>13</v>
      </c>
      <c r="B190" s="2" t="s">
        <v>381</v>
      </c>
      <c r="C190" s="2">
        <v>211</v>
      </c>
      <c r="D190" s="2">
        <v>10</v>
      </c>
      <c r="E190" s="2">
        <v>3.52</v>
      </c>
      <c r="F190" s="2">
        <v>21.1</v>
      </c>
      <c r="G190" s="2" t="s">
        <v>382</v>
      </c>
      <c r="H190">
        <f>IF(AND(OR(لوحة_القيادة!$C$4="الكل", A190=لوحة_القيادة!$C$4), IF(لوحة_القيادة!$C$5="الكل", TRUE, INDEX($V190:$AG190, 1, VALUE(لوحة_القيادة!$C$5))&gt;0)), 1, 0)</f>
        <v>0</v>
      </c>
      <c r="I190">
        <f>IF(H190=1, SUM($H$2:H190), "")</f>
        <v>0</v>
      </c>
      <c r="J190" s="2">
        <v>148</v>
      </c>
      <c r="K190" s="2">
        <v>59</v>
      </c>
      <c r="L190" s="2">
        <v>0</v>
      </c>
      <c r="M190" s="2">
        <v>0</v>
      </c>
      <c r="N190" s="2">
        <v>2</v>
      </c>
      <c r="O190" s="2">
        <v>2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2</v>
      </c>
      <c r="W190" s="2">
        <v>6</v>
      </c>
      <c r="X190" s="2">
        <v>0</v>
      </c>
      <c r="Y190" s="2">
        <v>0</v>
      </c>
      <c r="Z190" s="2">
        <v>1</v>
      </c>
      <c r="AA190" s="2">
        <v>1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3</v>
      </c>
      <c r="AH190" s="2">
        <v>2</v>
      </c>
      <c r="AI190" s="2">
        <v>3</v>
      </c>
      <c r="AJ190" s="2">
        <v>2</v>
      </c>
      <c r="AK190" s="2">
        <v>0</v>
      </c>
      <c r="AL190" s="2">
        <v>0</v>
      </c>
      <c r="AM190" s="2">
        <v>0</v>
      </c>
      <c r="AN190" s="2">
        <v>0</v>
      </c>
      <c r="AO190" s="2">
        <v>1</v>
      </c>
      <c r="AP190" s="2">
        <v>0</v>
      </c>
      <c r="AQ190" s="2">
        <v>0</v>
      </c>
      <c r="AR190" s="2">
        <v>1</v>
      </c>
      <c r="AS190" s="2">
        <v>1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2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1</v>
      </c>
      <c r="BM190" s="2">
        <v>2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1</v>
      </c>
      <c r="BY190" s="2">
        <v>1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>
        <v>0</v>
      </c>
      <c r="DC190" s="2">
        <v>0</v>
      </c>
      <c r="DD190" s="2">
        <v>0</v>
      </c>
      <c r="DE190" s="2">
        <v>0</v>
      </c>
      <c r="DF190" s="2">
        <v>0</v>
      </c>
      <c r="DG190" s="2">
        <v>0</v>
      </c>
      <c r="DH190" s="2">
        <v>0</v>
      </c>
      <c r="DI190" s="2">
        <v>0</v>
      </c>
      <c r="DJ190" s="2">
        <v>0</v>
      </c>
      <c r="DK190" s="2">
        <v>0</v>
      </c>
      <c r="DL190" s="2">
        <v>0</v>
      </c>
      <c r="DM190" s="2">
        <v>0</v>
      </c>
      <c r="DN190" s="2">
        <v>0</v>
      </c>
      <c r="DO190" s="2">
        <v>0</v>
      </c>
      <c r="DP190" s="2">
        <v>0</v>
      </c>
      <c r="DQ190" s="2">
        <v>0</v>
      </c>
      <c r="DR190" s="2">
        <v>0</v>
      </c>
      <c r="DS190" s="2">
        <v>0</v>
      </c>
    </row>
    <row r="191" spans="1:123">
      <c r="A191" s="2" t="s">
        <v>18</v>
      </c>
      <c r="B191" s="2" t="s">
        <v>383</v>
      </c>
      <c r="C191" s="2">
        <v>211</v>
      </c>
      <c r="D191" s="2">
        <v>8</v>
      </c>
      <c r="E191" s="2">
        <v>3.52</v>
      </c>
      <c r="F191" s="2">
        <v>26.38</v>
      </c>
      <c r="G191" s="2" t="s">
        <v>384</v>
      </c>
      <c r="H191">
        <f>IF(AND(OR(لوحة_القيادة!$C$4="الكل", A191=لوحة_القيادة!$C$4), IF(لوحة_القيادة!$C$5="الكل", TRUE, INDEX($V191:$AG191, 1, VALUE(لوحة_القيادة!$C$5))&gt;0)), 1, 0)</f>
        <v>0</v>
      </c>
      <c r="I191">
        <f>IF(H191=1, SUM($H$2:H191), "")</f>
        <v>0</v>
      </c>
      <c r="J191" s="2">
        <v>48</v>
      </c>
      <c r="K191" s="2">
        <v>0</v>
      </c>
      <c r="L191" s="2">
        <v>17</v>
      </c>
      <c r="M191" s="2">
        <v>0</v>
      </c>
      <c r="N191" s="2">
        <v>142</v>
      </c>
      <c r="O191" s="2">
        <v>4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2</v>
      </c>
      <c r="W191" s="2">
        <v>0</v>
      </c>
      <c r="X191" s="2">
        <v>3</v>
      </c>
      <c r="Y191" s="2">
        <v>0</v>
      </c>
      <c r="Z191" s="2">
        <v>2</v>
      </c>
      <c r="AA191" s="2">
        <v>1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3</v>
      </c>
      <c r="AH191" s="2">
        <v>2</v>
      </c>
      <c r="AI191" s="2">
        <v>0</v>
      </c>
      <c r="AJ191" s="2">
        <v>2</v>
      </c>
      <c r="AK191" s="2">
        <v>0</v>
      </c>
      <c r="AL191" s="2">
        <v>0</v>
      </c>
      <c r="AM191" s="2">
        <v>1</v>
      </c>
      <c r="AN191" s="2">
        <v>1</v>
      </c>
      <c r="AO191" s="2">
        <v>0</v>
      </c>
      <c r="AP191" s="2">
        <v>1</v>
      </c>
      <c r="AQ191" s="2">
        <v>0</v>
      </c>
      <c r="AR191" s="2">
        <v>1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1</v>
      </c>
      <c r="BC191" s="2">
        <v>0</v>
      </c>
      <c r="BD191" s="2">
        <v>0</v>
      </c>
      <c r="BE191" s="2">
        <v>1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1</v>
      </c>
      <c r="BY191" s="2">
        <v>0</v>
      </c>
      <c r="BZ191" s="2">
        <v>0</v>
      </c>
      <c r="CA191" s="2">
        <v>0</v>
      </c>
      <c r="CB191" s="2">
        <v>1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  <c r="DE191" s="2">
        <v>0</v>
      </c>
      <c r="DF191" s="2">
        <v>0</v>
      </c>
      <c r="DG191" s="2">
        <v>0</v>
      </c>
      <c r="DH191" s="2">
        <v>0</v>
      </c>
      <c r="DI191" s="2">
        <v>0</v>
      </c>
      <c r="DJ191" s="2">
        <v>1</v>
      </c>
      <c r="DK191" s="2">
        <v>0</v>
      </c>
      <c r="DL191" s="2">
        <v>0</v>
      </c>
      <c r="DM191" s="2">
        <v>0</v>
      </c>
      <c r="DN191" s="2">
        <v>0</v>
      </c>
      <c r="DO191" s="2">
        <v>0</v>
      </c>
      <c r="DP191" s="2">
        <v>0</v>
      </c>
      <c r="DQ191" s="2">
        <v>0</v>
      </c>
      <c r="DR191" s="2">
        <v>0</v>
      </c>
      <c r="DS191" s="2">
        <v>0</v>
      </c>
    </row>
    <row r="192" spans="1:123">
      <c r="A192" s="2" t="s">
        <v>10</v>
      </c>
      <c r="B192" s="2" t="s">
        <v>385</v>
      </c>
      <c r="C192" s="2">
        <v>203</v>
      </c>
      <c r="D192" s="2">
        <v>17</v>
      </c>
      <c r="E192" s="2">
        <v>3.38</v>
      </c>
      <c r="F192" s="2">
        <v>11.94</v>
      </c>
      <c r="G192" s="2" t="s">
        <v>386</v>
      </c>
      <c r="H192">
        <f>IF(AND(OR(لوحة_القيادة!$C$4="الكل", A192=لوحة_القيادة!$C$4), IF(لوحة_القيادة!$C$5="الكل", TRUE, INDEX($V192:$AG192, 1, VALUE(لوحة_القيادة!$C$5))&gt;0)), 1, 0)</f>
        <v>0</v>
      </c>
      <c r="I192">
        <f>IF(H192=1, SUM($H$2:H192), "")</f>
        <v>0</v>
      </c>
      <c r="J192" s="2">
        <v>0</v>
      </c>
      <c r="K192" s="2">
        <v>0</v>
      </c>
      <c r="L192" s="2">
        <v>0</v>
      </c>
      <c r="M192" s="2">
        <v>18</v>
      </c>
      <c r="N192" s="2">
        <v>12</v>
      </c>
      <c r="O192" s="2">
        <v>61</v>
      </c>
      <c r="P192" s="2">
        <v>112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4</v>
      </c>
      <c r="Z192" s="2">
        <v>1</v>
      </c>
      <c r="AA192" s="2">
        <v>8</v>
      </c>
      <c r="AB192" s="2">
        <v>4</v>
      </c>
      <c r="AC192" s="2">
        <v>0</v>
      </c>
      <c r="AD192" s="2">
        <v>0</v>
      </c>
      <c r="AE192" s="2">
        <v>0</v>
      </c>
      <c r="AF192" s="2">
        <v>0</v>
      </c>
      <c r="AG192" s="2">
        <v>5</v>
      </c>
      <c r="AH192" s="2">
        <v>3</v>
      </c>
      <c r="AI192" s="2">
        <v>2</v>
      </c>
      <c r="AJ192" s="2">
        <v>4</v>
      </c>
      <c r="AK192" s="2">
        <v>0</v>
      </c>
      <c r="AL192" s="2">
        <v>0</v>
      </c>
      <c r="AM192" s="2">
        <v>3</v>
      </c>
      <c r="AN192" s="2">
        <v>0</v>
      </c>
      <c r="AO192" s="2">
        <v>0</v>
      </c>
      <c r="AP192" s="2">
        <v>0</v>
      </c>
      <c r="AQ192" s="2">
        <v>1</v>
      </c>
      <c r="AR192" s="2">
        <v>0</v>
      </c>
      <c r="AS192" s="2">
        <v>3</v>
      </c>
      <c r="AT192" s="2">
        <v>1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2</v>
      </c>
      <c r="BF192" s="2">
        <v>1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1</v>
      </c>
      <c r="BP192" s="2">
        <v>0</v>
      </c>
      <c r="BQ192" s="2">
        <v>0</v>
      </c>
      <c r="BR192" s="2">
        <v>1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1</v>
      </c>
      <c r="CB192" s="2">
        <v>0</v>
      </c>
      <c r="CC192" s="2">
        <v>2</v>
      </c>
      <c r="CD192" s="2">
        <v>1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>
        <v>0</v>
      </c>
      <c r="DC192" s="2">
        <v>0</v>
      </c>
      <c r="DD192" s="2">
        <v>0</v>
      </c>
      <c r="DE192" s="2">
        <v>0</v>
      </c>
      <c r="DF192" s="2">
        <v>0</v>
      </c>
      <c r="DG192" s="2">
        <v>0</v>
      </c>
      <c r="DH192" s="2">
        <v>0</v>
      </c>
      <c r="DI192" s="2">
        <v>0</v>
      </c>
      <c r="DJ192" s="2">
        <v>0</v>
      </c>
      <c r="DK192" s="2">
        <v>1</v>
      </c>
      <c r="DL192" s="2">
        <v>1</v>
      </c>
      <c r="DM192" s="2">
        <v>1</v>
      </c>
      <c r="DN192" s="2">
        <v>0</v>
      </c>
      <c r="DO192" s="2">
        <v>0</v>
      </c>
      <c r="DP192" s="2">
        <v>0</v>
      </c>
      <c r="DQ192" s="2">
        <v>0</v>
      </c>
      <c r="DR192" s="2">
        <v>0</v>
      </c>
      <c r="DS192" s="2">
        <v>0</v>
      </c>
    </row>
    <row r="193" spans="1:123">
      <c r="A193" s="2" t="s">
        <v>18</v>
      </c>
      <c r="B193" s="2" t="s">
        <v>387</v>
      </c>
      <c r="C193" s="2">
        <v>194</v>
      </c>
      <c r="D193" s="2">
        <v>18</v>
      </c>
      <c r="E193" s="2">
        <v>3.23</v>
      </c>
      <c r="F193" s="2">
        <v>10.78</v>
      </c>
      <c r="G193" s="2" t="s">
        <v>160</v>
      </c>
      <c r="H193">
        <f>IF(AND(OR(لوحة_القيادة!$C$4="الكل", A193=لوحة_القيادة!$C$4), IF(لوحة_القيادة!$C$5="الكل", TRUE, INDEX($V193:$AG193, 1, VALUE(لوحة_القيادة!$C$5))&gt;0)), 1, 0)</f>
        <v>0</v>
      </c>
      <c r="I193">
        <f>IF(H193=1, SUM($H$2:H193), "")</f>
        <v>0</v>
      </c>
      <c r="J193" s="2">
        <v>49</v>
      </c>
      <c r="K193" s="2">
        <v>19</v>
      </c>
      <c r="L193" s="2">
        <v>25</v>
      </c>
      <c r="M193" s="2">
        <v>29</v>
      </c>
      <c r="N193" s="2">
        <v>5</v>
      </c>
      <c r="O193" s="2">
        <v>13</v>
      </c>
      <c r="P193" s="2">
        <v>54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5</v>
      </c>
      <c r="W193" s="2">
        <v>4</v>
      </c>
      <c r="X193" s="2">
        <v>2</v>
      </c>
      <c r="Y193" s="2">
        <v>1</v>
      </c>
      <c r="Z193" s="2">
        <v>1</v>
      </c>
      <c r="AA193" s="2">
        <v>4</v>
      </c>
      <c r="AB193" s="2">
        <v>1</v>
      </c>
      <c r="AC193" s="2">
        <v>0</v>
      </c>
      <c r="AD193" s="2">
        <v>0</v>
      </c>
      <c r="AE193" s="2">
        <v>0</v>
      </c>
      <c r="AF193" s="2">
        <v>0</v>
      </c>
      <c r="AG193" s="2">
        <v>1</v>
      </c>
      <c r="AH193" s="2">
        <v>4</v>
      </c>
      <c r="AI193" s="2">
        <v>2</v>
      </c>
      <c r="AJ193" s="2">
        <v>6</v>
      </c>
      <c r="AK193" s="2">
        <v>0</v>
      </c>
      <c r="AL193" s="2">
        <v>0</v>
      </c>
      <c r="AM193" s="2">
        <v>5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1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2</v>
      </c>
      <c r="BA193" s="2">
        <v>0</v>
      </c>
      <c r="BB193" s="2">
        <v>0</v>
      </c>
      <c r="BC193" s="2">
        <v>0</v>
      </c>
      <c r="BD193" s="2">
        <v>0</v>
      </c>
      <c r="BE193" s="2">
        <v>1</v>
      </c>
      <c r="BF193" s="2">
        <v>1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1</v>
      </c>
      <c r="BM193" s="2">
        <v>0</v>
      </c>
      <c r="BN193" s="2">
        <v>0</v>
      </c>
      <c r="BO193" s="2">
        <v>1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2</v>
      </c>
      <c r="BY193" s="2">
        <v>2</v>
      </c>
      <c r="BZ193" s="2">
        <v>1</v>
      </c>
      <c r="CA193" s="2">
        <v>0</v>
      </c>
      <c r="CB193" s="2">
        <v>0</v>
      </c>
      <c r="CC193" s="2">
        <v>1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0</v>
      </c>
      <c r="DE193" s="2">
        <v>0</v>
      </c>
      <c r="DF193" s="2">
        <v>0</v>
      </c>
      <c r="DG193" s="2">
        <v>0</v>
      </c>
      <c r="DH193" s="2">
        <v>0</v>
      </c>
      <c r="DI193" s="2">
        <v>2</v>
      </c>
      <c r="DJ193" s="2">
        <v>1</v>
      </c>
      <c r="DK193" s="2">
        <v>0</v>
      </c>
      <c r="DL193" s="2">
        <v>1</v>
      </c>
      <c r="DM193" s="2">
        <v>1</v>
      </c>
      <c r="DN193" s="2">
        <v>0</v>
      </c>
      <c r="DO193" s="2">
        <v>0</v>
      </c>
      <c r="DP193" s="2">
        <v>0</v>
      </c>
      <c r="DQ193" s="2">
        <v>0</v>
      </c>
      <c r="DR193" s="2">
        <v>0</v>
      </c>
      <c r="DS193" s="2">
        <v>0</v>
      </c>
    </row>
    <row r="194" spans="1:123">
      <c r="A194" s="2" t="s">
        <v>9</v>
      </c>
      <c r="B194" s="2" t="s">
        <v>388</v>
      </c>
      <c r="C194" s="2">
        <v>193</v>
      </c>
      <c r="D194" s="2">
        <v>20</v>
      </c>
      <c r="E194" s="2">
        <v>3.22</v>
      </c>
      <c r="F194" s="2">
        <v>9.65</v>
      </c>
      <c r="G194" s="2" t="s">
        <v>160</v>
      </c>
      <c r="H194">
        <f>IF(AND(OR(لوحة_القيادة!$C$4="الكل", A194=لوحة_القيادة!$C$4), IF(لوحة_القيادة!$C$5="الكل", TRUE, INDEX($V194:$AG194, 1, VALUE(لوحة_القيادة!$C$5))&gt;0)), 1, 0)</f>
        <v>0</v>
      </c>
      <c r="I194">
        <f>IF(H194=1, SUM($H$2:H194), "")</f>
        <v>0</v>
      </c>
      <c r="J194" s="2">
        <v>25</v>
      </c>
      <c r="K194" s="2">
        <v>29</v>
      </c>
      <c r="L194" s="2">
        <v>43</v>
      </c>
      <c r="M194" s="2">
        <v>7</v>
      </c>
      <c r="N194" s="2">
        <v>31</v>
      </c>
      <c r="O194" s="2">
        <v>30</v>
      </c>
      <c r="P194" s="2">
        <v>28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4</v>
      </c>
      <c r="W194" s="2">
        <v>2</v>
      </c>
      <c r="X194" s="2">
        <v>3</v>
      </c>
      <c r="Y194" s="2">
        <v>2</v>
      </c>
      <c r="Z194" s="2">
        <v>3</v>
      </c>
      <c r="AA194" s="2">
        <v>4</v>
      </c>
      <c r="AB194" s="2">
        <v>2</v>
      </c>
      <c r="AC194" s="2">
        <v>0</v>
      </c>
      <c r="AD194" s="2">
        <v>0</v>
      </c>
      <c r="AE194" s="2">
        <v>0</v>
      </c>
      <c r="AF194" s="2">
        <v>0</v>
      </c>
      <c r="AG194" s="2">
        <v>4</v>
      </c>
      <c r="AH194" s="2">
        <v>6</v>
      </c>
      <c r="AI194" s="2">
        <v>3</v>
      </c>
      <c r="AJ194" s="2">
        <v>4</v>
      </c>
      <c r="AK194" s="2">
        <v>0</v>
      </c>
      <c r="AL194" s="2">
        <v>0</v>
      </c>
      <c r="AM194" s="2">
        <v>3</v>
      </c>
      <c r="AN194" s="2">
        <v>1</v>
      </c>
      <c r="AO194" s="2">
        <v>0</v>
      </c>
      <c r="AP194" s="2">
        <v>0</v>
      </c>
      <c r="AQ194" s="2">
        <v>0</v>
      </c>
      <c r="AR194" s="2">
        <v>2</v>
      </c>
      <c r="AS194" s="2">
        <v>1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1</v>
      </c>
      <c r="BB194" s="2">
        <v>1</v>
      </c>
      <c r="BC194" s="2">
        <v>1</v>
      </c>
      <c r="BD194" s="2">
        <v>1</v>
      </c>
      <c r="BE194" s="2">
        <v>1</v>
      </c>
      <c r="BF194" s="2">
        <v>1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1</v>
      </c>
      <c r="BM194" s="2">
        <v>0</v>
      </c>
      <c r="BN194" s="2">
        <v>1</v>
      </c>
      <c r="BO194" s="2">
        <v>0</v>
      </c>
      <c r="BP194" s="2">
        <v>0</v>
      </c>
      <c r="BQ194" s="2">
        <v>0</v>
      </c>
      <c r="BR194" s="2">
        <v>1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1</v>
      </c>
      <c r="CA194" s="2">
        <v>1</v>
      </c>
      <c r="CB194" s="2">
        <v>0</v>
      </c>
      <c r="CC194" s="2">
        <v>2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>
        <v>0</v>
      </c>
      <c r="DE194" s="2">
        <v>0</v>
      </c>
      <c r="DF194" s="2">
        <v>0</v>
      </c>
      <c r="DG194" s="2">
        <v>0</v>
      </c>
      <c r="DH194" s="2">
        <v>2</v>
      </c>
      <c r="DI194" s="2">
        <v>1</v>
      </c>
      <c r="DJ194" s="2">
        <v>0</v>
      </c>
      <c r="DK194" s="2">
        <v>0</v>
      </c>
      <c r="DL194" s="2">
        <v>0</v>
      </c>
      <c r="DM194" s="2">
        <v>0</v>
      </c>
      <c r="DN194" s="2">
        <v>0</v>
      </c>
      <c r="DO194" s="2">
        <v>0</v>
      </c>
      <c r="DP194" s="2">
        <v>0</v>
      </c>
      <c r="DQ194" s="2">
        <v>0</v>
      </c>
      <c r="DR194" s="2">
        <v>0</v>
      </c>
      <c r="DS194" s="2">
        <v>0</v>
      </c>
    </row>
    <row r="195" spans="1:123">
      <c r="A195" s="2" t="s">
        <v>9</v>
      </c>
      <c r="B195" s="2" t="s">
        <v>389</v>
      </c>
      <c r="C195" s="2">
        <v>193</v>
      </c>
      <c r="D195" s="2">
        <v>15</v>
      </c>
      <c r="E195" s="2">
        <v>3.22</v>
      </c>
      <c r="F195" s="2">
        <v>12.87</v>
      </c>
      <c r="G195" s="2" t="s">
        <v>262</v>
      </c>
      <c r="H195">
        <f>IF(AND(OR(لوحة_القيادة!$C$4="الكل", A195=لوحة_القيادة!$C$4), IF(لوحة_القيادة!$C$5="الكل", TRUE, INDEX($V195:$AG195, 1, VALUE(لوحة_القيادة!$C$5))&gt;0)), 1, 0)</f>
        <v>0</v>
      </c>
      <c r="I195">
        <f>IF(H195=1, SUM($H$2:H195), "")</f>
        <v>0</v>
      </c>
      <c r="J195" s="2">
        <v>0</v>
      </c>
      <c r="K195" s="2">
        <v>6</v>
      </c>
      <c r="L195" s="2">
        <v>69</v>
      </c>
      <c r="M195" s="2">
        <v>4</v>
      </c>
      <c r="N195" s="2">
        <v>33</v>
      </c>
      <c r="O195" s="2">
        <v>81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2</v>
      </c>
      <c r="X195" s="2">
        <v>5</v>
      </c>
      <c r="Y195" s="2">
        <v>1</v>
      </c>
      <c r="Z195" s="2">
        <v>3</v>
      </c>
      <c r="AA195" s="2">
        <v>4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3</v>
      </c>
      <c r="AH195" s="2">
        <v>4</v>
      </c>
      <c r="AI195" s="2">
        <v>1</v>
      </c>
      <c r="AJ195" s="2">
        <v>3</v>
      </c>
      <c r="AK195" s="2">
        <v>0</v>
      </c>
      <c r="AL195" s="2">
        <v>0</v>
      </c>
      <c r="AM195" s="2">
        <v>4</v>
      </c>
      <c r="AN195" s="2">
        <v>0</v>
      </c>
      <c r="AO195" s="2">
        <v>0</v>
      </c>
      <c r="AP195" s="2">
        <v>0</v>
      </c>
      <c r="AQ195" s="2">
        <v>1</v>
      </c>
      <c r="AR195" s="2">
        <v>1</v>
      </c>
      <c r="AS195" s="2">
        <v>1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1</v>
      </c>
      <c r="BB195" s="2">
        <v>2</v>
      </c>
      <c r="BC195" s="2">
        <v>0</v>
      </c>
      <c r="BD195" s="2">
        <v>0</v>
      </c>
      <c r="BE195" s="2">
        <v>1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1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2</v>
      </c>
      <c r="CA195" s="2">
        <v>0</v>
      </c>
      <c r="CB195" s="2">
        <v>0</v>
      </c>
      <c r="CC195" s="2">
        <v>1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 s="2">
        <v>0</v>
      </c>
      <c r="DC195" s="2">
        <v>0</v>
      </c>
      <c r="DD195" s="2">
        <v>0</v>
      </c>
      <c r="DE195" s="2">
        <v>0</v>
      </c>
      <c r="DF195" s="2">
        <v>0</v>
      </c>
      <c r="DG195" s="2">
        <v>0</v>
      </c>
      <c r="DH195" s="2">
        <v>0</v>
      </c>
      <c r="DI195" s="2">
        <v>0</v>
      </c>
      <c r="DJ195" s="2">
        <v>1</v>
      </c>
      <c r="DK195" s="2">
        <v>0</v>
      </c>
      <c r="DL195" s="2">
        <v>2</v>
      </c>
      <c r="DM195" s="2">
        <v>1</v>
      </c>
      <c r="DN195" s="2">
        <v>0</v>
      </c>
      <c r="DO195" s="2">
        <v>0</v>
      </c>
      <c r="DP195" s="2">
        <v>0</v>
      </c>
      <c r="DQ195" s="2">
        <v>0</v>
      </c>
      <c r="DR195" s="2">
        <v>0</v>
      </c>
      <c r="DS195" s="2">
        <v>0</v>
      </c>
    </row>
    <row r="196" spans="1:123">
      <c r="A196" s="2" t="s">
        <v>2</v>
      </c>
      <c r="B196" s="2" t="s">
        <v>390</v>
      </c>
      <c r="C196" s="2">
        <v>192</v>
      </c>
      <c r="D196" s="2">
        <v>12</v>
      </c>
      <c r="E196" s="2">
        <v>3.2</v>
      </c>
      <c r="F196" s="2">
        <v>16</v>
      </c>
      <c r="G196" s="2" t="s">
        <v>210</v>
      </c>
      <c r="H196">
        <f>IF(AND(OR(لوحة_القيادة!$C$4="الكل", A196=لوحة_القيادة!$C$4), IF(لوحة_القيادة!$C$5="الكل", TRUE, INDEX($V196:$AG196, 1, VALUE(لوحة_القيادة!$C$5))&gt;0)), 1, 0)</f>
        <v>0</v>
      </c>
      <c r="I196">
        <f>IF(H196=1, SUM($H$2:H196), "")</f>
        <v>0</v>
      </c>
      <c r="J196" s="2">
        <v>17</v>
      </c>
      <c r="K196" s="2">
        <v>7</v>
      </c>
      <c r="L196" s="2">
        <v>154</v>
      </c>
      <c r="M196" s="2">
        <v>4</v>
      </c>
      <c r="N196" s="2">
        <v>10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3</v>
      </c>
      <c r="W196" s="2">
        <v>2</v>
      </c>
      <c r="X196" s="2">
        <v>4</v>
      </c>
      <c r="Y196" s="2">
        <v>1</v>
      </c>
      <c r="Z196" s="2">
        <v>2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5</v>
      </c>
      <c r="AH196" s="2">
        <v>3</v>
      </c>
      <c r="AI196" s="2">
        <v>1</v>
      </c>
      <c r="AJ196" s="2">
        <v>1</v>
      </c>
      <c r="AK196" s="2">
        <v>0</v>
      </c>
      <c r="AL196" s="2">
        <v>0</v>
      </c>
      <c r="AM196" s="2">
        <v>2</v>
      </c>
      <c r="AN196" s="2">
        <v>1</v>
      </c>
      <c r="AO196" s="2">
        <v>1</v>
      </c>
      <c r="AP196" s="2">
        <v>1</v>
      </c>
      <c r="AQ196" s="2">
        <v>1</v>
      </c>
      <c r="AR196" s="2">
        <v>1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1</v>
      </c>
      <c r="BA196" s="2">
        <v>0</v>
      </c>
      <c r="BB196" s="2">
        <v>2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1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1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0</v>
      </c>
      <c r="DB196" s="2">
        <v>0</v>
      </c>
      <c r="DC196" s="2">
        <v>0</v>
      </c>
      <c r="DD196" s="2">
        <v>0</v>
      </c>
      <c r="DE196" s="2">
        <v>0</v>
      </c>
      <c r="DF196" s="2">
        <v>0</v>
      </c>
      <c r="DG196" s="2">
        <v>0</v>
      </c>
      <c r="DH196" s="2">
        <v>1</v>
      </c>
      <c r="DI196" s="2">
        <v>0</v>
      </c>
      <c r="DJ196" s="2">
        <v>0</v>
      </c>
      <c r="DK196" s="2">
        <v>0</v>
      </c>
      <c r="DL196" s="2">
        <v>1</v>
      </c>
      <c r="DM196" s="2">
        <v>0</v>
      </c>
      <c r="DN196" s="2">
        <v>0</v>
      </c>
      <c r="DO196" s="2">
        <v>0</v>
      </c>
      <c r="DP196" s="2">
        <v>0</v>
      </c>
      <c r="DQ196" s="2">
        <v>0</v>
      </c>
      <c r="DR196" s="2">
        <v>0</v>
      </c>
      <c r="DS196" s="2">
        <v>0</v>
      </c>
    </row>
    <row r="197" spans="1:123">
      <c r="A197" s="2" t="s">
        <v>13</v>
      </c>
      <c r="B197" s="2" t="s">
        <v>391</v>
      </c>
      <c r="C197" s="2">
        <v>191</v>
      </c>
      <c r="D197" s="2">
        <v>22</v>
      </c>
      <c r="E197" s="2">
        <v>3.18</v>
      </c>
      <c r="F197" s="2">
        <v>8.68</v>
      </c>
      <c r="G197" s="2" t="s">
        <v>160</v>
      </c>
      <c r="H197">
        <f>IF(AND(OR(لوحة_القيادة!$C$4="الكل", A197=لوحة_القيادة!$C$4), IF(لوحة_القيادة!$C$5="الكل", TRUE, INDEX($V197:$AG197, 1, VALUE(لوحة_القيادة!$C$5))&gt;0)), 1, 0)</f>
        <v>0</v>
      </c>
      <c r="I197">
        <f>IF(H197=1, SUM($H$2:H197), "")</f>
        <v>0</v>
      </c>
      <c r="J197" s="2">
        <v>70</v>
      </c>
      <c r="K197" s="2">
        <v>10</v>
      </c>
      <c r="L197" s="2">
        <v>22</v>
      </c>
      <c r="M197" s="2">
        <v>11</v>
      </c>
      <c r="N197" s="2">
        <v>19</v>
      </c>
      <c r="O197" s="2">
        <v>33</v>
      </c>
      <c r="P197" s="2">
        <v>26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5</v>
      </c>
      <c r="W197" s="2">
        <v>2</v>
      </c>
      <c r="X197" s="2">
        <v>2</v>
      </c>
      <c r="Y197" s="2">
        <v>3</v>
      </c>
      <c r="Z197" s="2">
        <v>3</v>
      </c>
      <c r="AA197" s="2">
        <v>5</v>
      </c>
      <c r="AB197" s="2">
        <v>2</v>
      </c>
      <c r="AC197" s="2">
        <v>0</v>
      </c>
      <c r="AD197" s="2">
        <v>0</v>
      </c>
      <c r="AE197" s="2">
        <v>0</v>
      </c>
      <c r="AF197" s="2">
        <v>0</v>
      </c>
      <c r="AG197" s="2">
        <v>6</v>
      </c>
      <c r="AH197" s="2">
        <v>4</v>
      </c>
      <c r="AI197" s="2">
        <v>6</v>
      </c>
      <c r="AJ197" s="2">
        <v>4</v>
      </c>
      <c r="AK197" s="2">
        <v>0</v>
      </c>
      <c r="AL197" s="2">
        <v>0</v>
      </c>
      <c r="AM197" s="2">
        <v>2</v>
      </c>
      <c r="AN197" s="2">
        <v>1</v>
      </c>
      <c r="AO197" s="2">
        <v>0</v>
      </c>
      <c r="AP197" s="2">
        <v>0</v>
      </c>
      <c r="AQ197" s="2">
        <v>2</v>
      </c>
      <c r="AR197" s="2">
        <v>1</v>
      </c>
      <c r="AS197" s="2">
        <v>1</v>
      </c>
      <c r="AT197" s="2">
        <v>1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1</v>
      </c>
      <c r="BA197" s="2">
        <v>1</v>
      </c>
      <c r="BB197" s="2">
        <v>0</v>
      </c>
      <c r="BC197" s="2">
        <v>0</v>
      </c>
      <c r="BD197" s="2">
        <v>0</v>
      </c>
      <c r="BE197" s="2">
        <v>2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1</v>
      </c>
      <c r="BN197" s="2">
        <v>2</v>
      </c>
      <c r="BO197" s="2">
        <v>1</v>
      </c>
      <c r="BP197" s="2">
        <v>1</v>
      </c>
      <c r="BQ197" s="2">
        <v>1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2</v>
      </c>
      <c r="BY197" s="2">
        <v>0</v>
      </c>
      <c r="BZ197" s="2">
        <v>0</v>
      </c>
      <c r="CA197" s="2">
        <v>0</v>
      </c>
      <c r="CB197" s="2">
        <v>0</v>
      </c>
      <c r="CC197" s="2">
        <v>1</v>
      </c>
      <c r="CD197" s="2">
        <v>1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0</v>
      </c>
      <c r="CX197" s="2">
        <v>0</v>
      </c>
      <c r="CY197" s="2">
        <v>0</v>
      </c>
      <c r="CZ197" s="2">
        <v>0</v>
      </c>
      <c r="DA197" s="2">
        <v>0</v>
      </c>
      <c r="DB197" s="2">
        <v>0</v>
      </c>
      <c r="DC197" s="2">
        <v>0</v>
      </c>
      <c r="DD197" s="2">
        <v>0</v>
      </c>
      <c r="DE197" s="2">
        <v>0</v>
      </c>
      <c r="DF197" s="2">
        <v>0</v>
      </c>
      <c r="DG197" s="2">
        <v>0</v>
      </c>
      <c r="DH197" s="2">
        <v>1</v>
      </c>
      <c r="DI197" s="2">
        <v>0</v>
      </c>
      <c r="DJ197" s="2">
        <v>0</v>
      </c>
      <c r="DK197" s="2">
        <v>0</v>
      </c>
      <c r="DL197" s="2">
        <v>1</v>
      </c>
      <c r="DM197" s="2">
        <v>0</v>
      </c>
      <c r="DN197" s="2">
        <v>0</v>
      </c>
      <c r="DO197" s="2">
        <v>0</v>
      </c>
      <c r="DP197" s="2">
        <v>0</v>
      </c>
      <c r="DQ197" s="2">
        <v>0</v>
      </c>
      <c r="DR197" s="2">
        <v>0</v>
      </c>
      <c r="DS197" s="2">
        <v>0</v>
      </c>
    </row>
    <row r="198" spans="1:123">
      <c r="A198" s="2" t="s">
        <v>13</v>
      </c>
      <c r="B198" s="2" t="s">
        <v>392</v>
      </c>
      <c r="C198" s="2">
        <v>188</v>
      </c>
      <c r="D198" s="2">
        <v>18</v>
      </c>
      <c r="E198" s="2">
        <v>3.13</v>
      </c>
      <c r="F198" s="2">
        <v>10.44</v>
      </c>
      <c r="G198" s="2" t="s">
        <v>160</v>
      </c>
      <c r="H198">
        <f>IF(AND(OR(لوحة_القيادة!$C$4="الكل", A198=لوحة_القيادة!$C$4), IF(لوحة_القيادة!$C$5="الكل", TRUE, INDEX($V198:$AG198, 1, VALUE(لوحة_القيادة!$C$5))&gt;0)), 1, 0)</f>
        <v>0</v>
      </c>
      <c r="I198">
        <f>IF(H198=1, SUM($H$2:H198), "")</f>
        <v>0</v>
      </c>
      <c r="J198" s="2">
        <v>25</v>
      </c>
      <c r="K198" s="2">
        <v>52</v>
      </c>
      <c r="L198" s="2">
        <v>1</v>
      </c>
      <c r="M198" s="2">
        <v>47</v>
      </c>
      <c r="N198" s="2">
        <v>4</v>
      </c>
      <c r="O198" s="2">
        <v>3</v>
      </c>
      <c r="P198" s="2">
        <v>56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3</v>
      </c>
      <c r="W198" s="2">
        <v>7</v>
      </c>
      <c r="X198" s="2">
        <v>1</v>
      </c>
      <c r="Y198" s="2">
        <v>3</v>
      </c>
      <c r="Z198" s="2">
        <v>1</v>
      </c>
      <c r="AA198" s="2">
        <v>1</v>
      </c>
      <c r="AB198" s="2">
        <v>2</v>
      </c>
      <c r="AC198" s="2">
        <v>0</v>
      </c>
      <c r="AD198" s="2">
        <v>0</v>
      </c>
      <c r="AE198" s="2">
        <v>0</v>
      </c>
      <c r="AF198" s="2">
        <v>0</v>
      </c>
      <c r="AG198" s="2">
        <v>5</v>
      </c>
      <c r="AH198" s="2">
        <v>4</v>
      </c>
      <c r="AI198" s="2">
        <v>6</v>
      </c>
      <c r="AJ198" s="2">
        <v>3</v>
      </c>
      <c r="AK198" s="2">
        <v>0</v>
      </c>
      <c r="AL198" s="2">
        <v>0</v>
      </c>
      <c r="AM198" s="2">
        <v>0</v>
      </c>
      <c r="AN198" s="2">
        <v>2</v>
      </c>
      <c r="AO198" s="2">
        <v>2</v>
      </c>
      <c r="AP198" s="2">
        <v>0</v>
      </c>
      <c r="AQ198" s="2">
        <v>0</v>
      </c>
      <c r="AR198" s="2">
        <v>0</v>
      </c>
      <c r="AS198" s="2">
        <v>0</v>
      </c>
      <c r="AT198" s="2">
        <v>1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1</v>
      </c>
      <c r="BA198" s="2">
        <v>2</v>
      </c>
      <c r="BB198" s="2">
        <v>0</v>
      </c>
      <c r="BC198" s="2">
        <v>1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2</v>
      </c>
      <c r="BN198" s="2">
        <v>1</v>
      </c>
      <c r="BO198" s="2">
        <v>1</v>
      </c>
      <c r="BP198" s="2">
        <v>1</v>
      </c>
      <c r="BQ198" s="2">
        <v>1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1</v>
      </c>
      <c r="BZ198" s="2">
        <v>0</v>
      </c>
      <c r="CA198" s="2">
        <v>1</v>
      </c>
      <c r="CB198" s="2">
        <v>0</v>
      </c>
      <c r="CC198" s="2">
        <v>0</v>
      </c>
      <c r="CD198" s="2">
        <v>1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0</v>
      </c>
      <c r="DA198" s="2">
        <v>0</v>
      </c>
      <c r="DB198" s="2">
        <v>0</v>
      </c>
      <c r="DC198" s="2">
        <v>0</v>
      </c>
      <c r="DD198" s="2">
        <v>0</v>
      </c>
      <c r="DE198" s="2">
        <v>0</v>
      </c>
      <c r="DF198" s="2">
        <v>0</v>
      </c>
      <c r="DG198" s="2">
        <v>0</v>
      </c>
      <c r="DH198" s="2">
        <v>0</v>
      </c>
      <c r="DI198" s="2">
        <v>0</v>
      </c>
      <c r="DJ198" s="2">
        <v>0</v>
      </c>
      <c r="DK198" s="2">
        <v>0</v>
      </c>
      <c r="DL198" s="2">
        <v>0</v>
      </c>
      <c r="DM198" s="2">
        <v>0</v>
      </c>
      <c r="DN198" s="2">
        <v>0</v>
      </c>
      <c r="DO198" s="2">
        <v>0</v>
      </c>
      <c r="DP198" s="2">
        <v>0</v>
      </c>
      <c r="DQ198" s="2">
        <v>0</v>
      </c>
      <c r="DR198" s="2">
        <v>0</v>
      </c>
      <c r="DS198" s="2">
        <v>0</v>
      </c>
    </row>
    <row r="199" spans="1:123">
      <c r="A199" s="2" t="s">
        <v>11</v>
      </c>
      <c r="B199" s="2" t="s">
        <v>393</v>
      </c>
      <c r="C199" s="2">
        <v>187</v>
      </c>
      <c r="D199" s="2">
        <v>3</v>
      </c>
      <c r="E199" s="2">
        <v>3.12</v>
      </c>
      <c r="F199" s="2">
        <v>62.33</v>
      </c>
      <c r="G199" s="2" t="s">
        <v>394</v>
      </c>
      <c r="H199">
        <f>IF(AND(OR(لوحة_القيادة!$C$4="الكل", A199=لوحة_القيادة!$C$4), IF(لوحة_القيادة!$C$5="الكل", TRUE, INDEX($V199:$AG199, 1, VALUE(لوحة_القيادة!$C$5))&gt;0)), 1, 0)</f>
        <v>0</v>
      </c>
      <c r="I199">
        <f>IF(H199=1, SUM($H$2:H199), "")</f>
        <v>0</v>
      </c>
      <c r="J199" s="2">
        <v>0</v>
      </c>
      <c r="K199" s="2">
        <v>35</v>
      </c>
      <c r="L199" s="2">
        <v>73</v>
      </c>
      <c r="M199" s="2">
        <v>0</v>
      </c>
      <c r="N199" s="2">
        <v>79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1</v>
      </c>
      <c r="X199" s="2">
        <v>1</v>
      </c>
      <c r="Y199" s="2">
        <v>0</v>
      </c>
      <c r="Z199" s="2">
        <v>1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2</v>
      </c>
      <c r="AI199" s="2">
        <v>0</v>
      </c>
      <c r="AJ199" s="2">
        <v>1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1</v>
      </c>
      <c r="BC199" s="2">
        <v>0</v>
      </c>
      <c r="BD199" s="2">
        <v>1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1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>
        <v>0</v>
      </c>
      <c r="DC199" s="2">
        <v>0</v>
      </c>
      <c r="DD199" s="2">
        <v>0</v>
      </c>
      <c r="DE199" s="2">
        <v>0</v>
      </c>
      <c r="DF199" s="2">
        <v>0</v>
      </c>
      <c r="DG199" s="2">
        <v>0</v>
      </c>
      <c r="DH199" s="2">
        <v>0</v>
      </c>
      <c r="DI199" s="2">
        <v>0</v>
      </c>
      <c r="DJ199" s="2">
        <v>0</v>
      </c>
      <c r="DK199" s="2">
        <v>0</v>
      </c>
      <c r="DL199" s="2">
        <v>0</v>
      </c>
      <c r="DM199" s="2">
        <v>0</v>
      </c>
      <c r="DN199" s="2">
        <v>0</v>
      </c>
      <c r="DO199" s="2">
        <v>0</v>
      </c>
      <c r="DP199" s="2">
        <v>0</v>
      </c>
      <c r="DQ199" s="2">
        <v>0</v>
      </c>
      <c r="DR199" s="2">
        <v>0</v>
      </c>
      <c r="DS199" s="2">
        <v>0</v>
      </c>
    </row>
    <row r="200" spans="1:123">
      <c r="A200" s="2" t="s">
        <v>16</v>
      </c>
      <c r="B200" s="2" t="s">
        <v>395</v>
      </c>
      <c r="C200" s="2">
        <v>182</v>
      </c>
      <c r="D200" s="2">
        <v>22</v>
      </c>
      <c r="E200" s="2">
        <v>3.03</v>
      </c>
      <c r="F200" s="2">
        <v>8.27</v>
      </c>
      <c r="G200" s="2" t="s">
        <v>160</v>
      </c>
      <c r="H200">
        <f>IF(AND(OR(لوحة_القيادة!$C$4="الكل", A200=لوحة_القيادة!$C$4), IF(لوحة_القيادة!$C$5="الكل", TRUE, INDEX($V200:$AG200, 1, VALUE(لوحة_القيادة!$C$5))&gt;0)), 1, 0)</f>
        <v>0</v>
      </c>
      <c r="I200">
        <f>IF(H200=1, SUM($H$2:H200), "")</f>
        <v>0</v>
      </c>
      <c r="J200" s="2">
        <v>28</v>
      </c>
      <c r="K200" s="2">
        <v>57</v>
      </c>
      <c r="L200" s="2">
        <v>15</v>
      </c>
      <c r="M200" s="2">
        <v>54</v>
      </c>
      <c r="N200" s="2">
        <v>14</v>
      </c>
      <c r="O200" s="2">
        <v>13</v>
      </c>
      <c r="P200" s="2">
        <v>1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4</v>
      </c>
      <c r="W200" s="2">
        <v>5</v>
      </c>
      <c r="X200" s="2">
        <v>1</v>
      </c>
      <c r="Y200" s="2">
        <v>5</v>
      </c>
      <c r="Z200" s="2">
        <v>4</v>
      </c>
      <c r="AA200" s="2">
        <v>2</v>
      </c>
      <c r="AB200" s="2">
        <v>1</v>
      </c>
      <c r="AC200" s="2">
        <v>0</v>
      </c>
      <c r="AD200" s="2">
        <v>0</v>
      </c>
      <c r="AE200" s="2">
        <v>0</v>
      </c>
      <c r="AF200" s="2">
        <v>0</v>
      </c>
      <c r="AG200" s="2">
        <v>2</v>
      </c>
      <c r="AH200" s="2">
        <v>3</v>
      </c>
      <c r="AI200" s="2">
        <v>6</v>
      </c>
      <c r="AJ200" s="2">
        <v>7</v>
      </c>
      <c r="AK200" s="2">
        <v>0</v>
      </c>
      <c r="AL200" s="2">
        <v>0</v>
      </c>
      <c r="AM200" s="2">
        <v>4</v>
      </c>
      <c r="AN200" s="2">
        <v>0</v>
      </c>
      <c r="AO200" s="2">
        <v>0</v>
      </c>
      <c r="AP200" s="2">
        <v>0</v>
      </c>
      <c r="AQ200" s="2">
        <v>0</v>
      </c>
      <c r="AR200" s="2">
        <v>2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2</v>
      </c>
      <c r="BB200" s="2">
        <v>0</v>
      </c>
      <c r="BC200" s="2">
        <v>1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1</v>
      </c>
      <c r="BM200" s="2">
        <v>1</v>
      </c>
      <c r="BN200" s="2">
        <v>0</v>
      </c>
      <c r="BO200" s="2">
        <v>2</v>
      </c>
      <c r="BP200" s="2">
        <v>1</v>
      </c>
      <c r="BQ200" s="2">
        <v>1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2</v>
      </c>
      <c r="BY200" s="2">
        <v>1</v>
      </c>
      <c r="BZ200" s="2">
        <v>0</v>
      </c>
      <c r="CA200" s="2">
        <v>2</v>
      </c>
      <c r="CB200" s="2">
        <v>1</v>
      </c>
      <c r="CC200" s="2">
        <v>0</v>
      </c>
      <c r="CD200" s="2">
        <v>1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0</v>
      </c>
      <c r="CW200" s="2">
        <v>0</v>
      </c>
      <c r="CX200" s="2">
        <v>0</v>
      </c>
      <c r="CY200" s="2">
        <v>0</v>
      </c>
      <c r="CZ200" s="2">
        <v>0</v>
      </c>
      <c r="DA200" s="2">
        <v>0</v>
      </c>
      <c r="DB200" s="2">
        <v>0</v>
      </c>
      <c r="DC200" s="2">
        <v>0</v>
      </c>
      <c r="DD200" s="2">
        <v>0</v>
      </c>
      <c r="DE200" s="2">
        <v>0</v>
      </c>
      <c r="DF200" s="2">
        <v>0</v>
      </c>
      <c r="DG200" s="2">
        <v>0</v>
      </c>
      <c r="DH200" s="2">
        <v>1</v>
      </c>
      <c r="DI200" s="2">
        <v>1</v>
      </c>
      <c r="DJ200" s="2">
        <v>1</v>
      </c>
      <c r="DK200" s="2">
        <v>0</v>
      </c>
      <c r="DL200" s="2">
        <v>0</v>
      </c>
      <c r="DM200" s="2">
        <v>1</v>
      </c>
      <c r="DN200" s="2">
        <v>0</v>
      </c>
      <c r="DO200" s="2">
        <v>0</v>
      </c>
      <c r="DP200" s="2">
        <v>0</v>
      </c>
      <c r="DQ200" s="2">
        <v>0</v>
      </c>
      <c r="DR200" s="2">
        <v>0</v>
      </c>
      <c r="DS200" s="2">
        <v>0</v>
      </c>
    </row>
    <row r="201" spans="1:123">
      <c r="A201" s="2" t="s">
        <v>13</v>
      </c>
      <c r="B201" s="2" t="s">
        <v>396</v>
      </c>
      <c r="C201" s="2">
        <v>180</v>
      </c>
      <c r="D201" s="2">
        <v>27</v>
      </c>
      <c r="E201" s="2">
        <v>3</v>
      </c>
      <c r="F201" s="2">
        <v>6.67</v>
      </c>
      <c r="G201" s="2" t="s">
        <v>170</v>
      </c>
      <c r="H201">
        <f>IF(AND(OR(لوحة_القيادة!$C$4="الكل", A201=لوحة_القيادة!$C$4), IF(لوحة_القيادة!$C$5="الكل", TRUE, INDEX($V201:$AG201, 1, VALUE(لوحة_القيادة!$C$5))&gt;0)), 1, 0)</f>
        <v>0</v>
      </c>
      <c r="I201">
        <f>IF(H201=1, SUM($H$2:H201), "")</f>
        <v>0</v>
      </c>
      <c r="J201" s="2">
        <v>33</v>
      </c>
      <c r="K201" s="2">
        <v>26</v>
      </c>
      <c r="L201" s="2">
        <v>49</v>
      </c>
      <c r="M201" s="2">
        <v>15</v>
      </c>
      <c r="N201" s="2">
        <v>35</v>
      </c>
      <c r="O201" s="2">
        <v>22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7</v>
      </c>
      <c r="W201" s="2">
        <v>7</v>
      </c>
      <c r="X201" s="2">
        <v>1</v>
      </c>
      <c r="Y201" s="2">
        <v>3</v>
      </c>
      <c r="Z201" s="2">
        <v>6</v>
      </c>
      <c r="AA201" s="2">
        <v>3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7</v>
      </c>
      <c r="AH201" s="2">
        <v>8</v>
      </c>
      <c r="AI201" s="2">
        <v>6</v>
      </c>
      <c r="AJ201" s="2">
        <v>3</v>
      </c>
      <c r="AK201" s="2">
        <v>0</v>
      </c>
      <c r="AL201" s="2">
        <v>0</v>
      </c>
      <c r="AM201" s="2">
        <v>3</v>
      </c>
      <c r="AN201" s="2">
        <v>0</v>
      </c>
      <c r="AO201" s="2">
        <v>2</v>
      </c>
      <c r="AP201" s="2">
        <v>0</v>
      </c>
      <c r="AQ201" s="2">
        <v>0</v>
      </c>
      <c r="AR201" s="2">
        <v>3</v>
      </c>
      <c r="AS201" s="2">
        <v>2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2</v>
      </c>
      <c r="BA201" s="2">
        <v>3</v>
      </c>
      <c r="BB201" s="2">
        <v>0</v>
      </c>
      <c r="BC201" s="2">
        <v>1</v>
      </c>
      <c r="BD201" s="2">
        <v>2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3</v>
      </c>
      <c r="BM201" s="2">
        <v>1</v>
      </c>
      <c r="BN201" s="2">
        <v>0</v>
      </c>
      <c r="BO201" s="2">
        <v>2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1</v>
      </c>
      <c r="BY201" s="2">
        <v>0</v>
      </c>
      <c r="BZ201" s="2">
        <v>0</v>
      </c>
      <c r="CA201" s="2">
        <v>0</v>
      </c>
      <c r="CB201" s="2">
        <v>1</v>
      </c>
      <c r="CC201" s="2">
        <v>1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0</v>
      </c>
      <c r="DB201" s="2">
        <v>0</v>
      </c>
      <c r="DC201" s="2">
        <v>0</v>
      </c>
      <c r="DD201" s="2">
        <v>0</v>
      </c>
      <c r="DE201" s="2">
        <v>0</v>
      </c>
      <c r="DF201" s="2">
        <v>0</v>
      </c>
      <c r="DG201" s="2">
        <v>0</v>
      </c>
      <c r="DH201" s="2">
        <v>1</v>
      </c>
      <c r="DI201" s="2">
        <v>1</v>
      </c>
      <c r="DJ201" s="2">
        <v>1</v>
      </c>
      <c r="DK201" s="2">
        <v>0</v>
      </c>
      <c r="DL201" s="2">
        <v>0</v>
      </c>
      <c r="DM201" s="2">
        <v>0</v>
      </c>
      <c r="DN201" s="2">
        <v>0</v>
      </c>
      <c r="DO201" s="2">
        <v>0</v>
      </c>
      <c r="DP201" s="2">
        <v>0</v>
      </c>
      <c r="DQ201" s="2">
        <v>0</v>
      </c>
      <c r="DR201" s="2">
        <v>0</v>
      </c>
      <c r="DS201" s="2">
        <v>0</v>
      </c>
    </row>
    <row r="202" spans="1:123">
      <c r="A202" s="2" t="s">
        <v>13</v>
      </c>
      <c r="B202" s="2" t="s">
        <v>397</v>
      </c>
      <c r="C202" s="2">
        <v>177</v>
      </c>
      <c r="D202" s="2">
        <v>1</v>
      </c>
      <c r="E202" s="2">
        <v>2.95</v>
      </c>
      <c r="F202" s="2">
        <v>177</v>
      </c>
      <c r="G202" s="2" t="s">
        <v>24</v>
      </c>
      <c r="H202">
        <f>IF(AND(OR(لوحة_القيادة!$C$4="الكل", A202=لوحة_القيادة!$C$4), IF(لوحة_القيادة!$C$5="الكل", TRUE, INDEX($V202:$AG202, 1, VALUE(لوحة_القيادة!$C$5))&gt;0)), 1, 0)</f>
        <v>0</v>
      </c>
      <c r="I202">
        <f>IF(H202=1, SUM($H$2:H202), "")</f>
        <v>0</v>
      </c>
      <c r="J202" s="2">
        <v>0</v>
      </c>
      <c r="K202" s="2">
        <v>177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1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1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0</v>
      </c>
      <c r="CY202" s="2">
        <v>0</v>
      </c>
      <c r="CZ202" s="2">
        <v>0</v>
      </c>
      <c r="DA202" s="2">
        <v>0</v>
      </c>
      <c r="DB202" s="2">
        <v>0</v>
      </c>
      <c r="DC202" s="2">
        <v>0</v>
      </c>
      <c r="DD202" s="2">
        <v>0</v>
      </c>
      <c r="DE202" s="2">
        <v>0</v>
      </c>
      <c r="DF202" s="2">
        <v>0</v>
      </c>
      <c r="DG202" s="2">
        <v>0</v>
      </c>
      <c r="DH202" s="2">
        <v>0</v>
      </c>
      <c r="DI202" s="2">
        <v>1</v>
      </c>
      <c r="DJ202" s="2">
        <v>0</v>
      </c>
      <c r="DK202" s="2">
        <v>0</v>
      </c>
      <c r="DL202" s="2">
        <v>0</v>
      </c>
      <c r="DM202" s="2">
        <v>0</v>
      </c>
      <c r="DN202" s="2">
        <v>0</v>
      </c>
      <c r="DO202" s="2">
        <v>0</v>
      </c>
      <c r="DP202" s="2">
        <v>0</v>
      </c>
      <c r="DQ202" s="2">
        <v>0</v>
      </c>
      <c r="DR202" s="2">
        <v>0</v>
      </c>
      <c r="DS202" s="2">
        <v>0</v>
      </c>
    </row>
    <row r="203" spans="1:123">
      <c r="A203" s="2" t="s">
        <v>18</v>
      </c>
      <c r="B203" s="2" t="s">
        <v>398</v>
      </c>
      <c r="C203" s="2">
        <v>173</v>
      </c>
      <c r="D203" s="2">
        <v>16</v>
      </c>
      <c r="E203" s="2">
        <v>2.88</v>
      </c>
      <c r="F203" s="2">
        <v>10.81</v>
      </c>
      <c r="G203" s="2" t="s">
        <v>160</v>
      </c>
      <c r="H203">
        <f>IF(AND(OR(لوحة_القيادة!$C$4="الكل", A203=لوحة_القيادة!$C$4), IF(لوحة_القيادة!$C$5="الكل", TRUE, INDEX($V203:$AG203, 1, VALUE(لوحة_القيادة!$C$5))&gt;0)), 1, 0)</f>
        <v>0</v>
      </c>
      <c r="I203">
        <f>IF(H203=1, SUM($H$2:H203), "")</f>
        <v>0</v>
      </c>
      <c r="J203" s="2">
        <v>6</v>
      </c>
      <c r="K203" s="2">
        <v>22</v>
      </c>
      <c r="L203" s="2">
        <v>92</v>
      </c>
      <c r="M203" s="2">
        <v>5</v>
      </c>
      <c r="N203" s="2">
        <v>11</v>
      </c>
      <c r="O203" s="2">
        <v>29</v>
      </c>
      <c r="P203" s="2">
        <v>8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2</v>
      </c>
      <c r="W203" s="2">
        <v>3</v>
      </c>
      <c r="X203" s="2">
        <v>2</v>
      </c>
      <c r="Y203" s="2">
        <v>2</v>
      </c>
      <c r="Z203" s="2">
        <v>2</v>
      </c>
      <c r="AA203" s="2">
        <v>3</v>
      </c>
      <c r="AB203" s="2">
        <v>2</v>
      </c>
      <c r="AC203" s="2">
        <v>0</v>
      </c>
      <c r="AD203" s="2">
        <v>0</v>
      </c>
      <c r="AE203" s="2">
        <v>0</v>
      </c>
      <c r="AF203" s="2">
        <v>0</v>
      </c>
      <c r="AG203" s="2">
        <v>3</v>
      </c>
      <c r="AH203" s="2">
        <v>6</v>
      </c>
      <c r="AI203" s="2">
        <v>3</v>
      </c>
      <c r="AJ203" s="2">
        <v>1</v>
      </c>
      <c r="AK203" s="2">
        <v>0</v>
      </c>
      <c r="AL203" s="2">
        <v>0</v>
      </c>
      <c r="AM203" s="2">
        <v>3</v>
      </c>
      <c r="AN203" s="2">
        <v>0</v>
      </c>
      <c r="AO203" s="2">
        <v>0</v>
      </c>
      <c r="AP203" s="2">
        <v>0</v>
      </c>
      <c r="AQ203" s="2">
        <v>1</v>
      </c>
      <c r="AR203" s="2">
        <v>2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2</v>
      </c>
      <c r="BA203" s="2">
        <v>0</v>
      </c>
      <c r="BB203" s="2">
        <v>0</v>
      </c>
      <c r="BC203" s="2">
        <v>1</v>
      </c>
      <c r="BD203" s="2">
        <v>0</v>
      </c>
      <c r="BE203" s="2">
        <v>2</v>
      </c>
      <c r="BF203" s="2">
        <v>1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1</v>
      </c>
      <c r="BO203" s="2">
        <v>0</v>
      </c>
      <c r="BP203" s="2">
        <v>0</v>
      </c>
      <c r="BQ203" s="2">
        <v>1</v>
      </c>
      <c r="BR203" s="2">
        <v>1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1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0</v>
      </c>
      <c r="CW203" s="2">
        <v>0</v>
      </c>
      <c r="CX203" s="2">
        <v>0</v>
      </c>
      <c r="CY203" s="2">
        <v>0</v>
      </c>
      <c r="CZ203" s="2">
        <v>0</v>
      </c>
      <c r="DA203" s="2">
        <v>0</v>
      </c>
      <c r="DB203" s="2">
        <v>0</v>
      </c>
      <c r="DC203" s="2">
        <v>0</v>
      </c>
      <c r="DD203" s="2">
        <v>0</v>
      </c>
      <c r="DE203" s="2">
        <v>0</v>
      </c>
      <c r="DF203" s="2">
        <v>0</v>
      </c>
      <c r="DG203" s="2">
        <v>0</v>
      </c>
      <c r="DH203" s="2">
        <v>0</v>
      </c>
      <c r="DI203" s="2">
        <v>2</v>
      </c>
      <c r="DJ203" s="2">
        <v>1</v>
      </c>
      <c r="DK203" s="2">
        <v>0</v>
      </c>
      <c r="DL203" s="2">
        <v>0</v>
      </c>
      <c r="DM203" s="2">
        <v>0</v>
      </c>
      <c r="DN203" s="2">
        <v>0</v>
      </c>
      <c r="DO203" s="2">
        <v>0</v>
      </c>
      <c r="DP203" s="2">
        <v>0</v>
      </c>
      <c r="DQ203" s="2">
        <v>0</v>
      </c>
      <c r="DR203" s="2">
        <v>0</v>
      </c>
      <c r="DS203" s="2">
        <v>0</v>
      </c>
    </row>
    <row r="204" spans="1:123">
      <c r="A204" s="2" t="s">
        <v>1</v>
      </c>
      <c r="B204" s="2" t="s">
        <v>399</v>
      </c>
      <c r="C204" s="2">
        <v>168</v>
      </c>
      <c r="D204" s="2">
        <v>30</v>
      </c>
      <c r="E204" s="2">
        <v>2.8</v>
      </c>
      <c r="F204" s="2">
        <v>5.6</v>
      </c>
      <c r="G204" s="2" t="s">
        <v>160</v>
      </c>
      <c r="H204">
        <f>IF(AND(OR(لوحة_القيادة!$C$4="الكل", A204=لوحة_القيادة!$C$4), IF(لوحة_القيادة!$C$5="الكل", TRUE, INDEX($V204:$AG204, 1, VALUE(لوحة_القيادة!$C$5))&gt;0)), 1, 0)</f>
        <v>0</v>
      </c>
      <c r="I204">
        <f>IF(H204=1, SUM($H$2:H204), "")</f>
        <v>0</v>
      </c>
      <c r="J204" s="2">
        <v>62</v>
      </c>
      <c r="K204" s="2">
        <v>8</v>
      </c>
      <c r="L204" s="2">
        <v>27</v>
      </c>
      <c r="M204" s="2">
        <v>23</v>
      </c>
      <c r="N204" s="2">
        <v>29</v>
      </c>
      <c r="O204" s="2">
        <v>14</v>
      </c>
      <c r="P204" s="2">
        <v>5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10</v>
      </c>
      <c r="W204" s="2">
        <v>3</v>
      </c>
      <c r="X204" s="2">
        <v>3</v>
      </c>
      <c r="Y204" s="2">
        <v>5</v>
      </c>
      <c r="Z204" s="2">
        <v>5</v>
      </c>
      <c r="AA204" s="2">
        <v>3</v>
      </c>
      <c r="AB204" s="2">
        <v>1</v>
      </c>
      <c r="AC204" s="2">
        <v>0</v>
      </c>
      <c r="AD204" s="2">
        <v>0</v>
      </c>
      <c r="AE204" s="2">
        <v>0</v>
      </c>
      <c r="AF204" s="2">
        <v>0</v>
      </c>
      <c r="AG204" s="2">
        <v>8</v>
      </c>
      <c r="AH204" s="2">
        <v>6</v>
      </c>
      <c r="AI204" s="2">
        <v>6</v>
      </c>
      <c r="AJ204" s="2">
        <v>4</v>
      </c>
      <c r="AK204" s="2">
        <v>0</v>
      </c>
      <c r="AL204" s="2">
        <v>0</v>
      </c>
      <c r="AM204" s="2">
        <v>6</v>
      </c>
      <c r="AN204" s="2">
        <v>3</v>
      </c>
      <c r="AO204" s="2">
        <v>0</v>
      </c>
      <c r="AP204" s="2">
        <v>1</v>
      </c>
      <c r="AQ204" s="2">
        <v>2</v>
      </c>
      <c r="AR204" s="2">
        <v>1</v>
      </c>
      <c r="AS204" s="2">
        <v>1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1</v>
      </c>
      <c r="BA204" s="2">
        <v>2</v>
      </c>
      <c r="BB204" s="2">
        <v>1</v>
      </c>
      <c r="BC204" s="2">
        <v>0</v>
      </c>
      <c r="BD204" s="2">
        <v>1</v>
      </c>
      <c r="BE204" s="2">
        <v>1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2</v>
      </c>
      <c r="BM204" s="2">
        <v>0</v>
      </c>
      <c r="BN204" s="2">
        <v>0</v>
      </c>
      <c r="BO204" s="2">
        <v>2</v>
      </c>
      <c r="BP204" s="2">
        <v>0</v>
      </c>
      <c r="BQ204" s="2">
        <v>1</v>
      </c>
      <c r="BR204" s="2">
        <v>1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1</v>
      </c>
      <c r="BY204" s="2">
        <v>1</v>
      </c>
      <c r="BZ204" s="2">
        <v>1</v>
      </c>
      <c r="CA204" s="2">
        <v>0</v>
      </c>
      <c r="CB204" s="2">
        <v>1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0</v>
      </c>
      <c r="CW204" s="2">
        <v>0</v>
      </c>
      <c r="CX204" s="2">
        <v>0</v>
      </c>
      <c r="CY204" s="2">
        <v>0</v>
      </c>
      <c r="CZ204" s="2">
        <v>0</v>
      </c>
      <c r="DA204" s="2">
        <v>0</v>
      </c>
      <c r="DB204" s="2">
        <v>0</v>
      </c>
      <c r="DC204" s="2">
        <v>0</v>
      </c>
      <c r="DD204" s="2">
        <v>0</v>
      </c>
      <c r="DE204" s="2">
        <v>0</v>
      </c>
      <c r="DF204" s="2">
        <v>0</v>
      </c>
      <c r="DG204" s="2">
        <v>0</v>
      </c>
      <c r="DH204" s="2">
        <v>3</v>
      </c>
      <c r="DI204" s="2">
        <v>0</v>
      </c>
      <c r="DJ204" s="2">
        <v>0</v>
      </c>
      <c r="DK204" s="2">
        <v>1</v>
      </c>
      <c r="DL204" s="2">
        <v>2</v>
      </c>
      <c r="DM204" s="2">
        <v>0</v>
      </c>
      <c r="DN204" s="2">
        <v>0</v>
      </c>
      <c r="DO204" s="2">
        <v>0</v>
      </c>
      <c r="DP204" s="2">
        <v>0</v>
      </c>
      <c r="DQ204" s="2">
        <v>0</v>
      </c>
      <c r="DR204" s="2">
        <v>0</v>
      </c>
      <c r="DS204" s="2">
        <v>0</v>
      </c>
    </row>
    <row r="205" spans="1:123">
      <c r="A205" s="2" t="s">
        <v>13</v>
      </c>
      <c r="B205" s="2" t="s">
        <v>400</v>
      </c>
      <c r="C205" s="2">
        <v>158</v>
      </c>
      <c r="D205" s="2">
        <v>14</v>
      </c>
      <c r="E205" s="2">
        <v>2.63</v>
      </c>
      <c r="F205" s="2">
        <v>11.29</v>
      </c>
      <c r="G205" s="2" t="s">
        <v>291</v>
      </c>
      <c r="H205">
        <f>IF(AND(OR(لوحة_القيادة!$C$4="الكل", A205=لوحة_القيادة!$C$4), IF(لوحة_القيادة!$C$5="الكل", TRUE, INDEX($V205:$AG205, 1, VALUE(لوحة_القيادة!$C$5))&gt;0)), 1, 0)</f>
        <v>0</v>
      </c>
      <c r="I205">
        <f>IF(H205=1, SUM($H$2:H205), "")</f>
        <v>0</v>
      </c>
      <c r="J205" s="2">
        <v>138</v>
      </c>
      <c r="K205" s="2">
        <v>20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10</v>
      </c>
      <c r="W205" s="2">
        <v>4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5</v>
      </c>
      <c r="AH205" s="2">
        <v>4</v>
      </c>
      <c r="AI205" s="2">
        <v>2</v>
      </c>
      <c r="AJ205" s="2">
        <v>1</v>
      </c>
      <c r="AK205" s="2">
        <v>0</v>
      </c>
      <c r="AL205" s="2">
        <v>0</v>
      </c>
      <c r="AM205" s="2">
        <v>2</v>
      </c>
      <c r="AN205" s="2">
        <v>3</v>
      </c>
      <c r="AO205" s="2">
        <v>2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3</v>
      </c>
      <c r="BA205" s="2">
        <v>1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1</v>
      </c>
      <c r="BM205" s="2">
        <v>1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1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 s="2">
        <v>0</v>
      </c>
      <c r="DC205" s="2">
        <v>0</v>
      </c>
      <c r="DD205" s="2">
        <v>0</v>
      </c>
      <c r="DE205" s="2">
        <v>0</v>
      </c>
      <c r="DF205" s="2">
        <v>0</v>
      </c>
      <c r="DG205" s="2">
        <v>0</v>
      </c>
      <c r="DH205" s="2">
        <v>2</v>
      </c>
      <c r="DI205" s="2">
        <v>0</v>
      </c>
      <c r="DJ205" s="2">
        <v>0</v>
      </c>
      <c r="DK205" s="2">
        <v>0</v>
      </c>
      <c r="DL205" s="2">
        <v>0</v>
      </c>
      <c r="DM205" s="2">
        <v>0</v>
      </c>
      <c r="DN205" s="2">
        <v>0</v>
      </c>
      <c r="DO205" s="2">
        <v>0</v>
      </c>
      <c r="DP205" s="2">
        <v>0</v>
      </c>
      <c r="DQ205" s="2">
        <v>0</v>
      </c>
      <c r="DR205" s="2">
        <v>0</v>
      </c>
      <c r="DS205" s="2">
        <v>0</v>
      </c>
    </row>
    <row r="206" spans="1:123">
      <c r="A206" s="2" t="s">
        <v>19</v>
      </c>
      <c r="B206" s="2" t="s">
        <v>401</v>
      </c>
      <c r="C206" s="2">
        <v>156</v>
      </c>
      <c r="D206" s="2">
        <v>8</v>
      </c>
      <c r="E206" s="2">
        <v>2.6</v>
      </c>
      <c r="F206" s="2">
        <v>19.5</v>
      </c>
      <c r="G206" s="2" t="s">
        <v>402</v>
      </c>
      <c r="H206">
        <f>IF(AND(OR(لوحة_القيادة!$C$4="الكل", A206=لوحة_القيادة!$C$4), IF(لوحة_القيادة!$C$5="الكل", TRUE, INDEX($V206:$AG206, 1, VALUE(لوحة_القيادة!$C$5))&gt;0)), 1, 0)</f>
        <v>0</v>
      </c>
      <c r="I206">
        <f>IF(H206=1, SUM($H$2:H206), "")</f>
        <v>0</v>
      </c>
      <c r="J206" s="2">
        <v>79</v>
      </c>
      <c r="K206" s="2">
        <v>76</v>
      </c>
      <c r="L206" s="2">
        <v>0</v>
      </c>
      <c r="M206" s="2">
        <v>0</v>
      </c>
      <c r="N206" s="2">
        <v>0</v>
      </c>
      <c r="O206" s="2">
        <v>1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3</v>
      </c>
      <c r="W206" s="2">
        <v>4</v>
      </c>
      <c r="X206" s="2">
        <v>0</v>
      </c>
      <c r="Y206" s="2">
        <v>0</v>
      </c>
      <c r="Z206" s="2">
        <v>0</v>
      </c>
      <c r="AA206" s="2">
        <v>1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1</v>
      </c>
      <c r="AH206" s="2">
        <v>1</v>
      </c>
      <c r="AI206" s="2">
        <v>3</v>
      </c>
      <c r="AJ206" s="2">
        <v>0</v>
      </c>
      <c r="AK206" s="2">
        <v>0</v>
      </c>
      <c r="AL206" s="2">
        <v>0</v>
      </c>
      <c r="AM206" s="2">
        <v>3</v>
      </c>
      <c r="AN206" s="2">
        <v>0</v>
      </c>
      <c r="AO206" s="2">
        <v>1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1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1</v>
      </c>
      <c r="BM206" s="2">
        <v>2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2">
        <v>0</v>
      </c>
      <c r="DC206" s="2">
        <v>0</v>
      </c>
      <c r="DD206" s="2">
        <v>0</v>
      </c>
      <c r="DE206" s="2">
        <v>0</v>
      </c>
      <c r="DF206" s="2">
        <v>0</v>
      </c>
      <c r="DG206" s="2">
        <v>0</v>
      </c>
      <c r="DH206" s="2">
        <v>1</v>
      </c>
      <c r="DI206" s="2">
        <v>1</v>
      </c>
      <c r="DJ206" s="2">
        <v>0</v>
      </c>
      <c r="DK206" s="2">
        <v>0</v>
      </c>
      <c r="DL206" s="2">
        <v>0</v>
      </c>
      <c r="DM206" s="2">
        <v>1</v>
      </c>
      <c r="DN206" s="2">
        <v>0</v>
      </c>
      <c r="DO206" s="2">
        <v>0</v>
      </c>
      <c r="DP206" s="2">
        <v>0</v>
      </c>
      <c r="DQ206" s="2">
        <v>0</v>
      </c>
      <c r="DR206" s="2">
        <v>0</v>
      </c>
      <c r="DS206" s="2">
        <v>0</v>
      </c>
    </row>
    <row r="207" spans="1:123">
      <c r="A207" s="2" t="s">
        <v>1</v>
      </c>
      <c r="B207" s="2" t="s">
        <v>403</v>
      </c>
      <c r="C207" s="2">
        <v>155</v>
      </c>
      <c r="D207" s="2">
        <v>13</v>
      </c>
      <c r="E207" s="2">
        <v>2.58</v>
      </c>
      <c r="F207" s="2">
        <v>11.92</v>
      </c>
      <c r="G207" s="2" t="s">
        <v>404</v>
      </c>
      <c r="H207">
        <f>IF(AND(OR(لوحة_القيادة!$C$4="الكل", A207=لوحة_القيادة!$C$4), IF(لوحة_القيادة!$C$5="الكل", TRUE, INDEX($V207:$AG207, 1, VALUE(لوحة_القيادة!$C$5))&gt;0)), 1, 0)</f>
        <v>0</v>
      </c>
      <c r="I207">
        <f>IF(H207=1, SUM($H$2:H207), "")</f>
        <v>0</v>
      </c>
      <c r="J207" s="2">
        <v>0</v>
      </c>
      <c r="K207" s="2">
        <v>1</v>
      </c>
      <c r="L207" s="2">
        <v>0</v>
      </c>
      <c r="M207" s="2">
        <v>41</v>
      </c>
      <c r="N207" s="2">
        <v>27</v>
      </c>
      <c r="O207" s="2">
        <v>86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1</v>
      </c>
      <c r="X207" s="2">
        <v>0</v>
      </c>
      <c r="Y207" s="2">
        <v>3</v>
      </c>
      <c r="Z207" s="2">
        <v>4</v>
      </c>
      <c r="AA207" s="2">
        <v>5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4</v>
      </c>
      <c r="AH207" s="2">
        <v>4</v>
      </c>
      <c r="AI207" s="2">
        <v>2</v>
      </c>
      <c r="AJ207" s="2">
        <v>0</v>
      </c>
      <c r="AK207" s="2">
        <v>0</v>
      </c>
      <c r="AL207" s="2">
        <v>0</v>
      </c>
      <c r="AM207" s="2">
        <v>3</v>
      </c>
      <c r="AN207" s="2">
        <v>0</v>
      </c>
      <c r="AO207" s="2">
        <v>1</v>
      </c>
      <c r="AP207" s="2">
        <v>0</v>
      </c>
      <c r="AQ207" s="2">
        <v>0</v>
      </c>
      <c r="AR207" s="2">
        <v>1</v>
      </c>
      <c r="AS207" s="2">
        <v>2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1</v>
      </c>
      <c r="BD207" s="2">
        <v>2</v>
      </c>
      <c r="BE207" s="2">
        <v>1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2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>
        <v>0</v>
      </c>
      <c r="DC207" s="2">
        <v>0</v>
      </c>
      <c r="DD207" s="2">
        <v>0</v>
      </c>
      <c r="DE207" s="2">
        <v>0</v>
      </c>
      <c r="DF207" s="2">
        <v>0</v>
      </c>
      <c r="DG207" s="2">
        <v>0</v>
      </c>
      <c r="DH207" s="2">
        <v>0</v>
      </c>
      <c r="DI207" s="2">
        <v>0</v>
      </c>
      <c r="DJ207" s="2">
        <v>0</v>
      </c>
      <c r="DK207" s="2">
        <v>0</v>
      </c>
      <c r="DL207" s="2">
        <v>1</v>
      </c>
      <c r="DM207" s="2">
        <v>2</v>
      </c>
      <c r="DN207" s="2">
        <v>0</v>
      </c>
      <c r="DO207" s="2">
        <v>0</v>
      </c>
      <c r="DP207" s="2">
        <v>0</v>
      </c>
      <c r="DQ207" s="2">
        <v>0</v>
      </c>
      <c r="DR207" s="2">
        <v>0</v>
      </c>
      <c r="DS207" s="2">
        <v>0</v>
      </c>
    </row>
    <row r="208" spans="1:123">
      <c r="A208" s="2" t="s">
        <v>10</v>
      </c>
      <c r="B208" s="2" t="s">
        <v>405</v>
      </c>
      <c r="C208" s="2">
        <v>155</v>
      </c>
      <c r="D208" s="2">
        <v>7</v>
      </c>
      <c r="E208" s="2">
        <v>2.58</v>
      </c>
      <c r="F208" s="2">
        <v>22.14</v>
      </c>
      <c r="G208" s="2" t="s">
        <v>406</v>
      </c>
      <c r="H208">
        <f>IF(AND(OR(لوحة_القيادة!$C$4="الكل", A208=لوحة_القيادة!$C$4), IF(لوحة_القيادة!$C$5="الكل", TRUE, INDEX($V208:$AG208, 1, VALUE(لوحة_القيادة!$C$5))&gt;0)), 1, 0)</f>
        <v>0</v>
      </c>
      <c r="I208">
        <f>IF(H208=1, SUM($H$2:H208), "")</f>
        <v>0</v>
      </c>
      <c r="J208" s="2">
        <v>0</v>
      </c>
      <c r="K208" s="2">
        <v>54</v>
      </c>
      <c r="L208" s="2">
        <v>1</v>
      </c>
      <c r="M208" s="2">
        <v>93</v>
      </c>
      <c r="N208" s="2">
        <v>2</v>
      </c>
      <c r="O208" s="2">
        <v>0</v>
      </c>
      <c r="P208" s="2">
        <v>5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1</v>
      </c>
      <c r="X208" s="2">
        <v>1</v>
      </c>
      <c r="Y208" s="2">
        <v>3</v>
      </c>
      <c r="Z208" s="2">
        <v>1</v>
      </c>
      <c r="AA208" s="2">
        <v>0</v>
      </c>
      <c r="AB208" s="2">
        <v>1</v>
      </c>
      <c r="AC208" s="2">
        <v>0</v>
      </c>
      <c r="AD208" s="2">
        <v>0</v>
      </c>
      <c r="AE208" s="2">
        <v>0</v>
      </c>
      <c r="AF208" s="2">
        <v>0</v>
      </c>
      <c r="AG208" s="2">
        <v>1</v>
      </c>
      <c r="AH208" s="2">
        <v>0</v>
      </c>
      <c r="AI208" s="2">
        <v>3</v>
      </c>
      <c r="AJ208" s="2">
        <v>2</v>
      </c>
      <c r="AK208" s="2">
        <v>0</v>
      </c>
      <c r="AL208" s="2">
        <v>0</v>
      </c>
      <c r="AM208" s="2">
        <v>1</v>
      </c>
      <c r="AN208" s="2">
        <v>0</v>
      </c>
      <c r="AO208" s="2">
        <v>0</v>
      </c>
      <c r="AP208" s="2">
        <v>0</v>
      </c>
      <c r="AQ208" s="2">
        <v>1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1</v>
      </c>
      <c r="BN208" s="2">
        <v>0</v>
      </c>
      <c r="BO208" s="2">
        <v>1</v>
      </c>
      <c r="BP208" s="2">
        <v>0</v>
      </c>
      <c r="BQ208" s="2">
        <v>0</v>
      </c>
      <c r="BR208" s="2">
        <v>1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1</v>
      </c>
      <c r="CB208" s="2">
        <v>1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0</v>
      </c>
      <c r="DB208" s="2">
        <v>0</v>
      </c>
      <c r="DC208" s="2">
        <v>0</v>
      </c>
      <c r="DD208" s="2">
        <v>0</v>
      </c>
      <c r="DE208" s="2">
        <v>0</v>
      </c>
      <c r="DF208" s="2">
        <v>0</v>
      </c>
      <c r="DG208" s="2">
        <v>0</v>
      </c>
      <c r="DH208" s="2">
        <v>0</v>
      </c>
      <c r="DI208" s="2">
        <v>0</v>
      </c>
      <c r="DJ208" s="2">
        <v>1</v>
      </c>
      <c r="DK208" s="2">
        <v>0</v>
      </c>
      <c r="DL208" s="2">
        <v>0</v>
      </c>
      <c r="DM208" s="2">
        <v>0</v>
      </c>
      <c r="DN208" s="2">
        <v>0</v>
      </c>
      <c r="DO208" s="2">
        <v>0</v>
      </c>
      <c r="DP208" s="2">
        <v>0</v>
      </c>
      <c r="DQ208" s="2">
        <v>0</v>
      </c>
      <c r="DR208" s="2">
        <v>0</v>
      </c>
      <c r="DS208" s="2">
        <v>0</v>
      </c>
    </row>
    <row r="209" spans="1:123">
      <c r="A209" s="2" t="s">
        <v>10</v>
      </c>
      <c r="B209" s="2" t="s">
        <v>407</v>
      </c>
      <c r="C209" s="2">
        <v>154</v>
      </c>
      <c r="D209" s="2">
        <v>13</v>
      </c>
      <c r="E209" s="2">
        <v>2.57</v>
      </c>
      <c r="F209" s="2">
        <v>11.85</v>
      </c>
      <c r="G209" s="2" t="s">
        <v>408</v>
      </c>
      <c r="H209">
        <f>IF(AND(OR(لوحة_القيادة!$C$4="الكل", A209=لوحة_القيادة!$C$4), IF(لوحة_القيادة!$C$5="الكل", TRUE, INDEX($V209:$AG209, 1, VALUE(لوحة_القيادة!$C$5))&gt;0)), 1, 0)</f>
        <v>0</v>
      </c>
      <c r="I209">
        <f>IF(H209=1, SUM($H$2:H209), "")</f>
        <v>0</v>
      </c>
      <c r="J209" s="2">
        <v>0</v>
      </c>
      <c r="K209" s="2">
        <v>17</v>
      </c>
      <c r="L209" s="2">
        <v>0</v>
      </c>
      <c r="M209" s="2">
        <v>11</v>
      </c>
      <c r="N209" s="2">
        <v>15</v>
      </c>
      <c r="O209" s="2">
        <v>53</v>
      </c>
      <c r="P209" s="2">
        <v>58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2</v>
      </c>
      <c r="X209" s="2">
        <v>0</v>
      </c>
      <c r="Y209" s="2">
        <v>2</v>
      </c>
      <c r="Z209" s="2">
        <v>4</v>
      </c>
      <c r="AA209" s="2">
        <v>3</v>
      </c>
      <c r="AB209" s="2">
        <v>2</v>
      </c>
      <c r="AC209" s="2">
        <v>0</v>
      </c>
      <c r="AD209" s="2">
        <v>0</v>
      </c>
      <c r="AE209" s="2">
        <v>0</v>
      </c>
      <c r="AF209" s="2">
        <v>0</v>
      </c>
      <c r="AG209" s="2">
        <v>3</v>
      </c>
      <c r="AH209" s="2">
        <v>1</v>
      </c>
      <c r="AI209" s="2">
        <v>4</v>
      </c>
      <c r="AJ209" s="2">
        <v>2</v>
      </c>
      <c r="AK209" s="2">
        <v>0</v>
      </c>
      <c r="AL209" s="2">
        <v>0</v>
      </c>
      <c r="AM209" s="2">
        <v>3</v>
      </c>
      <c r="AN209" s="2">
        <v>0</v>
      </c>
      <c r="AO209" s="2">
        <v>0</v>
      </c>
      <c r="AP209" s="2">
        <v>0</v>
      </c>
      <c r="AQ209" s="2">
        <v>0</v>
      </c>
      <c r="AR209" s="2">
        <v>1</v>
      </c>
      <c r="AS209" s="2">
        <v>2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1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2</v>
      </c>
      <c r="BN209" s="2">
        <v>0</v>
      </c>
      <c r="BO209" s="2">
        <v>0</v>
      </c>
      <c r="BP209" s="2">
        <v>2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1</v>
      </c>
      <c r="CB209" s="2">
        <v>0</v>
      </c>
      <c r="CC209" s="2">
        <v>1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0</v>
      </c>
      <c r="CW209" s="2">
        <v>0</v>
      </c>
      <c r="CX209" s="2">
        <v>0</v>
      </c>
      <c r="CY209" s="2">
        <v>0</v>
      </c>
      <c r="CZ209" s="2">
        <v>0</v>
      </c>
      <c r="DA209" s="2">
        <v>0</v>
      </c>
      <c r="DB209" s="2">
        <v>0</v>
      </c>
      <c r="DC209" s="2">
        <v>0</v>
      </c>
      <c r="DD209" s="2">
        <v>0</v>
      </c>
      <c r="DE209" s="2">
        <v>0</v>
      </c>
      <c r="DF209" s="2">
        <v>0</v>
      </c>
      <c r="DG209" s="2">
        <v>0</v>
      </c>
      <c r="DH209" s="2">
        <v>0</v>
      </c>
      <c r="DI209" s="2">
        <v>0</v>
      </c>
      <c r="DJ209" s="2">
        <v>0</v>
      </c>
      <c r="DK209" s="2">
        <v>1</v>
      </c>
      <c r="DL209" s="2">
        <v>1</v>
      </c>
      <c r="DM209" s="2">
        <v>0</v>
      </c>
      <c r="DN209" s="2">
        <v>1</v>
      </c>
      <c r="DO209" s="2">
        <v>0</v>
      </c>
      <c r="DP209" s="2">
        <v>0</v>
      </c>
      <c r="DQ209" s="2">
        <v>0</v>
      </c>
      <c r="DR209" s="2">
        <v>0</v>
      </c>
      <c r="DS209" s="2">
        <v>0</v>
      </c>
    </row>
    <row r="210" spans="1:123">
      <c r="A210" s="2" t="s">
        <v>11</v>
      </c>
      <c r="B210" s="2" t="s">
        <v>409</v>
      </c>
      <c r="C210" s="2">
        <v>154</v>
      </c>
      <c r="D210" s="2">
        <v>10</v>
      </c>
      <c r="E210" s="2">
        <v>2.57</v>
      </c>
      <c r="F210" s="2">
        <v>15.4</v>
      </c>
      <c r="G210" s="2" t="s">
        <v>249</v>
      </c>
      <c r="H210">
        <f>IF(AND(OR(لوحة_القيادة!$C$4="الكل", A210=لوحة_القيادة!$C$4), IF(لوحة_القيادة!$C$5="الكل", TRUE, INDEX($V210:$AG210, 1, VALUE(لوحة_القيادة!$C$5))&gt;0)), 1, 0)</f>
        <v>0</v>
      </c>
      <c r="I210">
        <f>IF(H210=1, SUM($H$2:H210), "")</f>
        <v>0</v>
      </c>
      <c r="J210" s="2">
        <v>24</v>
      </c>
      <c r="K210" s="2">
        <v>48</v>
      </c>
      <c r="L210" s="2">
        <v>19</v>
      </c>
      <c r="M210" s="2">
        <v>58</v>
      </c>
      <c r="N210" s="2">
        <v>0</v>
      </c>
      <c r="O210" s="2">
        <v>5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3</v>
      </c>
      <c r="W210" s="2">
        <v>3</v>
      </c>
      <c r="X210" s="2">
        <v>2</v>
      </c>
      <c r="Y210" s="2">
        <v>1</v>
      </c>
      <c r="Z210" s="2">
        <v>0</v>
      </c>
      <c r="AA210" s="2">
        <v>1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4</v>
      </c>
      <c r="AH210" s="2">
        <v>3</v>
      </c>
      <c r="AI210" s="2">
        <v>2</v>
      </c>
      <c r="AJ210" s="2">
        <v>0</v>
      </c>
      <c r="AK210" s="2">
        <v>0</v>
      </c>
      <c r="AL210" s="2">
        <v>0</v>
      </c>
      <c r="AM210" s="2">
        <v>1</v>
      </c>
      <c r="AN210" s="2">
        <v>1</v>
      </c>
      <c r="AO210" s="2">
        <v>0</v>
      </c>
      <c r="AP210" s="2">
        <v>1</v>
      </c>
      <c r="AQ210" s="2">
        <v>1</v>
      </c>
      <c r="AR210" s="2">
        <v>0</v>
      </c>
      <c r="AS210" s="2">
        <v>1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1</v>
      </c>
      <c r="BA210" s="2">
        <v>1</v>
      </c>
      <c r="BB210" s="2">
        <v>1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1</v>
      </c>
      <c r="BM210" s="2">
        <v>1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 s="2">
        <v>0</v>
      </c>
      <c r="DC210" s="2">
        <v>0</v>
      </c>
      <c r="DD210" s="2">
        <v>0</v>
      </c>
      <c r="DE210" s="2">
        <v>0</v>
      </c>
      <c r="DF210" s="2">
        <v>0</v>
      </c>
      <c r="DG210" s="2">
        <v>0</v>
      </c>
      <c r="DH210" s="2">
        <v>0</v>
      </c>
      <c r="DI210" s="2">
        <v>1</v>
      </c>
      <c r="DJ210" s="2">
        <v>0</v>
      </c>
      <c r="DK210" s="2">
        <v>0</v>
      </c>
      <c r="DL210" s="2">
        <v>0</v>
      </c>
      <c r="DM210" s="2">
        <v>0</v>
      </c>
      <c r="DN210" s="2">
        <v>0</v>
      </c>
      <c r="DO210" s="2">
        <v>0</v>
      </c>
      <c r="DP210" s="2">
        <v>0</v>
      </c>
      <c r="DQ210" s="2">
        <v>0</v>
      </c>
      <c r="DR210" s="2">
        <v>0</v>
      </c>
      <c r="DS210" s="2">
        <v>0</v>
      </c>
    </row>
    <row r="211" spans="1:123">
      <c r="A211" s="2" t="s">
        <v>18</v>
      </c>
      <c r="B211" s="2" t="s">
        <v>410</v>
      </c>
      <c r="C211" s="2">
        <v>154</v>
      </c>
      <c r="D211" s="2">
        <v>2</v>
      </c>
      <c r="E211" s="2">
        <v>2.57</v>
      </c>
      <c r="F211" s="2">
        <v>77</v>
      </c>
      <c r="G211" s="2" t="s">
        <v>411</v>
      </c>
      <c r="H211">
        <f>IF(AND(OR(لوحة_القيادة!$C$4="الكل", A211=لوحة_القيادة!$C$4), IF(لوحة_القيادة!$C$5="الكل", TRUE, INDEX($V211:$AG211, 1, VALUE(لوحة_القيادة!$C$5))&gt;0)), 1, 0)</f>
        <v>0</v>
      </c>
      <c r="I211">
        <f>IF(H211=1, SUM($H$2:H211), "")</f>
        <v>0</v>
      </c>
      <c r="J211" s="2">
        <v>148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6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1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1</v>
      </c>
      <c r="AC211" s="2">
        <v>0</v>
      </c>
      <c r="AD211" s="2">
        <v>0</v>
      </c>
      <c r="AE211" s="2">
        <v>0</v>
      </c>
      <c r="AF211" s="2">
        <v>0</v>
      </c>
      <c r="AG211" s="2">
        <v>1</v>
      </c>
      <c r="AH211" s="2">
        <v>0</v>
      </c>
      <c r="AI211" s="2">
        <v>0</v>
      </c>
      <c r="AJ211" s="2">
        <v>1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1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1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0</v>
      </c>
      <c r="DB211" s="2">
        <v>0</v>
      </c>
      <c r="DC211" s="2">
        <v>0</v>
      </c>
      <c r="DD211" s="2">
        <v>0</v>
      </c>
      <c r="DE211" s="2">
        <v>0</v>
      </c>
      <c r="DF211" s="2">
        <v>0</v>
      </c>
      <c r="DG211" s="2">
        <v>0</v>
      </c>
      <c r="DH211" s="2">
        <v>0</v>
      </c>
      <c r="DI211" s="2">
        <v>0</v>
      </c>
      <c r="DJ211" s="2">
        <v>0</v>
      </c>
      <c r="DK211" s="2">
        <v>0</v>
      </c>
      <c r="DL211" s="2">
        <v>0</v>
      </c>
      <c r="DM211" s="2">
        <v>0</v>
      </c>
      <c r="DN211" s="2">
        <v>0</v>
      </c>
      <c r="DO211" s="2">
        <v>0</v>
      </c>
      <c r="DP211" s="2">
        <v>0</v>
      </c>
      <c r="DQ211" s="2">
        <v>0</v>
      </c>
      <c r="DR211" s="2">
        <v>0</v>
      </c>
      <c r="DS211" s="2">
        <v>0</v>
      </c>
    </row>
    <row r="212" spans="1:123">
      <c r="A212" s="2" t="s">
        <v>10</v>
      </c>
      <c r="B212" s="2" t="s">
        <v>412</v>
      </c>
      <c r="C212" s="2">
        <v>151</v>
      </c>
      <c r="D212" s="2">
        <v>11</v>
      </c>
      <c r="E212" s="2">
        <v>2.52</v>
      </c>
      <c r="F212" s="2">
        <v>13.73</v>
      </c>
      <c r="G212" s="2" t="s">
        <v>252</v>
      </c>
      <c r="H212">
        <f>IF(AND(OR(لوحة_القيادة!$C$4="الكل", A212=لوحة_القيادة!$C$4), IF(لوحة_القيادة!$C$5="الكل", TRUE, INDEX($V212:$AG212, 1, VALUE(لوحة_القيادة!$C$5))&gt;0)), 1, 0)</f>
        <v>0</v>
      </c>
      <c r="I212">
        <f>IF(H212=1, SUM($H$2:H212), "")</f>
        <v>0</v>
      </c>
      <c r="J212" s="2">
        <v>4</v>
      </c>
      <c r="K212" s="2">
        <v>12</v>
      </c>
      <c r="L212" s="2">
        <v>4</v>
      </c>
      <c r="M212" s="2">
        <v>65</v>
      </c>
      <c r="N212" s="2">
        <v>2</v>
      </c>
      <c r="O212" s="2">
        <v>0</v>
      </c>
      <c r="P212" s="2">
        <v>64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2</v>
      </c>
      <c r="W212" s="2">
        <v>3</v>
      </c>
      <c r="X212" s="2">
        <v>2</v>
      </c>
      <c r="Y212" s="2">
        <v>2</v>
      </c>
      <c r="Z212" s="2">
        <v>1</v>
      </c>
      <c r="AA212" s="2">
        <v>0</v>
      </c>
      <c r="AB212" s="2">
        <v>1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3</v>
      </c>
      <c r="AI212" s="2">
        <v>4</v>
      </c>
      <c r="AJ212" s="2">
        <v>1</v>
      </c>
      <c r="AK212" s="2">
        <v>0</v>
      </c>
      <c r="AL212" s="2">
        <v>0</v>
      </c>
      <c r="AM212" s="2">
        <v>3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1</v>
      </c>
      <c r="BA212" s="2">
        <v>0</v>
      </c>
      <c r="BB212" s="2">
        <v>0</v>
      </c>
      <c r="BC212" s="2">
        <v>1</v>
      </c>
      <c r="BD212" s="2">
        <v>0</v>
      </c>
      <c r="BE212" s="2">
        <v>0</v>
      </c>
      <c r="BF212" s="2">
        <v>1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1</v>
      </c>
      <c r="BM212" s="2">
        <v>2</v>
      </c>
      <c r="BN212" s="2">
        <v>0</v>
      </c>
      <c r="BO212" s="2">
        <v>0</v>
      </c>
      <c r="BP212" s="2">
        <v>1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1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>
        <v>0</v>
      </c>
      <c r="DC212" s="2">
        <v>0</v>
      </c>
      <c r="DD212" s="2">
        <v>0</v>
      </c>
      <c r="DE212" s="2">
        <v>0</v>
      </c>
      <c r="DF212" s="2">
        <v>0</v>
      </c>
      <c r="DG212" s="2">
        <v>0</v>
      </c>
      <c r="DH212" s="2">
        <v>0</v>
      </c>
      <c r="DI212" s="2">
        <v>1</v>
      </c>
      <c r="DJ212" s="2">
        <v>1</v>
      </c>
      <c r="DK212" s="2">
        <v>1</v>
      </c>
      <c r="DL212" s="2">
        <v>0</v>
      </c>
      <c r="DM212" s="2">
        <v>0</v>
      </c>
      <c r="DN212" s="2">
        <v>0</v>
      </c>
      <c r="DO212" s="2">
        <v>0</v>
      </c>
      <c r="DP212" s="2">
        <v>0</v>
      </c>
      <c r="DQ212" s="2">
        <v>0</v>
      </c>
      <c r="DR212" s="2">
        <v>0</v>
      </c>
      <c r="DS212" s="2">
        <v>0</v>
      </c>
    </row>
    <row r="213" spans="1:123">
      <c r="A213" s="2" t="s">
        <v>4</v>
      </c>
      <c r="B213" s="2" t="s">
        <v>413</v>
      </c>
      <c r="C213" s="2">
        <v>148</v>
      </c>
      <c r="D213" s="2">
        <v>14</v>
      </c>
      <c r="E213" s="2">
        <v>2.47</v>
      </c>
      <c r="F213" s="2">
        <v>10.57</v>
      </c>
      <c r="G213" s="2" t="s">
        <v>280</v>
      </c>
      <c r="H213">
        <f>IF(AND(OR(لوحة_القيادة!$C$4="الكل", A213=لوحة_القيادة!$C$4), IF(لوحة_القيادة!$C$5="الكل", TRUE, INDEX($V213:$AG213, 1, VALUE(لوحة_القيادة!$C$5))&gt;0)), 1, 0)</f>
        <v>0</v>
      </c>
      <c r="I213">
        <f>IF(H213=1, SUM($H$2:H213), "")</f>
        <v>0</v>
      </c>
      <c r="J213" s="2">
        <v>8</v>
      </c>
      <c r="K213" s="2">
        <v>15</v>
      </c>
      <c r="L213" s="2">
        <v>0</v>
      </c>
      <c r="M213" s="2">
        <v>55</v>
      </c>
      <c r="N213" s="2">
        <v>40</v>
      </c>
      <c r="O213" s="2">
        <v>15</v>
      </c>
      <c r="P213" s="2">
        <v>15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3</v>
      </c>
      <c r="W213" s="2">
        <v>2</v>
      </c>
      <c r="X213" s="2">
        <v>0</v>
      </c>
      <c r="Y213" s="2">
        <v>5</v>
      </c>
      <c r="Z213" s="2">
        <v>2</v>
      </c>
      <c r="AA213" s="2">
        <v>1</v>
      </c>
      <c r="AB213" s="2">
        <v>1</v>
      </c>
      <c r="AC213" s="2">
        <v>0</v>
      </c>
      <c r="AD213" s="2">
        <v>0</v>
      </c>
      <c r="AE213" s="2">
        <v>0</v>
      </c>
      <c r="AF213" s="2">
        <v>0</v>
      </c>
      <c r="AG213" s="2">
        <v>3</v>
      </c>
      <c r="AH213" s="2">
        <v>4</v>
      </c>
      <c r="AI213" s="2">
        <v>5</v>
      </c>
      <c r="AJ213" s="2">
        <v>1</v>
      </c>
      <c r="AK213" s="2">
        <v>0</v>
      </c>
      <c r="AL213" s="2">
        <v>0</v>
      </c>
      <c r="AM213" s="2">
        <v>1</v>
      </c>
      <c r="AN213" s="2">
        <v>1</v>
      </c>
      <c r="AO213" s="2">
        <v>1</v>
      </c>
      <c r="AP213" s="2">
        <v>0</v>
      </c>
      <c r="AQ213" s="2">
        <v>1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2</v>
      </c>
      <c r="BD213" s="2">
        <v>1</v>
      </c>
      <c r="BE213" s="2">
        <v>0</v>
      </c>
      <c r="BF213" s="2">
        <v>1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1</v>
      </c>
      <c r="BN213" s="2">
        <v>0</v>
      </c>
      <c r="BO213" s="2">
        <v>2</v>
      </c>
      <c r="BP213" s="2">
        <v>1</v>
      </c>
      <c r="BQ213" s="2">
        <v>1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1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>
        <v>0</v>
      </c>
      <c r="DE213" s="2">
        <v>0</v>
      </c>
      <c r="DF213" s="2">
        <v>0</v>
      </c>
      <c r="DG213" s="2">
        <v>0</v>
      </c>
      <c r="DH213" s="2">
        <v>1</v>
      </c>
      <c r="DI213" s="2">
        <v>0</v>
      </c>
      <c r="DJ213" s="2">
        <v>0</v>
      </c>
      <c r="DK213" s="2">
        <v>0</v>
      </c>
      <c r="DL213" s="2">
        <v>0</v>
      </c>
      <c r="DM213" s="2">
        <v>0</v>
      </c>
      <c r="DN213" s="2">
        <v>0</v>
      </c>
      <c r="DO213" s="2">
        <v>0</v>
      </c>
      <c r="DP213" s="2">
        <v>0</v>
      </c>
      <c r="DQ213" s="2">
        <v>0</v>
      </c>
      <c r="DR213" s="2">
        <v>0</v>
      </c>
      <c r="DS213" s="2">
        <v>0</v>
      </c>
    </row>
    <row r="214" spans="1:123">
      <c r="A214" s="2" t="s">
        <v>13</v>
      </c>
      <c r="B214" s="2" t="s">
        <v>414</v>
      </c>
      <c r="C214" s="2">
        <v>146</v>
      </c>
      <c r="D214" s="2">
        <v>27</v>
      </c>
      <c r="E214" s="2">
        <v>2.43</v>
      </c>
      <c r="F214" s="2">
        <v>5.41</v>
      </c>
      <c r="G214" s="2" t="s">
        <v>170</v>
      </c>
      <c r="H214">
        <f>IF(AND(OR(لوحة_القيادة!$C$4="الكل", A214=لوحة_القيادة!$C$4), IF(لوحة_القيادة!$C$5="الكل", TRUE, INDEX($V214:$AG214, 1, VALUE(لوحة_القيادة!$C$5))&gt;0)), 1, 0)</f>
        <v>0</v>
      </c>
      <c r="I214">
        <f>IF(H214=1, SUM($H$2:H214), "")</f>
        <v>0</v>
      </c>
      <c r="J214" s="2">
        <v>9</v>
      </c>
      <c r="K214" s="2">
        <v>17</v>
      </c>
      <c r="L214" s="2">
        <v>20</v>
      </c>
      <c r="M214" s="2">
        <v>48</v>
      </c>
      <c r="N214" s="2">
        <v>30</v>
      </c>
      <c r="O214" s="2">
        <v>22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3</v>
      </c>
      <c r="W214" s="2">
        <v>6</v>
      </c>
      <c r="X214" s="2">
        <v>1</v>
      </c>
      <c r="Y214" s="2">
        <v>7</v>
      </c>
      <c r="Z214" s="2">
        <v>8</v>
      </c>
      <c r="AA214" s="2">
        <v>2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4</v>
      </c>
      <c r="AH214" s="2">
        <v>10</v>
      </c>
      <c r="AI214" s="2">
        <v>10</v>
      </c>
      <c r="AJ214" s="2">
        <v>3</v>
      </c>
      <c r="AK214" s="2">
        <v>0</v>
      </c>
      <c r="AL214" s="2">
        <v>0</v>
      </c>
      <c r="AM214" s="2">
        <v>0</v>
      </c>
      <c r="AN214" s="2">
        <v>0</v>
      </c>
      <c r="AO214" s="2">
        <v>1</v>
      </c>
      <c r="AP214" s="2">
        <v>0</v>
      </c>
      <c r="AQ214" s="2">
        <v>0</v>
      </c>
      <c r="AR214" s="2">
        <v>2</v>
      </c>
      <c r="AS214" s="2">
        <v>1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1</v>
      </c>
      <c r="BA214" s="2">
        <v>2</v>
      </c>
      <c r="BB214" s="2">
        <v>1</v>
      </c>
      <c r="BC214" s="2">
        <v>3</v>
      </c>
      <c r="BD214" s="2">
        <v>3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1</v>
      </c>
      <c r="BM214" s="2">
        <v>2</v>
      </c>
      <c r="BN214" s="2">
        <v>0</v>
      </c>
      <c r="BO214" s="2">
        <v>3</v>
      </c>
      <c r="BP214" s="2">
        <v>3</v>
      </c>
      <c r="BQ214" s="2">
        <v>1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1</v>
      </c>
      <c r="BY214" s="2">
        <v>1</v>
      </c>
      <c r="BZ214" s="2">
        <v>0</v>
      </c>
      <c r="CA214" s="2">
        <v>1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  <c r="DE214" s="2">
        <v>0</v>
      </c>
      <c r="DF214" s="2">
        <v>0</v>
      </c>
      <c r="DG214" s="2">
        <v>0</v>
      </c>
      <c r="DH214" s="2">
        <v>0</v>
      </c>
      <c r="DI214" s="2">
        <v>0</v>
      </c>
      <c r="DJ214" s="2">
        <v>0</v>
      </c>
      <c r="DK214" s="2">
        <v>0</v>
      </c>
      <c r="DL214" s="2">
        <v>0</v>
      </c>
      <c r="DM214" s="2">
        <v>0</v>
      </c>
      <c r="DN214" s="2">
        <v>0</v>
      </c>
      <c r="DO214" s="2">
        <v>0</v>
      </c>
      <c r="DP214" s="2">
        <v>0</v>
      </c>
      <c r="DQ214" s="2">
        <v>0</v>
      </c>
      <c r="DR214" s="2">
        <v>0</v>
      </c>
      <c r="DS214" s="2">
        <v>0</v>
      </c>
    </row>
    <row r="215" spans="1:123">
      <c r="A215" s="2" t="s">
        <v>10</v>
      </c>
      <c r="B215" s="2" t="s">
        <v>415</v>
      </c>
      <c r="C215" s="2">
        <v>144</v>
      </c>
      <c r="D215" s="2">
        <v>5</v>
      </c>
      <c r="E215" s="2">
        <v>2.4</v>
      </c>
      <c r="F215" s="2">
        <v>28.8</v>
      </c>
      <c r="G215" s="2" t="s">
        <v>333</v>
      </c>
      <c r="H215">
        <f>IF(AND(OR(لوحة_القيادة!$C$4="الكل", A215=لوحة_القيادة!$C$4), IF(لوحة_القيادة!$C$5="الكل", TRUE, INDEX($V215:$AG215, 1, VALUE(لوحة_القيادة!$C$5))&gt;0)), 1, 0)</f>
        <v>0</v>
      </c>
      <c r="I215">
        <f>IF(H215=1, SUM($H$2:H215), "")</f>
        <v>0</v>
      </c>
      <c r="J215" s="2">
        <v>0</v>
      </c>
      <c r="K215" s="2">
        <v>102</v>
      </c>
      <c r="L215" s="2">
        <v>24</v>
      </c>
      <c r="M215" s="2">
        <v>18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2</v>
      </c>
      <c r="X215" s="2">
        <v>2</v>
      </c>
      <c r="Y215" s="2">
        <v>1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1</v>
      </c>
      <c r="AH215" s="2">
        <v>1</v>
      </c>
      <c r="AI215" s="2">
        <v>0</v>
      </c>
      <c r="AJ215" s="2">
        <v>1</v>
      </c>
      <c r="AK215" s="2">
        <v>0</v>
      </c>
      <c r="AL215" s="2">
        <v>0</v>
      </c>
      <c r="AM215" s="2">
        <v>2</v>
      </c>
      <c r="AN215" s="2">
        <v>0</v>
      </c>
      <c r="AO215" s="2">
        <v>1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1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1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 s="2">
        <v>0</v>
      </c>
      <c r="DC215" s="2">
        <v>0</v>
      </c>
      <c r="DD215" s="2">
        <v>0</v>
      </c>
      <c r="DE215" s="2">
        <v>0</v>
      </c>
      <c r="DF215" s="2">
        <v>0</v>
      </c>
      <c r="DG215" s="2">
        <v>0</v>
      </c>
      <c r="DH215" s="2">
        <v>0</v>
      </c>
      <c r="DI215" s="2">
        <v>1</v>
      </c>
      <c r="DJ215" s="2">
        <v>1</v>
      </c>
      <c r="DK215" s="2">
        <v>0</v>
      </c>
      <c r="DL215" s="2">
        <v>0</v>
      </c>
      <c r="DM215" s="2">
        <v>0</v>
      </c>
      <c r="DN215" s="2">
        <v>0</v>
      </c>
      <c r="DO215" s="2">
        <v>0</v>
      </c>
      <c r="DP215" s="2">
        <v>0</v>
      </c>
      <c r="DQ215" s="2">
        <v>0</v>
      </c>
      <c r="DR215" s="2">
        <v>0</v>
      </c>
      <c r="DS215" s="2">
        <v>0</v>
      </c>
    </row>
    <row r="216" spans="1:123">
      <c r="A216" s="2" t="s">
        <v>10</v>
      </c>
      <c r="B216" s="2" t="s">
        <v>416</v>
      </c>
      <c r="C216" s="2">
        <v>142</v>
      </c>
      <c r="D216" s="2">
        <v>4</v>
      </c>
      <c r="E216" s="2">
        <v>2.37</v>
      </c>
      <c r="F216" s="2">
        <v>35.5</v>
      </c>
      <c r="G216" s="2" t="s">
        <v>417</v>
      </c>
      <c r="H216">
        <f>IF(AND(OR(لوحة_القيادة!$C$4="الكل", A216=لوحة_القيادة!$C$4), IF(لوحة_القيادة!$C$5="الكل", TRUE, INDEX($V216:$AG216, 1, VALUE(لوحة_القيادة!$C$5))&gt;0)), 1, 0)</f>
        <v>0</v>
      </c>
      <c r="I216">
        <f>IF(H216=1, SUM($H$2:H216), "")</f>
        <v>0</v>
      </c>
      <c r="J216" s="2">
        <v>4</v>
      </c>
      <c r="K216" s="2">
        <v>0</v>
      </c>
      <c r="L216" s="2">
        <v>94</v>
      </c>
      <c r="M216" s="2">
        <v>0</v>
      </c>
      <c r="N216" s="2">
        <v>44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1</v>
      </c>
      <c r="W216" s="2">
        <v>0</v>
      </c>
      <c r="X216" s="2">
        <v>2</v>
      </c>
      <c r="Y216" s="2">
        <v>0</v>
      </c>
      <c r="Z216" s="2">
        <v>1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1</v>
      </c>
      <c r="AH216" s="2">
        <v>0</v>
      </c>
      <c r="AI216" s="2">
        <v>0</v>
      </c>
      <c r="AJ216" s="2">
        <v>3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1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1</v>
      </c>
      <c r="BY216" s="2">
        <v>0</v>
      </c>
      <c r="BZ216" s="2">
        <v>2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C216" s="2">
        <v>0</v>
      </c>
      <c r="DD216" s="2">
        <v>0</v>
      </c>
      <c r="DE216" s="2">
        <v>0</v>
      </c>
      <c r="DF216" s="2">
        <v>0</v>
      </c>
      <c r="DG216" s="2">
        <v>0</v>
      </c>
      <c r="DH216" s="2">
        <v>0</v>
      </c>
      <c r="DI216" s="2">
        <v>0</v>
      </c>
      <c r="DJ216" s="2">
        <v>0</v>
      </c>
      <c r="DK216" s="2">
        <v>0</v>
      </c>
      <c r="DL216" s="2">
        <v>0</v>
      </c>
      <c r="DM216" s="2">
        <v>0</v>
      </c>
      <c r="DN216" s="2">
        <v>0</v>
      </c>
      <c r="DO216" s="2">
        <v>0</v>
      </c>
      <c r="DP216" s="2">
        <v>0</v>
      </c>
      <c r="DQ216" s="2">
        <v>0</v>
      </c>
      <c r="DR216" s="2">
        <v>0</v>
      </c>
      <c r="DS216" s="2">
        <v>0</v>
      </c>
    </row>
    <row r="217" spans="1:123">
      <c r="A217" s="2" t="s">
        <v>11</v>
      </c>
      <c r="B217" s="2" t="s">
        <v>418</v>
      </c>
      <c r="C217" s="2">
        <v>142</v>
      </c>
      <c r="D217" s="2">
        <v>2</v>
      </c>
      <c r="E217" s="2">
        <v>2.37</v>
      </c>
      <c r="F217" s="2">
        <v>71</v>
      </c>
      <c r="G217" s="2" t="s">
        <v>25</v>
      </c>
      <c r="H217">
        <f>IF(AND(OR(لوحة_القيادة!$C$4="الكل", A217=لوحة_القيادة!$C$4), IF(لوحة_القيادة!$C$5="الكل", TRUE, INDEX($V217:$AG217, 1, VALUE(لوحة_القيادة!$C$5))&gt;0)), 1, 0)</f>
        <v>0</v>
      </c>
      <c r="I217">
        <f>IF(H217=1, SUM($H$2:H217), "")</f>
        <v>0</v>
      </c>
      <c r="J217" s="2">
        <v>0</v>
      </c>
      <c r="K217" s="2">
        <v>0</v>
      </c>
      <c r="L217" s="2">
        <v>142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2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2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2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>
        <v>0</v>
      </c>
      <c r="DC217" s="2">
        <v>0</v>
      </c>
      <c r="DD217" s="2">
        <v>0</v>
      </c>
      <c r="DE217" s="2">
        <v>0</v>
      </c>
      <c r="DF217" s="2">
        <v>0</v>
      </c>
      <c r="DG217" s="2">
        <v>0</v>
      </c>
      <c r="DH217" s="2">
        <v>0</v>
      </c>
      <c r="DI217" s="2">
        <v>0</v>
      </c>
      <c r="DJ217" s="2">
        <v>0</v>
      </c>
      <c r="DK217" s="2">
        <v>0</v>
      </c>
      <c r="DL217" s="2">
        <v>0</v>
      </c>
      <c r="DM217" s="2">
        <v>0</v>
      </c>
      <c r="DN217" s="2">
        <v>0</v>
      </c>
      <c r="DO217" s="2">
        <v>0</v>
      </c>
      <c r="DP217" s="2">
        <v>0</v>
      </c>
      <c r="DQ217" s="2">
        <v>0</v>
      </c>
      <c r="DR217" s="2">
        <v>0</v>
      </c>
      <c r="DS217" s="2">
        <v>0</v>
      </c>
    </row>
    <row r="218" spans="1:123">
      <c r="A218" s="2" t="s">
        <v>11</v>
      </c>
      <c r="B218" s="2" t="s">
        <v>419</v>
      </c>
      <c r="C218" s="2">
        <v>142</v>
      </c>
      <c r="D218" s="2">
        <v>11</v>
      </c>
      <c r="E218" s="2">
        <v>2.37</v>
      </c>
      <c r="F218" s="2">
        <v>12.91</v>
      </c>
      <c r="G218" s="2" t="s">
        <v>210</v>
      </c>
      <c r="H218">
        <f>IF(AND(OR(لوحة_القيادة!$C$4="الكل", A218=لوحة_القيادة!$C$4), IF(لوحة_القيادة!$C$5="الكل", TRUE, INDEX($V218:$AG218, 1, VALUE(لوحة_القيادة!$C$5))&gt;0)), 1, 0)</f>
        <v>0</v>
      </c>
      <c r="I218">
        <f>IF(H218=1, SUM($H$2:H218), "")</f>
        <v>0</v>
      </c>
      <c r="J218" s="2">
        <v>6</v>
      </c>
      <c r="K218" s="2">
        <v>44</v>
      </c>
      <c r="L218" s="2">
        <v>5</v>
      </c>
      <c r="M218" s="2">
        <v>45</v>
      </c>
      <c r="N218" s="2">
        <v>42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2</v>
      </c>
      <c r="W218" s="2">
        <v>2</v>
      </c>
      <c r="X218" s="2">
        <v>2</v>
      </c>
      <c r="Y218" s="2">
        <v>3</v>
      </c>
      <c r="Z218" s="2">
        <v>2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1</v>
      </c>
      <c r="AH218" s="2">
        <v>6</v>
      </c>
      <c r="AI218" s="2">
        <v>1</v>
      </c>
      <c r="AJ218" s="2">
        <v>2</v>
      </c>
      <c r="AK218" s="2">
        <v>0</v>
      </c>
      <c r="AL218" s="2">
        <v>0</v>
      </c>
      <c r="AM218" s="2">
        <v>1</v>
      </c>
      <c r="AN218" s="2">
        <v>0</v>
      </c>
      <c r="AO218" s="2">
        <v>1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1</v>
      </c>
      <c r="BA218" s="2">
        <v>1</v>
      </c>
      <c r="BB218" s="2">
        <v>2</v>
      </c>
      <c r="BC218" s="2">
        <v>1</v>
      </c>
      <c r="BD218" s="2">
        <v>1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1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1</v>
      </c>
      <c r="CB218" s="2">
        <v>1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 s="2">
        <v>0</v>
      </c>
      <c r="DC218" s="2">
        <v>0</v>
      </c>
      <c r="DD218" s="2">
        <v>0</v>
      </c>
      <c r="DE218" s="2">
        <v>0</v>
      </c>
      <c r="DF218" s="2">
        <v>0</v>
      </c>
      <c r="DG218" s="2">
        <v>0</v>
      </c>
      <c r="DH218" s="2">
        <v>1</v>
      </c>
      <c r="DI218" s="2">
        <v>0</v>
      </c>
      <c r="DJ218" s="2">
        <v>0</v>
      </c>
      <c r="DK218" s="2">
        <v>0</v>
      </c>
      <c r="DL218" s="2">
        <v>0</v>
      </c>
      <c r="DM218" s="2">
        <v>0</v>
      </c>
      <c r="DN218" s="2">
        <v>0</v>
      </c>
      <c r="DO218" s="2">
        <v>0</v>
      </c>
      <c r="DP218" s="2">
        <v>0</v>
      </c>
      <c r="DQ218" s="2">
        <v>0</v>
      </c>
      <c r="DR218" s="2">
        <v>0</v>
      </c>
      <c r="DS218" s="2">
        <v>0</v>
      </c>
    </row>
    <row r="219" spans="1:123">
      <c r="A219" s="2" t="s">
        <v>17</v>
      </c>
      <c r="B219" s="2" t="s">
        <v>420</v>
      </c>
      <c r="C219" s="2">
        <v>139</v>
      </c>
      <c r="D219" s="2">
        <v>10</v>
      </c>
      <c r="E219" s="2">
        <v>2.32</v>
      </c>
      <c r="F219" s="2">
        <v>13.9</v>
      </c>
      <c r="G219" s="2" t="s">
        <v>421</v>
      </c>
      <c r="H219">
        <f>IF(AND(OR(لوحة_القيادة!$C$4="الكل", A219=لوحة_القيادة!$C$4), IF(لوحة_القيادة!$C$5="الكل", TRUE, INDEX($V219:$AG219, 1, VALUE(لوحة_القيادة!$C$5))&gt;0)), 1, 0)</f>
        <v>0</v>
      </c>
      <c r="I219">
        <f>IF(H219=1, SUM($H$2:H219), "")</f>
        <v>0</v>
      </c>
      <c r="J219" s="2">
        <v>4</v>
      </c>
      <c r="K219" s="2">
        <v>10</v>
      </c>
      <c r="L219" s="2">
        <v>0</v>
      </c>
      <c r="M219" s="2">
        <v>4</v>
      </c>
      <c r="N219" s="2">
        <v>54</v>
      </c>
      <c r="O219" s="2">
        <v>0</v>
      </c>
      <c r="P219" s="2">
        <v>67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2</v>
      </c>
      <c r="W219" s="2">
        <v>1</v>
      </c>
      <c r="X219" s="2">
        <v>0</v>
      </c>
      <c r="Y219" s="2">
        <v>2</v>
      </c>
      <c r="Z219" s="2">
        <v>3</v>
      </c>
      <c r="AA219" s="2">
        <v>0</v>
      </c>
      <c r="AB219" s="2">
        <v>2</v>
      </c>
      <c r="AC219" s="2">
        <v>0</v>
      </c>
      <c r="AD219" s="2">
        <v>0</v>
      </c>
      <c r="AE219" s="2">
        <v>0</v>
      </c>
      <c r="AF219" s="2">
        <v>0</v>
      </c>
      <c r="AG219" s="2">
        <v>3</v>
      </c>
      <c r="AH219" s="2">
        <v>2</v>
      </c>
      <c r="AI219" s="2">
        <v>2</v>
      </c>
      <c r="AJ219" s="2">
        <v>2</v>
      </c>
      <c r="AK219" s="2">
        <v>0</v>
      </c>
      <c r="AL219" s="2">
        <v>0</v>
      </c>
      <c r="AM219" s="2">
        <v>1</v>
      </c>
      <c r="AN219" s="2">
        <v>0</v>
      </c>
      <c r="AO219" s="2">
        <v>0</v>
      </c>
      <c r="AP219" s="2">
        <v>0</v>
      </c>
      <c r="AQ219" s="2">
        <v>1</v>
      </c>
      <c r="AR219" s="2">
        <v>2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2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1</v>
      </c>
      <c r="BP219" s="2">
        <v>1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1</v>
      </c>
      <c r="BZ219" s="2">
        <v>0</v>
      </c>
      <c r="CA219" s="2">
        <v>0</v>
      </c>
      <c r="CB219" s="2">
        <v>0</v>
      </c>
      <c r="CC219" s="2">
        <v>0</v>
      </c>
      <c r="CD219" s="2">
        <v>1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 s="2">
        <v>0</v>
      </c>
      <c r="DC219" s="2">
        <v>0</v>
      </c>
      <c r="DD219" s="2">
        <v>0</v>
      </c>
      <c r="DE219" s="2">
        <v>0</v>
      </c>
      <c r="DF219" s="2">
        <v>0</v>
      </c>
      <c r="DG219" s="2">
        <v>0</v>
      </c>
      <c r="DH219" s="2">
        <v>0</v>
      </c>
      <c r="DI219" s="2">
        <v>0</v>
      </c>
      <c r="DJ219" s="2">
        <v>0</v>
      </c>
      <c r="DK219" s="2">
        <v>0</v>
      </c>
      <c r="DL219" s="2">
        <v>0</v>
      </c>
      <c r="DM219" s="2">
        <v>0</v>
      </c>
      <c r="DN219" s="2">
        <v>1</v>
      </c>
      <c r="DO219" s="2">
        <v>0</v>
      </c>
      <c r="DP219" s="2">
        <v>0</v>
      </c>
      <c r="DQ219" s="2">
        <v>0</v>
      </c>
      <c r="DR219" s="2">
        <v>0</v>
      </c>
      <c r="DS219" s="2">
        <v>0</v>
      </c>
    </row>
    <row r="220" spans="1:123">
      <c r="A220" s="2" t="s">
        <v>7</v>
      </c>
      <c r="B220" s="2" t="s">
        <v>422</v>
      </c>
      <c r="C220" s="2">
        <v>137</v>
      </c>
      <c r="D220" s="2">
        <v>41</v>
      </c>
      <c r="E220" s="2">
        <v>2.28</v>
      </c>
      <c r="F220" s="2">
        <v>3.34</v>
      </c>
      <c r="G220" s="2" t="s">
        <v>160</v>
      </c>
      <c r="H220">
        <f>IF(AND(OR(لوحة_القيادة!$C$4="الكل", A220=لوحة_القيادة!$C$4), IF(لوحة_القيادة!$C$5="الكل", TRUE, INDEX($V220:$AG220, 1, VALUE(لوحة_القيادة!$C$5))&gt;0)), 1, 0)</f>
        <v>0</v>
      </c>
      <c r="I220">
        <f>IF(H220=1, SUM($H$2:H220), "")</f>
        <v>0</v>
      </c>
      <c r="J220" s="2">
        <v>43</v>
      </c>
      <c r="K220" s="2">
        <v>28</v>
      </c>
      <c r="L220" s="2">
        <v>5</v>
      </c>
      <c r="M220" s="2">
        <v>18</v>
      </c>
      <c r="N220" s="2">
        <v>18</v>
      </c>
      <c r="O220" s="2">
        <v>23</v>
      </c>
      <c r="P220" s="2">
        <v>2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10</v>
      </c>
      <c r="W220" s="2">
        <v>8</v>
      </c>
      <c r="X220" s="2">
        <v>3</v>
      </c>
      <c r="Y220" s="2">
        <v>6</v>
      </c>
      <c r="Z220" s="2">
        <v>5</v>
      </c>
      <c r="AA220" s="2">
        <v>8</v>
      </c>
      <c r="AB220" s="2">
        <v>1</v>
      </c>
      <c r="AC220" s="2">
        <v>0</v>
      </c>
      <c r="AD220" s="2">
        <v>0</v>
      </c>
      <c r="AE220" s="2">
        <v>0</v>
      </c>
      <c r="AF220" s="2">
        <v>0</v>
      </c>
      <c r="AG220" s="2">
        <v>7</v>
      </c>
      <c r="AH220" s="2">
        <v>12</v>
      </c>
      <c r="AI220" s="2">
        <v>8</v>
      </c>
      <c r="AJ220" s="2">
        <v>7</v>
      </c>
      <c r="AK220" s="2">
        <v>0</v>
      </c>
      <c r="AL220" s="2">
        <v>0</v>
      </c>
      <c r="AM220" s="2">
        <v>7</v>
      </c>
      <c r="AN220" s="2">
        <v>2</v>
      </c>
      <c r="AO220" s="2">
        <v>3</v>
      </c>
      <c r="AP220" s="2">
        <v>0</v>
      </c>
      <c r="AQ220" s="2">
        <v>1</v>
      </c>
      <c r="AR220" s="2">
        <v>1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3</v>
      </c>
      <c r="BA220" s="2">
        <v>2</v>
      </c>
      <c r="BB220" s="2">
        <v>1</v>
      </c>
      <c r="BC220" s="2">
        <v>2</v>
      </c>
      <c r="BD220" s="2">
        <v>1</v>
      </c>
      <c r="BE220" s="2">
        <v>3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3</v>
      </c>
      <c r="BM220" s="2">
        <v>1</v>
      </c>
      <c r="BN220" s="2">
        <v>1</v>
      </c>
      <c r="BO220" s="2">
        <v>1</v>
      </c>
      <c r="BP220" s="2">
        <v>0</v>
      </c>
      <c r="BQ220" s="2">
        <v>2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1</v>
      </c>
      <c r="BY220" s="2">
        <v>1</v>
      </c>
      <c r="BZ220" s="2">
        <v>0</v>
      </c>
      <c r="CA220" s="2">
        <v>2</v>
      </c>
      <c r="CB220" s="2">
        <v>1</v>
      </c>
      <c r="CC220" s="2">
        <v>1</v>
      </c>
      <c r="CD220" s="2">
        <v>1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0</v>
      </c>
      <c r="DB220" s="2">
        <v>0</v>
      </c>
      <c r="DC220" s="2">
        <v>0</v>
      </c>
      <c r="DD220" s="2">
        <v>0</v>
      </c>
      <c r="DE220" s="2">
        <v>0</v>
      </c>
      <c r="DF220" s="2">
        <v>0</v>
      </c>
      <c r="DG220" s="2">
        <v>0</v>
      </c>
      <c r="DH220" s="2">
        <v>1</v>
      </c>
      <c r="DI220" s="2">
        <v>1</v>
      </c>
      <c r="DJ220" s="2">
        <v>1</v>
      </c>
      <c r="DK220" s="2">
        <v>0</v>
      </c>
      <c r="DL220" s="2">
        <v>2</v>
      </c>
      <c r="DM220" s="2">
        <v>2</v>
      </c>
      <c r="DN220" s="2">
        <v>0</v>
      </c>
      <c r="DO220" s="2">
        <v>0</v>
      </c>
      <c r="DP220" s="2">
        <v>0</v>
      </c>
      <c r="DQ220" s="2">
        <v>0</v>
      </c>
      <c r="DR220" s="2">
        <v>0</v>
      </c>
      <c r="DS220" s="2">
        <v>0</v>
      </c>
    </row>
    <row r="221" spans="1:123">
      <c r="A221" s="2" t="s">
        <v>10</v>
      </c>
      <c r="B221" s="2" t="s">
        <v>423</v>
      </c>
      <c r="C221" s="2">
        <v>137</v>
      </c>
      <c r="D221" s="2">
        <v>4</v>
      </c>
      <c r="E221" s="2">
        <v>2.28</v>
      </c>
      <c r="F221" s="2">
        <v>34.25</v>
      </c>
      <c r="G221" s="2" t="s">
        <v>424</v>
      </c>
      <c r="H221">
        <f>IF(AND(OR(لوحة_القيادة!$C$4="الكل", A221=لوحة_القيادة!$C$4), IF(لوحة_القيادة!$C$5="الكل", TRUE, INDEX($V221:$AG221, 1, VALUE(لوحة_القيادة!$C$5))&gt;0)), 1, 0)</f>
        <v>0</v>
      </c>
      <c r="I221">
        <f>IF(H221=1, SUM($H$2:H221), "")</f>
        <v>0</v>
      </c>
      <c r="J221" s="2">
        <v>0</v>
      </c>
      <c r="K221" s="2">
        <v>2</v>
      </c>
      <c r="L221" s="2">
        <v>42</v>
      </c>
      <c r="M221" s="2">
        <v>0</v>
      </c>
      <c r="N221" s="2">
        <v>85</v>
      </c>
      <c r="O221" s="2">
        <v>0</v>
      </c>
      <c r="P221" s="2">
        <v>8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1</v>
      </c>
      <c r="X221" s="2">
        <v>1</v>
      </c>
      <c r="Y221" s="2">
        <v>0</v>
      </c>
      <c r="Z221" s="2">
        <v>1</v>
      </c>
      <c r="AA221" s="2">
        <v>0</v>
      </c>
      <c r="AB221" s="2">
        <v>1</v>
      </c>
      <c r="AC221" s="2">
        <v>0</v>
      </c>
      <c r="AD221" s="2">
        <v>0</v>
      </c>
      <c r="AE221" s="2">
        <v>0</v>
      </c>
      <c r="AF221" s="2">
        <v>0</v>
      </c>
      <c r="AG221" s="2">
        <v>1</v>
      </c>
      <c r="AH221" s="2">
        <v>0</v>
      </c>
      <c r="AI221" s="2">
        <v>0</v>
      </c>
      <c r="AJ221" s="2">
        <v>2</v>
      </c>
      <c r="AK221" s="2">
        <v>0</v>
      </c>
      <c r="AL221" s="2">
        <v>0</v>
      </c>
      <c r="AM221" s="2">
        <v>1</v>
      </c>
      <c r="AN221" s="2">
        <v>0</v>
      </c>
      <c r="AO221" s="2">
        <v>0</v>
      </c>
      <c r="AP221" s="2">
        <v>0</v>
      </c>
      <c r="AQ221" s="2">
        <v>0</v>
      </c>
      <c r="AR221" s="2">
        <v>1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1</v>
      </c>
      <c r="CA221" s="2">
        <v>0</v>
      </c>
      <c r="CB221" s="2">
        <v>0</v>
      </c>
      <c r="CC221" s="2">
        <v>0</v>
      </c>
      <c r="CD221" s="2">
        <v>1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>
        <v>0</v>
      </c>
      <c r="DC221" s="2">
        <v>0</v>
      </c>
      <c r="DD221" s="2">
        <v>0</v>
      </c>
      <c r="DE221" s="2">
        <v>0</v>
      </c>
      <c r="DF221" s="2">
        <v>0</v>
      </c>
      <c r="DG221" s="2">
        <v>0</v>
      </c>
      <c r="DH221" s="2">
        <v>0</v>
      </c>
      <c r="DI221" s="2">
        <v>1</v>
      </c>
      <c r="DJ221" s="2">
        <v>0</v>
      </c>
      <c r="DK221" s="2">
        <v>0</v>
      </c>
      <c r="DL221" s="2">
        <v>0</v>
      </c>
      <c r="DM221" s="2">
        <v>0</v>
      </c>
      <c r="DN221" s="2">
        <v>0</v>
      </c>
      <c r="DO221" s="2">
        <v>0</v>
      </c>
      <c r="DP221" s="2">
        <v>0</v>
      </c>
      <c r="DQ221" s="2">
        <v>0</v>
      </c>
      <c r="DR221" s="2">
        <v>0</v>
      </c>
      <c r="DS221" s="2">
        <v>0</v>
      </c>
    </row>
    <row r="222" spans="1:123">
      <c r="A222" s="2" t="s">
        <v>4</v>
      </c>
      <c r="B222" s="2" t="s">
        <v>425</v>
      </c>
      <c r="C222" s="2">
        <v>136</v>
      </c>
      <c r="D222" s="2">
        <v>16</v>
      </c>
      <c r="E222" s="2">
        <v>2.27</v>
      </c>
      <c r="F222" s="2">
        <v>8.5</v>
      </c>
      <c r="G222" s="2" t="s">
        <v>210</v>
      </c>
      <c r="H222">
        <f>IF(AND(OR(لوحة_القيادة!$C$4="الكل", A222=لوحة_القيادة!$C$4), IF(لوحة_القيادة!$C$5="الكل", TRUE, INDEX($V222:$AG222, 1, VALUE(لوحة_القيادة!$C$5))&gt;0)), 1, 0)</f>
        <v>0</v>
      </c>
      <c r="I222">
        <f>IF(H222=1, SUM($H$2:H222), "")</f>
        <v>0</v>
      </c>
      <c r="J222" s="2">
        <v>23</v>
      </c>
      <c r="K222" s="2">
        <v>4</v>
      </c>
      <c r="L222" s="2">
        <v>53</v>
      </c>
      <c r="M222" s="2">
        <v>27</v>
      </c>
      <c r="N222" s="2">
        <v>29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4</v>
      </c>
      <c r="W222" s="2">
        <v>2</v>
      </c>
      <c r="X222" s="2">
        <v>2</v>
      </c>
      <c r="Y222" s="2">
        <v>2</v>
      </c>
      <c r="Z222" s="2">
        <v>6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4</v>
      </c>
      <c r="AH222" s="2">
        <v>5</v>
      </c>
      <c r="AI222" s="2">
        <v>1</v>
      </c>
      <c r="AJ222" s="2">
        <v>2</v>
      </c>
      <c r="AK222" s="2">
        <v>0</v>
      </c>
      <c r="AL222" s="2">
        <v>0</v>
      </c>
      <c r="AM222" s="2">
        <v>4</v>
      </c>
      <c r="AN222" s="2">
        <v>2</v>
      </c>
      <c r="AO222" s="2">
        <v>0</v>
      </c>
      <c r="AP222" s="2">
        <v>0</v>
      </c>
      <c r="AQ222" s="2">
        <v>0</v>
      </c>
      <c r="AR222" s="2">
        <v>2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1</v>
      </c>
      <c r="BA222" s="2">
        <v>0</v>
      </c>
      <c r="BB222" s="2">
        <v>2</v>
      </c>
      <c r="BC222" s="2">
        <v>0</v>
      </c>
      <c r="BD222" s="2">
        <v>2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1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1</v>
      </c>
      <c r="BZ222" s="2">
        <v>0</v>
      </c>
      <c r="CA222" s="2">
        <v>1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 s="2">
        <v>0</v>
      </c>
      <c r="DC222" s="2">
        <v>0</v>
      </c>
      <c r="DD222" s="2">
        <v>0</v>
      </c>
      <c r="DE222" s="2">
        <v>0</v>
      </c>
      <c r="DF222" s="2">
        <v>0</v>
      </c>
      <c r="DG222" s="2">
        <v>0</v>
      </c>
      <c r="DH222" s="2">
        <v>1</v>
      </c>
      <c r="DI222" s="2">
        <v>0</v>
      </c>
      <c r="DJ222" s="2">
        <v>0</v>
      </c>
      <c r="DK222" s="2">
        <v>1</v>
      </c>
      <c r="DL222" s="2">
        <v>2</v>
      </c>
      <c r="DM222" s="2">
        <v>0</v>
      </c>
      <c r="DN222" s="2">
        <v>0</v>
      </c>
      <c r="DO222" s="2">
        <v>0</v>
      </c>
      <c r="DP222" s="2">
        <v>0</v>
      </c>
      <c r="DQ222" s="2">
        <v>0</v>
      </c>
      <c r="DR222" s="2">
        <v>0</v>
      </c>
      <c r="DS222" s="2">
        <v>0</v>
      </c>
    </row>
    <row r="223" spans="1:123">
      <c r="A223" s="2" t="s">
        <v>18</v>
      </c>
      <c r="B223" s="2" t="s">
        <v>426</v>
      </c>
      <c r="C223" s="2">
        <v>133</v>
      </c>
      <c r="D223" s="2">
        <v>2</v>
      </c>
      <c r="E223" s="2">
        <v>2.22</v>
      </c>
      <c r="F223" s="2">
        <v>66.5</v>
      </c>
      <c r="G223" s="2" t="s">
        <v>427</v>
      </c>
      <c r="H223">
        <f>IF(AND(OR(لوحة_القيادة!$C$4="الكل", A223=لوحة_القيادة!$C$4), IF(لوحة_القيادة!$C$5="الكل", TRUE, INDEX($V223:$AG223, 1, VALUE(لوحة_القيادة!$C$5))&gt;0)), 1, 0)</f>
        <v>0</v>
      </c>
      <c r="I223">
        <f>IF(H223=1, SUM($H$2:H223), "")</f>
        <v>0</v>
      </c>
      <c r="J223" s="2">
        <v>0</v>
      </c>
      <c r="K223" s="2">
        <v>100</v>
      </c>
      <c r="L223" s="2">
        <v>0</v>
      </c>
      <c r="M223" s="2">
        <v>33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1</v>
      </c>
      <c r="X223" s="2">
        <v>0</v>
      </c>
      <c r="Y223" s="2">
        <v>1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2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1</v>
      </c>
      <c r="AP223" s="2">
        <v>0</v>
      </c>
      <c r="AQ223" s="2">
        <v>1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>
        <v>0</v>
      </c>
      <c r="DC223" s="2">
        <v>0</v>
      </c>
      <c r="DD223" s="2">
        <v>0</v>
      </c>
      <c r="DE223" s="2">
        <v>0</v>
      </c>
      <c r="DF223" s="2">
        <v>0</v>
      </c>
      <c r="DG223" s="2">
        <v>0</v>
      </c>
      <c r="DH223" s="2">
        <v>0</v>
      </c>
      <c r="DI223" s="2">
        <v>0</v>
      </c>
      <c r="DJ223" s="2">
        <v>0</v>
      </c>
      <c r="DK223" s="2">
        <v>0</v>
      </c>
      <c r="DL223" s="2">
        <v>0</v>
      </c>
      <c r="DM223" s="2">
        <v>0</v>
      </c>
      <c r="DN223" s="2">
        <v>0</v>
      </c>
      <c r="DO223" s="2">
        <v>0</v>
      </c>
      <c r="DP223" s="2">
        <v>0</v>
      </c>
      <c r="DQ223" s="2">
        <v>0</v>
      </c>
      <c r="DR223" s="2">
        <v>0</v>
      </c>
      <c r="DS223" s="2">
        <v>0</v>
      </c>
    </row>
    <row r="224" spans="1:123">
      <c r="A224" s="2" t="s">
        <v>18</v>
      </c>
      <c r="B224" s="2" t="s">
        <v>428</v>
      </c>
      <c r="C224" s="2">
        <v>132</v>
      </c>
      <c r="D224" s="2">
        <v>8</v>
      </c>
      <c r="E224" s="2">
        <v>2.2</v>
      </c>
      <c r="F224" s="2">
        <v>16.5</v>
      </c>
      <c r="G224" s="2" t="s">
        <v>429</v>
      </c>
      <c r="H224">
        <f>IF(AND(OR(لوحة_القيادة!$C$4="الكل", A224=لوحة_القيادة!$C$4), IF(لوحة_القيادة!$C$5="الكل", TRUE, INDEX($V224:$AG224, 1, VALUE(لوحة_القيادة!$C$5))&gt;0)), 1, 0)</f>
        <v>0</v>
      </c>
      <c r="I224">
        <f>IF(H224=1, SUM($H$2:H224), "")</f>
        <v>0</v>
      </c>
      <c r="J224" s="2">
        <v>22</v>
      </c>
      <c r="K224" s="2">
        <v>30</v>
      </c>
      <c r="L224" s="2">
        <v>31</v>
      </c>
      <c r="M224" s="2">
        <v>0</v>
      </c>
      <c r="N224" s="2">
        <v>27</v>
      </c>
      <c r="O224" s="2">
        <v>22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2</v>
      </c>
      <c r="W224" s="2">
        <v>2</v>
      </c>
      <c r="X224" s="2">
        <v>1</v>
      </c>
      <c r="Y224" s="2">
        <v>0</v>
      </c>
      <c r="Z224" s="2">
        <v>2</v>
      </c>
      <c r="AA224" s="2">
        <v>1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3</v>
      </c>
      <c r="AH224" s="2">
        <v>2</v>
      </c>
      <c r="AI224" s="2">
        <v>1</v>
      </c>
      <c r="AJ224" s="2">
        <v>2</v>
      </c>
      <c r="AK224" s="2">
        <v>0</v>
      </c>
      <c r="AL224" s="2">
        <v>0</v>
      </c>
      <c r="AM224" s="2">
        <v>0</v>
      </c>
      <c r="AN224" s="2">
        <v>1</v>
      </c>
      <c r="AO224" s="2">
        <v>1</v>
      </c>
      <c r="AP224" s="2">
        <v>0</v>
      </c>
      <c r="AQ224" s="2">
        <v>0</v>
      </c>
      <c r="AR224" s="2">
        <v>1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1</v>
      </c>
      <c r="BB224" s="2">
        <v>0</v>
      </c>
      <c r="BC224" s="2">
        <v>0</v>
      </c>
      <c r="BD224" s="2">
        <v>1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1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1</v>
      </c>
      <c r="BY224" s="2">
        <v>0</v>
      </c>
      <c r="BZ224" s="2">
        <v>1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0</v>
      </c>
      <c r="DB224" s="2">
        <v>0</v>
      </c>
      <c r="DC224" s="2">
        <v>0</v>
      </c>
      <c r="DD224" s="2">
        <v>0</v>
      </c>
      <c r="DE224" s="2">
        <v>0</v>
      </c>
      <c r="DF224" s="2">
        <v>0</v>
      </c>
      <c r="DG224" s="2">
        <v>0</v>
      </c>
      <c r="DH224" s="2">
        <v>0</v>
      </c>
      <c r="DI224" s="2">
        <v>0</v>
      </c>
      <c r="DJ224" s="2">
        <v>0</v>
      </c>
      <c r="DK224" s="2">
        <v>0</v>
      </c>
      <c r="DL224" s="2">
        <v>0</v>
      </c>
      <c r="DM224" s="2">
        <v>0</v>
      </c>
      <c r="DN224" s="2">
        <v>0</v>
      </c>
      <c r="DO224" s="2">
        <v>0</v>
      </c>
      <c r="DP224" s="2">
        <v>0</v>
      </c>
      <c r="DQ224" s="2">
        <v>0</v>
      </c>
      <c r="DR224" s="2">
        <v>0</v>
      </c>
      <c r="DS224" s="2">
        <v>0</v>
      </c>
    </row>
    <row r="225" spans="1:123">
      <c r="A225" s="2" t="s">
        <v>10</v>
      </c>
      <c r="B225" s="2" t="s">
        <v>430</v>
      </c>
      <c r="C225" s="2">
        <v>131</v>
      </c>
      <c r="D225" s="2">
        <v>3</v>
      </c>
      <c r="E225" s="2">
        <v>2.18</v>
      </c>
      <c r="F225" s="2">
        <v>43.67</v>
      </c>
      <c r="G225" s="2" t="s">
        <v>431</v>
      </c>
      <c r="H225">
        <f>IF(AND(OR(لوحة_القيادة!$C$4="الكل", A225=لوحة_القيادة!$C$4), IF(لوحة_القيادة!$C$5="الكل", TRUE, INDEX($V225:$AG225, 1, VALUE(لوحة_القيادة!$C$5))&gt;0)), 1, 0)</f>
        <v>0</v>
      </c>
      <c r="I225">
        <f>IF(H225=1, SUM($H$2:H225), "")</f>
        <v>0</v>
      </c>
      <c r="J225" s="2">
        <v>0</v>
      </c>
      <c r="K225" s="2">
        <v>0</v>
      </c>
      <c r="L225" s="2">
        <v>89</v>
      </c>
      <c r="M225" s="2">
        <v>0</v>
      </c>
      <c r="N225" s="2">
        <v>42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2</v>
      </c>
      <c r="Y225" s="2">
        <v>0</v>
      </c>
      <c r="Z225" s="2">
        <v>1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1</v>
      </c>
      <c r="AI225" s="2">
        <v>1</v>
      </c>
      <c r="AJ225" s="2">
        <v>0</v>
      </c>
      <c r="AK225" s="2">
        <v>0</v>
      </c>
      <c r="AL225" s="2">
        <v>0</v>
      </c>
      <c r="AM225" s="2">
        <v>1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1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1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0</v>
      </c>
      <c r="CX225" s="2">
        <v>0</v>
      </c>
      <c r="CY225" s="2">
        <v>0</v>
      </c>
      <c r="CZ225" s="2">
        <v>0</v>
      </c>
      <c r="DA225" s="2">
        <v>0</v>
      </c>
      <c r="DB225" s="2">
        <v>0</v>
      </c>
      <c r="DC225" s="2">
        <v>0</v>
      </c>
      <c r="DD225" s="2">
        <v>0</v>
      </c>
      <c r="DE225" s="2">
        <v>0</v>
      </c>
      <c r="DF225" s="2">
        <v>0</v>
      </c>
      <c r="DG225" s="2">
        <v>0</v>
      </c>
      <c r="DH225" s="2">
        <v>0</v>
      </c>
      <c r="DI225" s="2">
        <v>0</v>
      </c>
      <c r="DJ225" s="2">
        <v>1</v>
      </c>
      <c r="DK225" s="2">
        <v>0</v>
      </c>
      <c r="DL225" s="2">
        <v>0</v>
      </c>
      <c r="DM225" s="2">
        <v>0</v>
      </c>
      <c r="DN225" s="2">
        <v>0</v>
      </c>
      <c r="DO225" s="2">
        <v>0</v>
      </c>
      <c r="DP225" s="2">
        <v>0</v>
      </c>
      <c r="DQ225" s="2">
        <v>0</v>
      </c>
      <c r="DR225" s="2">
        <v>0</v>
      </c>
      <c r="DS225" s="2">
        <v>0</v>
      </c>
    </row>
    <row r="226" spans="1:123">
      <c r="A226" s="2" t="s">
        <v>13</v>
      </c>
      <c r="B226" s="2" t="s">
        <v>432</v>
      </c>
      <c r="C226" s="2">
        <v>129</v>
      </c>
      <c r="D226" s="2">
        <v>9</v>
      </c>
      <c r="E226" s="2">
        <v>2.15</v>
      </c>
      <c r="F226" s="2">
        <v>14.33</v>
      </c>
      <c r="G226" s="2" t="s">
        <v>249</v>
      </c>
      <c r="H226">
        <f>IF(AND(OR(لوحة_القيادة!$C$4="الكل", A226=لوحة_القيادة!$C$4), IF(لوحة_القيادة!$C$5="الكل", TRUE, INDEX($V226:$AG226, 1, VALUE(لوحة_القيادة!$C$5))&gt;0)), 1, 0)</f>
        <v>0</v>
      </c>
      <c r="I226">
        <f>IF(H226=1, SUM($H$2:H226), "")</f>
        <v>0</v>
      </c>
      <c r="J226" s="2">
        <v>55</v>
      </c>
      <c r="K226" s="2">
        <v>1</v>
      </c>
      <c r="L226" s="2">
        <v>5</v>
      </c>
      <c r="M226" s="2">
        <v>15</v>
      </c>
      <c r="N226" s="2">
        <v>0</v>
      </c>
      <c r="O226" s="2">
        <v>53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2</v>
      </c>
      <c r="W226" s="2">
        <v>1</v>
      </c>
      <c r="X226" s="2">
        <v>2</v>
      </c>
      <c r="Y226" s="2">
        <v>1</v>
      </c>
      <c r="Z226" s="2">
        <v>0</v>
      </c>
      <c r="AA226" s="2">
        <v>3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2</v>
      </c>
      <c r="AH226" s="2">
        <v>2</v>
      </c>
      <c r="AI226" s="2">
        <v>2</v>
      </c>
      <c r="AJ226" s="2">
        <v>2</v>
      </c>
      <c r="AK226" s="2">
        <v>0</v>
      </c>
      <c r="AL226" s="2">
        <v>0</v>
      </c>
      <c r="AM226" s="2">
        <v>1</v>
      </c>
      <c r="AN226" s="2">
        <v>0</v>
      </c>
      <c r="AO226" s="2">
        <v>0</v>
      </c>
      <c r="AP226" s="2">
        <v>1</v>
      </c>
      <c r="AQ226" s="2">
        <v>0</v>
      </c>
      <c r="AR226" s="2">
        <v>0</v>
      </c>
      <c r="AS226" s="2">
        <v>1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1</v>
      </c>
      <c r="BD226" s="2">
        <v>0</v>
      </c>
      <c r="BE226" s="2">
        <v>1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1</v>
      </c>
      <c r="BM226" s="2">
        <v>0</v>
      </c>
      <c r="BN226" s="2">
        <v>0</v>
      </c>
      <c r="BO226" s="2">
        <v>0</v>
      </c>
      <c r="BP226" s="2">
        <v>0</v>
      </c>
      <c r="BQ226" s="2">
        <v>1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1</v>
      </c>
      <c r="BY226" s="2">
        <v>0</v>
      </c>
      <c r="BZ226" s="2">
        <v>1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0</v>
      </c>
      <c r="DB226" s="2">
        <v>0</v>
      </c>
      <c r="DC226" s="2">
        <v>0</v>
      </c>
      <c r="DD226" s="2">
        <v>0</v>
      </c>
      <c r="DE226" s="2">
        <v>0</v>
      </c>
      <c r="DF226" s="2">
        <v>0</v>
      </c>
      <c r="DG226" s="2">
        <v>0</v>
      </c>
      <c r="DH226" s="2">
        <v>0</v>
      </c>
      <c r="DI226" s="2">
        <v>1</v>
      </c>
      <c r="DJ226" s="2">
        <v>0</v>
      </c>
      <c r="DK226" s="2">
        <v>0</v>
      </c>
      <c r="DL226" s="2">
        <v>0</v>
      </c>
      <c r="DM226" s="2">
        <v>0</v>
      </c>
      <c r="DN226" s="2">
        <v>0</v>
      </c>
      <c r="DO226" s="2">
        <v>0</v>
      </c>
      <c r="DP226" s="2">
        <v>0</v>
      </c>
      <c r="DQ226" s="2">
        <v>0</v>
      </c>
      <c r="DR226" s="2">
        <v>0</v>
      </c>
      <c r="DS226" s="2">
        <v>0</v>
      </c>
    </row>
    <row r="227" spans="1:123">
      <c r="A227" s="2" t="s">
        <v>14</v>
      </c>
      <c r="B227" s="2" t="s">
        <v>433</v>
      </c>
      <c r="C227" s="2">
        <v>125</v>
      </c>
      <c r="D227" s="2">
        <v>3</v>
      </c>
      <c r="E227" s="2">
        <v>2.08</v>
      </c>
      <c r="F227" s="2">
        <v>41.67</v>
      </c>
      <c r="G227" s="2" t="s">
        <v>434</v>
      </c>
      <c r="H227">
        <f>IF(AND(OR(لوحة_القيادة!$C$4="الكل", A227=لوحة_القيادة!$C$4), IF(لوحة_القيادة!$C$5="الكل", TRUE, INDEX($V227:$AG227, 1, VALUE(لوحة_القيادة!$C$5))&gt;0)), 1, 0)</f>
        <v>0</v>
      </c>
      <c r="I227">
        <f>IF(H227=1, SUM($H$2:H227), "")</f>
        <v>0</v>
      </c>
      <c r="J227" s="2">
        <v>0</v>
      </c>
      <c r="K227" s="2">
        <v>0</v>
      </c>
      <c r="L227" s="2">
        <v>59</v>
      </c>
      <c r="M227" s="2">
        <v>0</v>
      </c>
      <c r="N227" s="2">
        <v>0</v>
      </c>
      <c r="O227" s="2">
        <v>66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2</v>
      </c>
      <c r="Y227" s="2">
        <v>0</v>
      </c>
      <c r="Z227" s="2">
        <v>0</v>
      </c>
      <c r="AA227" s="2">
        <v>1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2</v>
      </c>
      <c r="AI227" s="2">
        <v>0</v>
      </c>
      <c r="AJ227" s="2">
        <v>0</v>
      </c>
      <c r="AK227" s="2">
        <v>0</v>
      </c>
      <c r="AL227" s="2">
        <v>0</v>
      </c>
      <c r="AM227" s="2">
        <v>1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2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0</v>
      </c>
      <c r="DB227" s="2">
        <v>0</v>
      </c>
      <c r="DC227" s="2">
        <v>0</v>
      </c>
      <c r="DD227" s="2">
        <v>0</v>
      </c>
      <c r="DE227" s="2">
        <v>0</v>
      </c>
      <c r="DF227" s="2">
        <v>0</v>
      </c>
      <c r="DG227" s="2">
        <v>0</v>
      </c>
      <c r="DH227" s="2">
        <v>0</v>
      </c>
      <c r="DI227" s="2">
        <v>0</v>
      </c>
      <c r="DJ227" s="2">
        <v>0</v>
      </c>
      <c r="DK227" s="2">
        <v>0</v>
      </c>
      <c r="DL227" s="2">
        <v>0</v>
      </c>
      <c r="DM227" s="2">
        <v>1</v>
      </c>
      <c r="DN227" s="2">
        <v>0</v>
      </c>
      <c r="DO227" s="2">
        <v>0</v>
      </c>
      <c r="DP227" s="2">
        <v>0</v>
      </c>
      <c r="DQ227" s="2">
        <v>0</v>
      </c>
      <c r="DR227" s="2">
        <v>0</v>
      </c>
      <c r="DS227" s="2">
        <v>0</v>
      </c>
    </row>
    <row r="228" spans="1:123">
      <c r="A228" s="2" t="s">
        <v>17</v>
      </c>
      <c r="B228" s="2" t="s">
        <v>435</v>
      </c>
      <c r="C228" s="2">
        <v>125</v>
      </c>
      <c r="D228" s="2">
        <v>5</v>
      </c>
      <c r="E228" s="2">
        <v>2.08</v>
      </c>
      <c r="F228" s="2">
        <v>25</v>
      </c>
      <c r="G228" s="2" t="s">
        <v>436</v>
      </c>
      <c r="H228">
        <f>IF(AND(OR(لوحة_القيادة!$C$4="الكل", A228=لوحة_القيادة!$C$4), IF(لوحة_القيادة!$C$5="الكل", TRUE, INDEX($V228:$AG228, 1, VALUE(لوحة_القيادة!$C$5))&gt;0)), 1, 0)</f>
        <v>0</v>
      </c>
      <c r="I228">
        <f>IF(H228=1, SUM($H$2:H228), "")</f>
        <v>0</v>
      </c>
      <c r="J228" s="2">
        <v>0</v>
      </c>
      <c r="K228" s="2">
        <v>1</v>
      </c>
      <c r="L228" s="2">
        <v>67</v>
      </c>
      <c r="M228" s="2">
        <v>24</v>
      </c>
      <c r="N228" s="2">
        <v>0</v>
      </c>
      <c r="O228" s="2">
        <v>33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1</v>
      </c>
      <c r="X228" s="2">
        <v>2</v>
      </c>
      <c r="Y228" s="2">
        <v>1</v>
      </c>
      <c r="Z228" s="2">
        <v>0</v>
      </c>
      <c r="AA228" s="2">
        <v>1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1</v>
      </c>
      <c r="AH228" s="2">
        <v>3</v>
      </c>
      <c r="AI228" s="2">
        <v>0</v>
      </c>
      <c r="AJ228" s="2">
        <v>0</v>
      </c>
      <c r="AK228" s="2">
        <v>0</v>
      </c>
      <c r="AL228" s="2">
        <v>0</v>
      </c>
      <c r="AM228" s="2">
        <v>1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1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1</v>
      </c>
      <c r="BB228" s="2">
        <v>2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0</v>
      </c>
      <c r="CW228" s="2">
        <v>0</v>
      </c>
      <c r="CX228" s="2">
        <v>0</v>
      </c>
      <c r="CY228" s="2">
        <v>0</v>
      </c>
      <c r="CZ228" s="2">
        <v>0</v>
      </c>
      <c r="DA228" s="2">
        <v>0</v>
      </c>
      <c r="DB228" s="2">
        <v>0</v>
      </c>
      <c r="DC228" s="2">
        <v>0</v>
      </c>
      <c r="DD228" s="2">
        <v>0</v>
      </c>
      <c r="DE228" s="2">
        <v>0</v>
      </c>
      <c r="DF228" s="2">
        <v>0</v>
      </c>
      <c r="DG228" s="2">
        <v>0</v>
      </c>
      <c r="DH228" s="2">
        <v>0</v>
      </c>
      <c r="DI228" s="2">
        <v>0</v>
      </c>
      <c r="DJ228" s="2">
        <v>0</v>
      </c>
      <c r="DK228" s="2">
        <v>1</v>
      </c>
      <c r="DL228" s="2">
        <v>0</v>
      </c>
      <c r="DM228" s="2">
        <v>0</v>
      </c>
      <c r="DN228" s="2">
        <v>0</v>
      </c>
      <c r="DO228" s="2">
        <v>0</v>
      </c>
      <c r="DP228" s="2">
        <v>0</v>
      </c>
      <c r="DQ228" s="2">
        <v>0</v>
      </c>
      <c r="DR228" s="2">
        <v>0</v>
      </c>
      <c r="DS228" s="2">
        <v>0</v>
      </c>
    </row>
    <row r="229" spans="1:123">
      <c r="A229" s="2" t="s">
        <v>11</v>
      </c>
      <c r="B229" s="2" t="s">
        <v>437</v>
      </c>
      <c r="C229" s="2">
        <v>124</v>
      </c>
      <c r="D229" s="2">
        <v>4</v>
      </c>
      <c r="E229" s="2">
        <v>2.07</v>
      </c>
      <c r="F229" s="2">
        <v>31</v>
      </c>
      <c r="G229" s="2" t="s">
        <v>438</v>
      </c>
      <c r="H229">
        <f>IF(AND(OR(لوحة_القيادة!$C$4="الكل", A229=لوحة_القيادة!$C$4), IF(لوحة_القيادة!$C$5="الكل", TRUE, INDEX($V229:$AG229, 1, VALUE(لوحة_القيادة!$C$5))&gt;0)), 1, 0)</f>
        <v>0</v>
      </c>
      <c r="I229">
        <f>IF(H229=1, SUM($H$2:H229), "")</f>
        <v>0</v>
      </c>
      <c r="J229" s="2">
        <v>0</v>
      </c>
      <c r="K229" s="2">
        <v>122</v>
      </c>
      <c r="L229" s="2">
        <v>0</v>
      </c>
      <c r="M229" s="2">
        <v>0</v>
      </c>
      <c r="N229" s="2">
        <v>2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3</v>
      </c>
      <c r="X229" s="2">
        <v>0</v>
      </c>
      <c r="Y229" s="2">
        <v>0</v>
      </c>
      <c r="Z229" s="2">
        <v>1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1</v>
      </c>
      <c r="AI229" s="2">
        <v>0</v>
      </c>
      <c r="AJ229" s="2">
        <v>0</v>
      </c>
      <c r="AK229" s="2">
        <v>1</v>
      </c>
      <c r="AL229" s="2">
        <v>1</v>
      </c>
      <c r="AM229" s="2">
        <v>1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1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1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1</v>
      </c>
      <c r="CX229" s="2">
        <v>0</v>
      </c>
      <c r="CY229" s="2">
        <v>0</v>
      </c>
      <c r="CZ229" s="2">
        <v>0</v>
      </c>
      <c r="DA229" s="2">
        <v>0</v>
      </c>
      <c r="DB229" s="2">
        <v>0</v>
      </c>
      <c r="DC229" s="2">
        <v>0</v>
      </c>
      <c r="DD229" s="2">
        <v>0</v>
      </c>
      <c r="DE229" s="2">
        <v>0</v>
      </c>
      <c r="DF229" s="2">
        <v>0</v>
      </c>
      <c r="DG229" s="2">
        <v>0</v>
      </c>
      <c r="DH229" s="2">
        <v>0</v>
      </c>
      <c r="DI229" s="2">
        <v>1</v>
      </c>
      <c r="DJ229" s="2">
        <v>0</v>
      </c>
      <c r="DK229" s="2">
        <v>0</v>
      </c>
      <c r="DL229" s="2">
        <v>0</v>
      </c>
      <c r="DM229" s="2">
        <v>0</v>
      </c>
      <c r="DN229" s="2">
        <v>0</v>
      </c>
      <c r="DO229" s="2">
        <v>0</v>
      </c>
      <c r="DP229" s="2">
        <v>0</v>
      </c>
      <c r="DQ229" s="2">
        <v>0</v>
      </c>
      <c r="DR229" s="2">
        <v>0</v>
      </c>
      <c r="DS229" s="2">
        <v>0</v>
      </c>
    </row>
    <row r="230" spans="1:123">
      <c r="A230" s="2" t="s">
        <v>11</v>
      </c>
      <c r="B230" s="2" t="s">
        <v>439</v>
      </c>
      <c r="C230" s="2">
        <v>123</v>
      </c>
      <c r="D230" s="2">
        <v>5</v>
      </c>
      <c r="E230" s="2">
        <v>2.05</v>
      </c>
      <c r="F230" s="2">
        <v>24.6</v>
      </c>
      <c r="G230" s="2" t="s">
        <v>440</v>
      </c>
      <c r="H230">
        <f>IF(AND(OR(لوحة_القيادة!$C$4="الكل", A230=لوحة_القيادة!$C$4), IF(لوحة_القيادة!$C$5="الكل", TRUE, INDEX($V230:$AG230, 1, VALUE(لوحة_القيادة!$C$5))&gt;0)), 1, 0)</f>
        <v>0</v>
      </c>
      <c r="I230">
        <f>IF(H230=1, SUM($H$2:H230), "")</f>
        <v>0</v>
      </c>
      <c r="J230" s="2">
        <v>43</v>
      </c>
      <c r="K230" s="2">
        <v>76</v>
      </c>
      <c r="L230" s="2">
        <v>0</v>
      </c>
      <c r="M230" s="2">
        <v>4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3</v>
      </c>
      <c r="W230" s="2">
        <v>1</v>
      </c>
      <c r="X230" s="2">
        <v>0</v>
      </c>
      <c r="Y230" s="2">
        <v>1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1</v>
      </c>
      <c r="AI230" s="2">
        <v>1</v>
      </c>
      <c r="AJ230" s="2">
        <v>0</v>
      </c>
      <c r="AK230" s="2">
        <v>1</v>
      </c>
      <c r="AL230" s="2">
        <v>0</v>
      </c>
      <c r="AM230" s="2">
        <v>2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1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1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1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0</v>
      </c>
      <c r="CX230" s="2">
        <v>0</v>
      </c>
      <c r="CY230" s="2">
        <v>0</v>
      </c>
      <c r="CZ230" s="2">
        <v>0</v>
      </c>
      <c r="DA230" s="2">
        <v>0</v>
      </c>
      <c r="DB230" s="2">
        <v>0</v>
      </c>
      <c r="DC230" s="2">
        <v>0</v>
      </c>
      <c r="DD230" s="2">
        <v>0</v>
      </c>
      <c r="DE230" s="2">
        <v>0</v>
      </c>
      <c r="DF230" s="2">
        <v>0</v>
      </c>
      <c r="DG230" s="2">
        <v>0</v>
      </c>
      <c r="DH230" s="2">
        <v>1</v>
      </c>
      <c r="DI230" s="2">
        <v>1</v>
      </c>
      <c r="DJ230" s="2">
        <v>0</v>
      </c>
      <c r="DK230" s="2">
        <v>0</v>
      </c>
      <c r="DL230" s="2">
        <v>0</v>
      </c>
      <c r="DM230" s="2">
        <v>0</v>
      </c>
      <c r="DN230" s="2">
        <v>0</v>
      </c>
      <c r="DO230" s="2">
        <v>0</v>
      </c>
      <c r="DP230" s="2">
        <v>0</v>
      </c>
      <c r="DQ230" s="2">
        <v>0</v>
      </c>
      <c r="DR230" s="2">
        <v>0</v>
      </c>
      <c r="DS230" s="2">
        <v>0</v>
      </c>
    </row>
    <row r="231" spans="1:123">
      <c r="A231" s="2" t="s">
        <v>10</v>
      </c>
      <c r="B231" s="2" t="s">
        <v>441</v>
      </c>
      <c r="C231" s="2">
        <v>122</v>
      </c>
      <c r="D231" s="2">
        <v>25</v>
      </c>
      <c r="E231" s="2">
        <v>2.03</v>
      </c>
      <c r="F231" s="2">
        <v>4.88</v>
      </c>
      <c r="G231" s="2" t="s">
        <v>189</v>
      </c>
      <c r="H231">
        <f>IF(AND(OR(لوحة_القيادة!$C$4="الكل", A231=لوحة_القيادة!$C$4), IF(لوحة_القيادة!$C$5="الكل", TRUE, INDEX($V231:$AG231, 1, VALUE(لوحة_القيادة!$C$5))&gt;0)), 1, 0)</f>
        <v>0</v>
      </c>
      <c r="I231">
        <f>IF(H231=1, SUM($H$2:H231), "")</f>
        <v>0</v>
      </c>
      <c r="J231" s="2">
        <v>2</v>
      </c>
      <c r="K231" s="2">
        <v>4</v>
      </c>
      <c r="L231" s="2">
        <v>21</v>
      </c>
      <c r="M231" s="2">
        <v>9</v>
      </c>
      <c r="N231" s="2">
        <v>0</v>
      </c>
      <c r="O231" s="2">
        <v>83</v>
      </c>
      <c r="P231" s="2">
        <v>3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1</v>
      </c>
      <c r="W231" s="2">
        <v>2</v>
      </c>
      <c r="X231" s="2">
        <v>8</v>
      </c>
      <c r="Y231" s="2">
        <v>3</v>
      </c>
      <c r="Z231" s="2">
        <v>0</v>
      </c>
      <c r="AA231" s="2">
        <v>9</v>
      </c>
      <c r="AB231" s="2">
        <v>2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7</v>
      </c>
      <c r="AI231" s="2">
        <v>8</v>
      </c>
      <c r="AJ231" s="2">
        <v>4</v>
      </c>
      <c r="AK231" s="2">
        <v>0</v>
      </c>
      <c r="AL231" s="2">
        <v>0</v>
      </c>
      <c r="AM231" s="2">
        <v>6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2</v>
      </c>
      <c r="BC231" s="2">
        <v>0</v>
      </c>
      <c r="BD231" s="2">
        <v>0</v>
      </c>
      <c r="BE231" s="2">
        <v>5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2</v>
      </c>
      <c r="BN231" s="2">
        <v>3</v>
      </c>
      <c r="BO231" s="2">
        <v>1</v>
      </c>
      <c r="BP231" s="2">
        <v>0</v>
      </c>
      <c r="BQ231" s="2">
        <v>1</v>
      </c>
      <c r="BR231" s="2">
        <v>1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1</v>
      </c>
      <c r="CA231" s="2">
        <v>2</v>
      </c>
      <c r="CB231" s="2">
        <v>0</v>
      </c>
      <c r="CC231" s="2">
        <v>0</v>
      </c>
      <c r="CD231" s="2">
        <v>1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0</v>
      </c>
      <c r="DB231" s="2">
        <v>0</v>
      </c>
      <c r="DC231" s="2">
        <v>0</v>
      </c>
      <c r="DD231" s="2">
        <v>0</v>
      </c>
      <c r="DE231" s="2">
        <v>0</v>
      </c>
      <c r="DF231" s="2">
        <v>0</v>
      </c>
      <c r="DG231" s="2">
        <v>0</v>
      </c>
      <c r="DH231" s="2">
        <v>1</v>
      </c>
      <c r="DI231" s="2">
        <v>0</v>
      </c>
      <c r="DJ231" s="2">
        <v>2</v>
      </c>
      <c r="DK231" s="2">
        <v>0</v>
      </c>
      <c r="DL231" s="2">
        <v>0</v>
      </c>
      <c r="DM231" s="2">
        <v>3</v>
      </c>
      <c r="DN231" s="2">
        <v>0</v>
      </c>
      <c r="DO231" s="2">
        <v>0</v>
      </c>
      <c r="DP231" s="2">
        <v>0</v>
      </c>
      <c r="DQ231" s="2">
        <v>0</v>
      </c>
      <c r="DR231" s="2">
        <v>0</v>
      </c>
      <c r="DS231" s="2">
        <v>0</v>
      </c>
    </row>
    <row r="232" spans="1:123">
      <c r="A232" s="2" t="s">
        <v>17</v>
      </c>
      <c r="B232" s="2" t="s">
        <v>442</v>
      </c>
      <c r="C232" s="2">
        <v>121</v>
      </c>
      <c r="D232" s="2">
        <v>7</v>
      </c>
      <c r="E232" s="2">
        <v>2.02</v>
      </c>
      <c r="F232" s="2">
        <v>17.29</v>
      </c>
      <c r="G232" s="2" t="s">
        <v>408</v>
      </c>
      <c r="H232">
        <f>IF(AND(OR(لوحة_القيادة!$C$4="الكل", A232=لوحة_القيادة!$C$4), IF(لوحة_القيادة!$C$5="الكل", TRUE, INDEX($V232:$AG232, 1, VALUE(لوحة_القيادة!$C$5))&gt;0)), 1, 0)</f>
        <v>0</v>
      </c>
      <c r="I232">
        <f>IF(H232=1, SUM($H$2:H232), "")</f>
        <v>0</v>
      </c>
      <c r="J232" s="2">
        <v>0</v>
      </c>
      <c r="K232" s="2">
        <v>4</v>
      </c>
      <c r="L232" s="2">
        <v>0</v>
      </c>
      <c r="M232" s="2">
        <v>56</v>
      </c>
      <c r="N232" s="2">
        <v>53</v>
      </c>
      <c r="O232" s="2">
        <v>6</v>
      </c>
      <c r="P232" s="2">
        <v>2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1</v>
      </c>
      <c r="X232" s="2">
        <v>0</v>
      </c>
      <c r="Y232" s="2">
        <v>1</v>
      </c>
      <c r="Z232" s="2">
        <v>2</v>
      </c>
      <c r="AA232" s="2">
        <v>2</v>
      </c>
      <c r="AB232" s="2">
        <v>1</v>
      </c>
      <c r="AC232" s="2">
        <v>0</v>
      </c>
      <c r="AD232" s="2">
        <v>0</v>
      </c>
      <c r="AE232" s="2">
        <v>0</v>
      </c>
      <c r="AF232" s="2">
        <v>0</v>
      </c>
      <c r="AG232" s="2">
        <v>2</v>
      </c>
      <c r="AH232" s="2">
        <v>1</v>
      </c>
      <c r="AI232" s="2">
        <v>0</v>
      </c>
      <c r="AJ232" s="2">
        <v>3</v>
      </c>
      <c r="AK232" s="2">
        <v>0</v>
      </c>
      <c r="AL232" s="2">
        <v>0</v>
      </c>
      <c r="AM232" s="2">
        <v>1</v>
      </c>
      <c r="AN232" s="2">
        <v>0</v>
      </c>
      <c r="AO232" s="2">
        <v>0</v>
      </c>
      <c r="AP232" s="2">
        <v>0</v>
      </c>
      <c r="AQ232" s="2">
        <v>0</v>
      </c>
      <c r="AR232" s="2">
        <v>1</v>
      </c>
      <c r="AS232" s="2">
        <v>1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1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1</v>
      </c>
      <c r="BZ232" s="2">
        <v>0</v>
      </c>
      <c r="CA232" s="2">
        <v>0</v>
      </c>
      <c r="CB232" s="2">
        <v>1</v>
      </c>
      <c r="CC232" s="2">
        <v>1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2">
        <v>0</v>
      </c>
      <c r="CX232" s="2">
        <v>0</v>
      </c>
      <c r="CY232" s="2">
        <v>0</v>
      </c>
      <c r="CZ232" s="2">
        <v>0</v>
      </c>
      <c r="DA232" s="2">
        <v>0</v>
      </c>
      <c r="DB232" s="2">
        <v>0</v>
      </c>
      <c r="DC232" s="2">
        <v>0</v>
      </c>
      <c r="DD232" s="2">
        <v>0</v>
      </c>
      <c r="DE232" s="2">
        <v>0</v>
      </c>
      <c r="DF232" s="2">
        <v>0</v>
      </c>
      <c r="DG232" s="2">
        <v>0</v>
      </c>
      <c r="DH232" s="2">
        <v>0</v>
      </c>
      <c r="DI232" s="2">
        <v>0</v>
      </c>
      <c r="DJ232" s="2">
        <v>0</v>
      </c>
      <c r="DK232" s="2">
        <v>0</v>
      </c>
      <c r="DL232" s="2">
        <v>0</v>
      </c>
      <c r="DM232" s="2">
        <v>0</v>
      </c>
      <c r="DN232" s="2">
        <v>1</v>
      </c>
      <c r="DO232" s="2">
        <v>0</v>
      </c>
      <c r="DP232" s="2">
        <v>0</v>
      </c>
      <c r="DQ232" s="2">
        <v>0</v>
      </c>
      <c r="DR232" s="2">
        <v>0</v>
      </c>
      <c r="DS232" s="2">
        <v>0</v>
      </c>
    </row>
    <row r="233" spans="1:123">
      <c r="A233" s="2" t="s">
        <v>8</v>
      </c>
      <c r="B233" s="2" t="s">
        <v>443</v>
      </c>
      <c r="C233" s="2">
        <v>117</v>
      </c>
      <c r="D233" s="2">
        <v>4</v>
      </c>
      <c r="E233" s="2">
        <v>1.95</v>
      </c>
      <c r="F233" s="2">
        <v>29.25</v>
      </c>
      <c r="G233" s="2" t="s">
        <v>333</v>
      </c>
      <c r="H233">
        <f>IF(AND(OR(لوحة_القيادة!$C$4="الكل", A233=لوحة_القيادة!$C$4), IF(لوحة_القيادة!$C$5="الكل", TRUE, INDEX($V233:$AG233, 1, VALUE(لوحة_القيادة!$C$5))&gt;0)), 1, 0)</f>
        <v>0</v>
      </c>
      <c r="I233">
        <f>IF(H233=1, SUM($H$2:H233), "")</f>
        <v>0</v>
      </c>
      <c r="J233" s="2">
        <v>0</v>
      </c>
      <c r="K233" s="2">
        <v>1</v>
      </c>
      <c r="L233" s="2">
        <v>4</v>
      </c>
      <c r="M233" s="2">
        <v>112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1</v>
      </c>
      <c r="X233" s="2">
        <v>1</v>
      </c>
      <c r="Y233" s="2">
        <v>2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1</v>
      </c>
      <c r="AI233" s="2">
        <v>0</v>
      </c>
      <c r="AJ233" s="2">
        <v>1</v>
      </c>
      <c r="AK233" s="2">
        <v>0</v>
      </c>
      <c r="AL233" s="2">
        <v>0</v>
      </c>
      <c r="AM233" s="2">
        <v>2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1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1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 s="2">
        <v>0</v>
      </c>
      <c r="DC233" s="2">
        <v>0</v>
      </c>
      <c r="DD233" s="2">
        <v>0</v>
      </c>
      <c r="DE233" s="2">
        <v>0</v>
      </c>
      <c r="DF233" s="2">
        <v>0</v>
      </c>
      <c r="DG233" s="2">
        <v>0</v>
      </c>
      <c r="DH233" s="2">
        <v>0</v>
      </c>
      <c r="DI233" s="2">
        <v>0</v>
      </c>
      <c r="DJ233" s="2">
        <v>1</v>
      </c>
      <c r="DK233" s="2">
        <v>1</v>
      </c>
      <c r="DL233" s="2">
        <v>0</v>
      </c>
      <c r="DM233" s="2">
        <v>0</v>
      </c>
      <c r="DN233" s="2">
        <v>0</v>
      </c>
      <c r="DO233" s="2">
        <v>0</v>
      </c>
      <c r="DP233" s="2">
        <v>0</v>
      </c>
      <c r="DQ233" s="2">
        <v>0</v>
      </c>
      <c r="DR233" s="2">
        <v>0</v>
      </c>
      <c r="DS233" s="2">
        <v>0</v>
      </c>
    </row>
    <row r="234" spans="1:123">
      <c r="A234" s="2" t="s">
        <v>18</v>
      </c>
      <c r="B234" s="2" t="s">
        <v>444</v>
      </c>
      <c r="C234" s="2">
        <v>117</v>
      </c>
      <c r="D234" s="2">
        <v>29</v>
      </c>
      <c r="E234" s="2">
        <v>1.95</v>
      </c>
      <c r="F234" s="2">
        <v>4.03</v>
      </c>
      <c r="G234" s="2" t="s">
        <v>170</v>
      </c>
      <c r="H234">
        <f>IF(AND(OR(لوحة_القيادة!$C$4="الكل", A234=لوحة_القيادة!$C$4), IF(لوحة_القيادة!$C$5="الكل", TRUE, INDEX($V234:$AG234, 1, VALUE(لوحة_القيادة!$C$5))&gt;0)), 1, 0)</f>
        <v>0</v>
      </c>
      <c r="I234">
        <f>IF(H234=1, SUM($H$2:H234), "")</f>
        <v>0</v>
      </c>
      <c r="J234" s="2">
        <v>5</v>
      </c>
      <c r="K234" s="2">
        <v>26</v>
      </c>
      <c r="L234" s="2">
        <v>28</v>
      </c>
      <c r="M234" s="2">
        <v>29</v>
      </c>
      <c r="N234" s="2">
        <v>2</v>
      </c>
      <c r="O234" s="2">
        <v>27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3</v>
      </c>
      <c r="W234" s="2">
        <v>5</v>
      </c>
      <c r="X234" s="2">
        <v>5</v>
      </c>
      <c r="Y234" s="2">
        <v>7</v>
      </c>
      <c r="Z234" s="2">
        <v>1</v>
      </c>
      <c r="AA234" s="2">
        <v>8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4</v>
      </c>
      <c r="AH234" s="2">
        <v>6</v>
      </c>
      <c r="AI234" s="2">
        <v>8</v>
      </c>
      <c r="AJ234" s="2">
        <v>6</v>
      </c>
      <c r="AK234" s="2">
        <v>0</v>
      </c>
      <c r="AL234" s="2">
        <v>0</v>
      </c>
      <c r="AM234" s="2">
        <v>5</v>
      </c>
      <c r="AN234" s="2">
        <v>0</v>
      </c>
      <c r="AO234" s="2">
        <v>1</v>
      </c>
      <c r="AP234" s="2">
        <v>1</v>
      </c>
      <c r="AQ234" s="2">
        <v>1</v>
      </c>
      <c r="AR234" s="2">
        <v>0</v>
      </c>
      <c r="AS234" s="2">
        <v>1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1</v>
      </c>
      <c r="BA234" s="2">
        <v>0</v>
      </c>
      <c r="BB234" s="2">
        <v>1</v>
      </c>
      <c r="BC234" s="2">
        <v>1</v>
      </c>
      <c r="BD234" s="2">
        <v>0</v>
      </c>
      <c r="BE234" s="2">
        <v>3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3</v>
      </c>
      <c r="BN234" s="2">
        <v>2</v>
      </c>
      <c r="BO234" s="2">
        <v>2</v>
      </c>
      <c r="BP234" s="2">
        <v>0</v>
      </c>
      <c r="BQ234" s="2">
        <v>1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1</v>
      </c>
      <c r="BY234" s="2">
        <v>1</v>
      </c>
      <c r="BZ234" s="2">
        <v>1</v>
      </c>
      <c r="CA234" s="2">
        <v>2</v>
      </c>
      <c r="CB234" s="2">
        <v>1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0</v>
      </c>
      <c r="DB234" s="2">
        <v>0</v>
      </c>
      <c r="DC234" s="2">
        <v>0</v>
      </c>
      <c r="DD234" s="2">
        <v>0</v>
      </c>
      <c r="DE234" s="2">
        <v>0</v>
      </c>
      <c r="DF234" s="2">
        <v>0</v>
      </c>
      <c r="DG234" s="2">
        <v>0</v>
      </c>
      <c r="DH234" s="2">
        <v>1</v>
      </c>
      <c r="DI234" s="2">
        <v>0</v>
      </c>
      <c r="DJ234" s="2">
        <v>0</v>
      </c>
      <c r="DK234" s="2">
        <v>1</v>
      </c>
      <c r="DL234" s="2">
        <v>0</v>
      </c>
      <c r="DM234" s="2">
        <v>3</v>
      </c>
      <c r="DN234" s="2">
        <v>0</v>
      </c>
      <c r="DO234" s="2">
        <v>0</v>
      </c>
      <c r="DP234" s="2">
        <v>0</v>
      </c>
      <c r="DQ234" s="2">
        <v>0</v>
      </c>
      <c r="DR234" s="2">
        <v>0</v>
      </c>
      <c r="DS234" s="2">
        <v>0</v>
      </c>
    </row>
    <row r="235" spans="1:123">
      <c r="A235" s="2" t="s">
        <v>8</v>
      </c>
      <c r="B235" s="2" t="s">
        <v>445</v>
      </c>
      <c r="C235" s="2">
        <v>112</v>
      </c>
      <c r="D235" s="2">
        <v>16</v>
      </c>
      <c r="E235" s="2">
        <v>1.87</v>
      </c>
      <c r="F235" s="2">
        <v>7</v>
      </c>
      <c r="G235" s="2" t="s">
        <v>160</v>
      </c>
      <c r="H235">
        <f>IF(AND(OR(لوحة_القيادة!$C$4="الكل", A235=لوحة_القيادة!$C$4), IF(لوحة_القيادة!$C$5="الكل", TRUE, INDEX($V235:$AG235, 1, VALUE(لوحة_القيادة!$C$5))&gt;0)), 1, 0)</f>
        <v>0</v>
      </c>
      <c r="I235">
        <f>IF(H235=1, SUM($H$2:H235), "")</f>
        <v>0</v>
      </c>
      <c r="J235" s="2">
        <v>18</v>
      </c>
      <c r="K235" s="2">
        <v>57</v>
      </c>
      <c r="L235" s="2">
        <v>6</v>
      </c>
      <c r="M235" s="2">
        <v>4</v>
      </c>
      <c r="N235" s="2">
        <v>1</v>
      </c>
      <c r="O235" s="2">
        <v>19</v>
      </c>
      <c r="P235" s="2">
        <v>7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5</v>
      </c>
      <c r="W235" s="2">
        <v>3</v>
      </c>
      <c r="X235" s="2">
        <v>2</v>
      </c>
      <c r="Y235" s="2">
        <v>1</v>
      </c>
      <c r="Z235" s="2">
        <v>1</v>
      </c>
      <c r="AA235" s="2">
        <v>2</v>
      </c>
      <c r="AB235" s="2">
        <v>2</v>
      </c>
      <c r="AC235" s="2">
        <v>0</v>
      </c>
      <c r="AD235" s="2">
        <v>0</v>
      </c>
      <c r="AE235" s="2">
        <v>0</v>
      </c>
      <c r="AF235" s="2">
        <v>0</v>
      </c>
      <c r="AG235" s="2">
        <v>2</v>
      </c>
      <c r="AH235" s="2">
        <v>4</v>
      </c>
      <c r="AI235" s="2">
        <v>2</v>
      </c>
      <c r="AJ235" s="2">
        <v>3</v>
      </c>
      <c r="AK235" s="2">
        <v>0</v>
      </c>
      <c r="AL235" s="2">
        <v>0</v>
      </c>
      <c r="AM235" s="2">
        <v>5</v>
      </c>
      <c r="AN235" s="2">
        <v>1</v>
      </c>
      <c r="AO235" s="2">
        <v>0</v>
      </c>
      <c r="AP235" s="2">
        <v>0</v>
      </c>
      <c r="AQ235" s="2">
        <v>1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1</v>
      </c>
      <c r="BA235" s="2">
        <v>1</v>
      </c>
      <c r="BB235" s="2">
        <v>1</v>
      </c>
      <c r="BC235" s="2">
        <v>0</v>
      </c>
      <c r="BD235" s="2">
        <v>0</v>
      </c>
      <c r="BE235" s="2">
        <v>1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1</v>
      </c>
      <c r="BM235" s="2">
        <v>0</v>
      </c>
      <c r="BN235" s="2">
        <v>0</v>
      </c>
      <c r="BO235" s="2">
        <v>0</v>
      </c>
      <c r="BP235" s="2">
        <v>0</v>
      </c>
      <c r="BQ235" s="2">
        <v>1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1</v>
      </c>
      <c r="BY235" s="2">
        <v>1</v>
      </c>
      <c r="BZ235" s="2">
        <v>0</v>
      </c>
      <c r="CA235" s="2">
        <v>0</v>
      </c>
      <c r="CB235" s="2">
        <v>0</v>
      </c>
      <c r="CC235" s="2">
        <v>0</v>
      </c>
      <c r="CD235" s="2">
        <v>1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0</v>
      </c>
      <c r="CW235" s="2">
        <v>0</v>
      </c>
      <c r="CX235" s="2">
        <v>0</v>
      </c>
      <c r="CY235" s="2">
        <v>0</v>
      </c>
      <c r="CZ235" s="2">
        <v>0</v>
      </c>
      <c r="DA235" s="2">
        <v>0</v>
      </c>
      <c r="DB235" s="2">
        <v>0</v>
      </c>
      <c r="DC235" s="2">
        <v>0</v>
      </c>
      <c r="DD235" s="2">
        <v>0</v>
      </c>
      <c r="DE235" s="2">
        <v>0</v>
      </c>
      <c r="DF235" s="2">
        <v>0</v>
      </c>
      <c r="DG235" s="2">
        <v>0</v>
      </c>
      <c r="DH235" s="2">
        <v>1</v>
      </c>
      <c r="DI235" s="2">
        <v>1</v>
      </c>
      <c r="DJ235" s="2">
        <v>1</v>
      </c>
      <c r="DK235" s="2">
        <v>0</v>
      </c>
      <c r="DL235" s="2">
        <v>1</v>
      </c>
      <c r="DM235" s="2">
        <v>0</v>
      </c>
      <c r="DN235" s="2">
        <v>1</v>
      </c>
      <c r="DO235" s="2">
        <v>0</v>
      </c>
      <c r="DP235" s="2">
        <v>0</v>
      </c>
      <c r="DQ235" s="2">
        <v>0</v>
      </c>
      <c r="DR235" s="2">
        <v>0</v>
      </c>
      <c r="DS235" s="2">
        <v>0</v>
      </c>
    </row>
    <row r="236" spans="1:123">
      <c r="A236" s="2" t="s">
        <v>12</v>
      </c>
      <c r="B236" s="2" t="s">
        <v>446</v>
      </c>
      <c r="C236" s="2">
        <v>108</v>
      </c>
      <c r="D236" s="2">
        <v>8</v>
      </c>
      <c r="E236" s="2">
        <v>1.8</v>
      </c>
      <c r="F236" s="2">
        <v>13.5</v>
      </c>
      <c r="G236" s="2" t="s">
        <v>447</v>
      </c>
      <c r="H236">
        <f>IF(AND(OR(لوحة_القيادة!$C$4="الكل", A236=لوحة_القيادة!$C$4), IF(لوحة_القيادة!$C$5="الكل", TRUE, INDEX($V236:$AG236, 1, VALUE(لوحة_القيادة!$C$5))&gt;0)), 1, 0)</f>
        <v>0</v>
      </c>
      <c r="I236">
        <f>IF(H236=1, SUM($H$2:H236), "")</f>
        <v>0</v>
      </c>
      <c r="J236" s="2">
        <v>59</v>
      </c>
      <c r="K236" s="2">
        <v>16</v>
      </c>
      <c r="L236" s="2">
        <v>30</v>
      </c>
      <c r="M236" s="2">
        <v>0</v>
      </c>
      <c r="N236" s="2">
        <v>3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2</v>
      </c>
      <c r="W236" s="2">
        <v>2</v>
      </c>
      <c r="X236" s="2">
        <v>3</v>
      </c>
      <c r="Y236" s="2">
        <v>0</v>
      </c>
      <c r="Z236" s="2">
        <v>1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3</v>
      </c>
      <c r="AH236" s="2">
        <v>2</v>
      </c>
      <c r="AI236" s="2">
        <v>1</v>
      </c>
      <c r="AJ236" s="2">
        <v>2</v>
      </c>
      <c r="AK236" s="2">
        <v>0</v>
      </c>
      <c r="AL236" s="2">
        <v>0</v>
      </c>
      <c r="AM236" s="2">
        <v>0</v>
      </c>
      <c r="AN236" s="2">
        <v>1</v>
      </c>
      <c r="AO236" s="2">
        <v>1</v>
      </c>
      <c r="AP236" s="2">
        <v>0</v>
      </c>
      <c r="AQ236" s="2">
        <v>0</v>
      </c>
      <c r="AR236" s="2">
        <v>1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2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1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1</v>
      </c>
      <c r="BY236" s="2">
        <v>1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0</v>
      </c>
      <c r="DB236" s="2">
        <v>0</v>
      </c>
      <c r="DC236" s="2">
        <v>0</v>
      </c>
      <c r="DD236" s="2">
        <v>0</v>
      </c>
      <c r="DE236" s="2">
        <v>0</v>
      </c>
      <c r="DF236" s="2">
        <v>0</v>
      </c>
      <c r="DG236" s="2">
        <v>0</v>
      </c>
      <c r="DH236" s="2">
        <v>0</v>
      </c>
      <c r="DI236" s="2">
        <v>0</v>
      </c>
      <c r="DJ236" s="2">
        <v>0</v>
      </c>
      <c r="DK236" s="2">
        <v>0</v>
      </c>
      <c r="DL236" s="2">
        <v>0</v>
      </c>
      <c r="DM236" s="2">
        <v>0</v>
      </c>
      <c r="DN236" s="2">
        <v>0</v>
      </c>
      <c r="DO236" s="2">
        <v>0</v>
      </c>
      <c r="DP236" s="2">
        <v>0</v>
      </c>
      <c r="DQ236" s="2">
        <v>0</v>
      </c>
      <c r="DR236" s="2">
        <v>0</v>
      </c>
      <c r="DS236" s="2">
        <v>0</v>
      </c>
    </row>
    <row r="237" spans="1:123">
      <c r="A237" s="2" t="s">
        <v>18</v>
      </c>
      <c r="B237" s="2" t="s">
        <v>448</v>
      </c>
      <c r="C237" s="2">
        <v>108</v>
      </c>
      <c r="D237" s="2">
        <v>10</v>
      </c>
      <c r="E237" s="2">
        <v>1.8</v>
      </c>
      <c r="F237" s="2">
        <v>10.8</v>
      </c>
      <c r="G237" s="2" t="s">
        <v>449</v>
      </c>
      <c r="H237">
        <f>IF(AND(OR(لوحة_القيادة!$C$4="الكل", A237=لوحة_القيادة!$C$4), IF(لوحة_القيادة!$C$5="الكل", TRUE, INDEX($V237:$AG237, 1, VALUE(لوحة_القيادة!$C$5))&gt;0)), 1, 0)</f>
        <v>0</v>
      </c>
      <c r="I237">
        <f>IF(H237=1, SUM($H$2:H237), "")</f>
        <v>0</v>
      </c>
      <c r="J237" s="2">
        <v>18</v>
      </c>
      <c r="K237" s="2">
        <v>0</v>
      </c>
      <c r="L237" s="2">
        <v>10</v>
      </c>
      <c r="M237" s="2">
        <v>73</v>
      </c>
      <c r="N237" s="2">
        <v>7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1</v>
      </c>
      <c r="W237" s="2">
        <v>0</v>
      </c>
      <c r="X237" s="2">
        <v>1</v>
      </c>
      <c r="Y237" s="2">
        <v>6</v>
      </c>
      <c r="Z237" s="2">
        <v>2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4</v>
      </c>
      <c r="AH237" s="2">
        <v>1</v>
      </c>
      <c r="AI237" s="2">
        <v>2</v>
      </c>
      <c r="AJ237" s="2">
        <v>3</v>
      </c>
      <c r="AK237" s="2">
        <v>0</v>
      </c>
      <c r="AL237" s="2">
        <v>0</v>
      </c>
      <c r="AM237" s="2">
        <v>0</v>
      </c>
      <c r="AN237" s="2">
        <v>1</v>
      </c>
      <c r="AO237" s="2">
        <v>0</v>
      </c>
      <c r="AP237" s="2">
        <v>0</v>
      </c>
      <c r="AQ237" s="2">
        <v>2</v>
      </c>
      <c r="AR237" s="2">
        <v>1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1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1</v>
      </c>
      <c r="BO237" s="2">
        <v>1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3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0</v>
      </c>
      <c r="DB237" s="2">
        <v>0</v>
      </c>
      <c r="DC237" s="2">
        <v>0</v>
      </c>
      <c r="DD237" s="2">
        <v>0</v>
      </c>
      <c r="DE237" s="2">
        <v>0</v>
      </c>
      <c r="DF237" s="2">
        <v>0</v>
      </c>
      <c r="DG237" s="2">
        <v>0</v>
      </c>
      <c r="DH237" s="2">
        <v>0</v>
      </c>
      <c r="DI237" s="2">
        <v>0</v>
      </c>
      <c r="DJ237" s="2">
        <v>0</v>
      </c>
      <c r="DK237" s="2">
        <v>0</v>
      </c>
      <c r="DL237" s="2">
        <v>0</v>
      </c>
      <c r="DM237" s="2">
        <v>0</v>
      </c>
      <c r="DN237" s="2">
        <v>0</v>
      </c>
      <c r="DO237" s="2">
        <v>0</v>
      </c>
      <c r="DP237" s="2">
        <v>0</v>
      </c>
      <c r="DQ237" s="2">
        <v>0</v>
      </c>
      <c r="DR237" s="2">
        <v>0</v>
      </c>
      <c r="DS237" s="2">
        <v>0</v>
      </c>
    </row>
    <row r="238" spans="1:123">
      <c r="A238" s="2" t="s">
        <v>22</v>
      </c>
      <c r="B238" s="2" t="s">
        <v>450</v>
      </c>
      <c r="C238" s="2">
        <v>108</v>
      </c>
      <c r="D238" s="2">
        <v>18</v>
      </c>
      <c r="E238" s="2">
        <v>1.8</v>
      </c>
      <c r="F238" s="2">
        <v>6</v>
      </c>
      <c r="G238" s="2" t="s">
        <v>160</v>
      </c>
      <c r="H238">
        <f>IF(AND(OR(لوحة_القيادة!$C$4="الكل", A238=لوحة_القيادة!$C$4), IF(لوحة_القيادة!$C$5="الكل", TRUE, INDEX($V238:$AG238, 1, VALUE(لوحة_القيادة!$C$5))&gt;0)), 1, 0)</f>
        <v>0</v>
      </c>
      <c r="I238">
        <f>IF(H238=1, SUM($H$2:H238), "")</f>
        <v>0</v>
      </c>
      <c r="J238" s="2">
        <v>14</v>
      </c>
      <c r="K238" s="2">
        <v>10</v>
      </c>
      <c r="L238" s="2">
        <v>21</v>
      </c>
      <c r="M238" s="2">
        <v>33</v>
      </c>
      <c r="N238" s="2">
        <v>24</v>
      </c>
      <c r="O238" s="2">
        <v>5</v>
      </c>
      <c r="P238" s="2">
        <v>1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4</v>
      </c>
      <c r="W238" s="2">
        <v>3</v>
      </c>
      <c r="X238" s="2">
        <v>2</v>
      </c>
      <c r="Y238" s="2">
        <v>5</v>
      </c>
      <c r="Z238" s="2">
        <v>2</v>
      </c>
      <c r="AA238" s="2">
        <v>1</v>
      </c>
      <c r="AB238" s="2">
        <v>1</v>
      </c>
      <c r="AC238" s="2">
        <v>0</v>
      </c>
      <c r="AD238" s="2">
        <v>0</v>
      </c>
      <c r="AE238" s="2">
        <v>0</v>
      </c>
      <c r="AF238" s="2">
        <v>0</v>
      </c>
      <c r="AG238" s="2">
        <v>4</v>
      </c>
      <c r="AH238" s="2">
        <v>7</v>
      </c>
      <c r="AI238" s="2">
        <v>3</v>
      </c>
      <c r="AJ238" s="2">
        <v>1</v>
      </c>
      <c r="AK238" s="2">
        <v>0</v>
      </c>
      <c r="AL238" s="2">
        <v>0</v>
      </c>
      <c r="AM238" s="2">
        <v>3</v>
      </c>
      <c r="AN238" s="2">
        <v>2</v>
      </c>
      <c r="AO238" s="2">
        <v>0</v>
      </c>
      <c r="AP238" s="2">
        <v>0</v>
      </c>
      <c r="AQ238" s="2">
        <v>1</v>
      </c>
      <c r="AR238" s="2">
        <v>1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1</v>
      </c>
      <c r="BB238" s="2">
        <v>1</v>
      </c>
      <c r="BC238" s="2">
        <v>2</v>
      </c>
      <c r="BD238" s="2">
        <v>1</v>
      </c>
      <c r="BE238" s="2">
        <v>1</v>
      </c>
      <c r="BF238" s="2">
        <v>1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1</v>
      </c>
      <c r="BN238" s="2">
        <v>0</v>
      </c>
      <c r="BO238" s="2">
        <v>2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1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0</v>
      </c>
      <c r="CW238" s="2">
        <v>0</v>
      </c>
      <c r="CX238" s="2">
        <v>0</v>
      </c>
      <c r="CY238" s="2">
        <v>0</v>
      </c>
      <c r="CZ238" s="2">
        <v>0</v>
      </c>
      <c r="DA238" s="2">
        <v>0</v>
      </c>
      <c r="DB238" s="2">
        <v>0</v>
      </c>
      <c r="DC238" s="2">
        <v>0</v>
      </c>
      <c r="DD238" s="2">
        <v>0</v>
      </c>
      <c r="DE238" s="2">
        <v>0</v>
      </c>
      <c r="DF238" s="2">
        <v>0</v>
      </c>
      <c r="DG238" s="2">
        <v>0</v>
      </c>
      <c r="DH238" s="2">
        <v>2</v>
      </c>
      <c r="DI238" s="2">
        <v>0</v>
      </c>
      <c r="DJ238" s="2">
        <v>1</v>
      </c>
      <c r="DK238" s="2">
        <v>0</v>
      </c>
      <c r="DL238" s="2">
        <v>0</v>
      </c>
      <c r="DM238" s="2">
        <v>0</v>
      </c>
      <c r="DN238" s="2">
        <v>0</v>
      </c>
      <c r="DO238" s="2">
        <v>0</v>
      </c>
      <c r="DP238" s="2">
        <v>0</v>
      </c>
      <c r="DQ238" s="2">
        <v>0</v>
      </c>
      <c r="DR238" s="2">
        <v>0</v>
      </c>
      <c r="DS238" s="2">
        <v>0</v>
      </c>
    </row>
    <row r="239" spans="1:123">
      <c r="A239" s="2" t="s">
        <v>8</v>
      </c>
      <c r="B239" s="2" t="s">
        <v>451</v>
      </c>
      <c r="C239" s="2">
        <v>106</v>
      </c>
      <c r="D239" s="2">
        <v>5</v>
      </c>
      <c r="E239" s="2">
        <v>1.77</v>
      </c>
      <c r="F239" s="2">
        <v>21.2</v>
      </c>
      <c r="G239" s="2" t="s">
        <v>394</v>
      </c>
      <c r="H239">
        <f>IF(AND(OR(لوحة_القيادة!$C$4="الكل", A239=لوحة_القيادة!$C$4), IF(لوحة_القيادة!$C$5="الكل", TRUE, INDEX($V239:$AG239, 1, VALUE(لوحة_القيادة!$C$5))&gt;0)), 1, 0)</f>
        <v>0</v>
      </c>
      <c r="I239">
        <f>IF(H239=1, SUM($H$2:H239), "")</f>
        <v>0</v>
      </c>
      <c r="J239" s="2">
        <v>0</v>
      </c>
      <c r="K239" s="2">
        <v>84</v>
      </c>
      <c r="L239" s="2">
        <v>1</v>
      </c>
      <c r="M239" s="2">
        <v>0</v>
      </c>
      <c r="N239" s="2">
        <v>21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2</v>
      </c>
      <c r="X239" s="2">
        <v>1</v>
      </c>
      <c r="Y239" s="2">
        <v>0</v>
      </c>
      <c r="Z239" s="2">
        <v>2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1</v>
      </c>
      <c r="AH239" s="2">
        <v>0</v>
      </c>
      <c r="AI239" s="2">
        <v>0</v>
      </c>
      <c r="AJ239" s="2">
        <v>2</v>
      </c>
      <c r="AK239" s="2">
        <v>0</v>
      </c>
      <c r="AL239" s="2">
        <v>0</v>
      </c>
      <c r="AM239" s="2">
        <v>2</v>
      </c>
      <c r="AN239" s="2">
        <v>0</v>
      </c>
      <c r="AO239" s="2">
        <v>1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1</v>
      </c>
      <c r="BZ239" s="2">
        <v>1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0</v>
      </c>
      <c r="DB239" s="2">
        <v>0</v>
      </c>
      <c r="DC239" s="2">
        <v>0</v>
      </c>
      <c r="DD239" s="2">
        <v>0</v>
      </c>
      <c r="DE239" s="2">
        <v>0</v>
      </c>
      <c r="DF239" s="2">
        <v>0</v>
      </c>
      <c r="DG239" s="2">
        <v>0</v>
      </c>
      <c r="DH239" s="2">
        <v>0</v>
      </c>
      <c r="DI239" s="2">
        <v>0</v>
      </c>
      <c r="DJ239" s="2">
        <v>0</v>
      </c>
      <c r="DK239" s="2">
        <v>0</v>
      </c>
      <c r="DL239" s="2">
        <v>2</v>
      </c>
      <c r="DM239" s="2">
        <v>0</v>
      </c>
      <c r="DN239" s="2">
        <v>0</v>
      </c>
      <c r="DO239" s="2">
        <v>0</v>
      </c>
      <c r="DP239" s="2">
        <v>0</v>
      </c>
      <c r="DQ239" s="2">
        <v>0</v>
      </c>
      <c r="DR239" s="2">
        <v>0</v>
      </c>
      <c r="DS239" s="2">
        <v>0</v>
      </c>
    </row>
    <row r="240" spans="1:123">
      <c r="A240" s="2" t="s">
        <v>22</v>
      </c>
      <c r="B240" s="2" t="s">
        <v>452</v>
      </c>
      <c r="C240" s="2">
        <v>106</v>
      </c>
      <c r="D240" s="2">
        <v>18</v>
      </c>
      <c r="E240" s="2">
        <v>1.77</v>
      </c>
      <c r="F240" s="2">
        <v>5.89</v>
      </c>
      <c r="G240" s="2" t="s">
        <v>160</v>
      </c>
      <c r="H240">
        <f>IF(AND(OR(لوحة_القيادة!$C$4="الكل", A240=لوحة_القيادة!$C$4), IF(لوحة_القيادة!$C$5="الكل", TRUE, INDEX($V240:$AG240, 1, VALUE(لوحة_القيادة!$C$5))&gt;0)), 1, 0)</f>
        <v>0</v>
      </c>
      <c r="I240">
        <f>IF(H240=1, SUM($H$2:H240), "")</f>
        <v>0</v>
      </c>
      <c r="J240" s="2">
        <v>5</v>
      </c>
      <c r="K240" s="2">
        <v>12</v>
      </c>
      <c r="L240" s="2">
        <v>42</v>
      </c>
      <c r="M240" s="2">
        <v>29</v>
      </c>
      <c r="N240" s="2">
        <v>2</v>
      </c>
      <c r="O240" s="2">
        <v>11</v>
      </c>
      <c r="P240" s="2">
        <v>5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1</v>
      </c>
      <c r="W240" s="2">
        <v>2</v>
      </c>
      <c r="X240" s="2">
        <v>7</v>
      </c>
      <c r="Y240" s="2">
        <v>4</v>
      </c>
      <c r="Z240" s="2">
        <v>1</v>
      </c>
      <c r="AA240" s="2">
        <v>2</v>
      </c>
      <c r="AB240" s="2">
        <v>1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4</v>
      </c>
      <c r="AI240" s="2">
        <v>2</v>
      </c>
      <c r="AJ240" s="2">
        <v>6</v>
      </c>
      <c r="AK240" s="2">
        <v>0</v>
      </c>
      <c r="AL240" s="2">
        <v>0</v>
      </c>
      <c r="AM240" s="2">
        <v>6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2</v>
      </c>
      <c r="BC240" s="2">
        <v>1</v>
      </c>
      <c r="BD240" s="2">
        <v>1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1</v>
      </c>
      <c r="BM240" s="2">
        <v>0</v>
      </c>
      <c r="BN240" s="2">
        <v>1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1</v>
      </c>
      <c r="BZ240" s="2">
        <v>2</v>
      </c>
      <c r="CA240" s="2">
        <v>2</v>
      </c>
      <c r="CB240" s="2">
        <v>0</v>
      </c>
      <c r="CC240" s="2">
        <v>1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0</v>
      </c>
      <c r="DB240" s="2">
        <v>0</v>
      </c>
      <c r="DC240" s="2">
        <v>0</v>
      </c>
      <c r="DD240" s="2">
        <v>0</v>
      </c>
      <c r="DE240" s="2">
        <v>0</v>
      </c>
      <c r="DF240" s="2">
        <v>0</v>
      </c>
      <c r="DG240" s="2">
        <v>0</v>
      </c>
      <c r="DH240" s="2">
        <v>0</v>
      </c>
      <c r="DI240" s="2">
        <v>1</v>
      </c>
      <c r="DJ240" s="2">
        <v>2</v>
      </c>
      <c r="DK240" s="2">
        <v>1</v>
      </c>
      <c r="DL240" s="2">
        <v>0</v>
      </c>
      <c r="DM240" s="2">
        <v>1</v>
      </c>
      <c r="DN240" s="2">
        <v>1</v>
      </c>
      <c r="DO240" s="2">
        <v>0</v>
      </c>
      <c r="DP240" s="2">
        <v>0</v>
      </c>
      <c r="DQ240" s="2">
        <v>0</v>
      </c>
      <c r="DR240" s="2">
        <v>0</v>
      </c>
      <c r="DS240" s="2">
        <v>0</v>
      </c>
    </row>
    <row r="241" spans="1:123">
      <c r="A241" s="2" t="s">
        <v>11</v>
      </c>
      <c r="B241" s="2" t="s">
        <v>453</v>
      </c>
      <c r="C241" s="2">
        <v>105</v>
      </c>
      <c r="D241" s="2">
        <v>11</v>
      </c>
      <c r="E241" s="2">
        <v>1.75</v>
      </c>
      <c r="F241" s="2">
        <v>9.550000000000001</v>
      </c>
      <c r="G241" s="2" t="s">
        <v>454</v>
      </c>
      <c r="H241">
        <f>IF(AND(OR(لوحة_القيادة!$C$4="الكل", A241=لوحة_القيادة!$C$4), IF(لوحة_القيادة!$C$5="الكل", TRUE, INDEX($V241:$AG241, 1, VALUE(لوحة_القيادة!$C$5))&gt;0)), 1, 0)</f>
        <v>0</v>
      </c>
      <c r="I241">
        <f>IF(H241=1, SUM($H$2:H241), "")</f>
        <v>0</v>
      </c>
      <c r="J241" s="2">
        <v>0</v>
      </c>
      <c r="K241" s="2">
        <v>28</v>
      </c>
      <c r="L241" s="2">
        <v>44</v>
      </c>
      <c r="M241" s="2">
        <v>0</v>
      </c>
      <c r="N241" s="2">
        <v>8</v>
      </c>
      <c r="O241" s="2">
        <v>25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3</v>
      </c>
      <c r="X241" s="2">
        <v>5</v>
      </c>
      <c r="Y241" s="2">
        <v>0</v>
      </c>
      <c r="Z241" s="2">
        <v>1</v>
      </c>
      <c r="AA241" s="2">
        <v>2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1</v>
      </c>
      <c r="AH241" s="2">
        <v>1</v>
      </c>
      <c r="AI241" s="2">
        <v>3</v>
      </c>
      <c r="AJ241" s="2">
        <v>3</v>
      </c>
      <c r="AK241" s="2">
        <v>0</v>
      </c>
      <c r="AL241" s="2">
        <v>0</v>
      </c>
      <c r="AM241" s="2">
        <v>3</v>
      </c>
      <c r="AN241" s="2">
        <v>0</v>
      </c>
      <c r="AO241" s="2">
        <v>0</v>
      </c>
      <c r="AP241" s="2">
        <v>1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1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3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1</v>
      </c>
      <c r="BZ241" s="2">
        <v>0</v>
      </c>
      <c r="CA241" s="2">
        <v>0</v>
      </c>
      <c r="CB241" s="2">
        <v>0</v>
      </c>
      <c r="CC241" s="2">
        <v>2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0</v>
      </c>
      <c r="DB241" s="2">
        <v>0</v>
      </c>
      <c r="DC241" s="2">
        <v>0</v>
      </c>
      <c r="DD241" s="2">
        <v>0</v>
      </c>
      <c r="DE241" s="2">
        <v>0</v>
      </c>
      <c r="DF241" s="2">
        <v>0</v>
      </c>
      <c r="DG241" s="2">
        <v>0</v>
      </c>
      <c r="DH241" s="2">
        <v>0</v>
      </c>
      <c r="DI241" s="2">
        <v>1</v>
      </c>
      <c r="DJ241" s="2">
        <v>1</v>
      </c>
      <c r="DK241" s="2">
        <v>0</v>
      </c>
      <c r="DL241" s="2">
        <v>1</v>
      </c>
      <c r="DM241" s="2">
        <v>0</v>
      </c>
      <c r="DN241" s="2">
        <v>0</v>
      </c>
      <c r="DO241" s="2">
        <v>0</v>
      </c>
      <c r="DP241" s="2">
        <v>0</v>
      </c>
      <c r="DQ241" s="2">
        <v>0</v>
      </c>
      <c r="DR241" s="2">
        <v>0</v>
      </c>
      <c r="DS241" s="2">
        <v>0</v>
      </c>
    </row>
    <row r="242" spans="1:123">
      <c r="A242" s="2" t="s">
        <v>18</v>
      </c>
      <c r="B242" s="2" t="s">
        <v>455</v>
      </c>
      <c r="C242" s="2">
        <v>105</v>
      </c>
      <c r="D242" s="2">
        <v>15</v>
      </c>
      <c r="E242" s="2">
        <v>1.75</v>
      </c>
      <c r="F242" s="2">
        <v>7</v>
      </c>
      <c r="G242" s="2" t="s">
        <v>170</v>
      </c>
      <c r="H242">
        <f>IF(AND(OR(لوحة_القيادة!$C$4="الكل", A242=لوحة_القيادة!$C$4), IF(لوحة_القيادة!$C$5="الكل", TRUE, INDEX($V242:$AG242, 1, VALUE(لوحة_القيادة!$C$5))&gt;0)), 1, 0)</f>
        <v>0</v>
      </c>
      <c r="I242">
        <f>IF(H242=1, SUM($H$2:H242), "")</f>
        <v>0</v>
      </c>
      <c r="J242" s="2">
        <v>7</v>
      </c>
      <c r="K242" s="2">
        <v>11</v>
      </c>
      <c r="L242" s="2">
        <v>2</v>
      </c>
      <c r="M242" s="2">
        <v>74</v>
      </c>
      <c r="N242" s="2">
        <v>9</v>
      </c>
      <c r="O242" s="2">
        <v>2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3</v>
      </c>
      <c r="W242" s="2">
        <v>1</v>
      </c>
      <c r="X242" s="2">
        <v>2</v>
      </c>
      <c r="Y242" s="2">
        <v>6</v>
      </c>
      <c r="Z242" s="2">
        <v>2</v>
      </c>
      <c r="AA242" s="2">
        <v>1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3</v>
      </c>
      <c r="AH242" s="2">
        <v>2</v>
      </c>
      <c r="AI242" s="2">
        <v>4</v>
      </c>
      <c r="AJ242" s="2">
        <v>4</v>
      </c>
      <c r="AK242" s="2">
        <v>0</v>
      </c>
      <c r="AL242" s="2">
        <v>0</v>
      </c>
      <c r="AM242" s="2">
        <v>2</v>
      </c>
      <c r="AN242" s="2">
        <v>1</v>
      </c>
      <c r="AO242" s="2">
        <v>1</v>
      </c>
      <c r="AP242" s="2">
        <v>0</v>
      </c>
      <c r="AQ242" s="2">
        <v>1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1</v>
      </c>
      <c r="BA242" s="2">
        <v>0</v>
      </c>
      <c r="BB242" s="2">
        <v>1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1</v>
      </c>
      <c r="BO242" s="2">
        <v>2</v>
      </c>
      <c r="BP242" s="2">
        <v>1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1</v>
      </c>
      <c r="BY242" s="2">
        <v>0</v>
      </c>
      <c r="BZ242" s="2">
        <v>0</v>
      </c>
      <c r="CA242" s="2">
        <v>1</v>
      </c>
      <c r="CB242" s="2">
        <v>1</v>
      </c>
      <c r="CC242" s="2">
        <v>1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0</v>
      </c>
      <c r="CW242" s="2">
        <v>0</v>
      </c>
      <c r="CX242" s="2">
        <v>0</v>
      </c>
      <c r="CY242" s="2">
        <v>0</v>
      </c>
      <c r="CZ242" s="2">
        <v>0</v>
      </c>
      <c r="DA242" s="2">
        <v>0</v>
      </c>
      <c r="DB242" s="2">
        <v>0</v>
      </c>
      <c r="DC242" s="2">
        <v>0</v>
      </c>
      <c r="DD242" s="2">
        <v>0</v>
      </c>
      <c r="DE242" s="2">
        <v>0</v>
      </c>
      <c r="DF242" s="2">
        <v>0</v>
      </c>
      <c r="DG242" s="2">
        <v>0</v>
      </c>
      <c r="DH242" s="2">
        <v>0</v>
      </c>
      <c r="DI242" s="2">
        <v>0</v>
      </c>
      <c r="DJ242" s="2">
        <v>0</v>
      </c>
      <c r="DK242" s="2">
        <v>2</v>
      </c>
      <c r="DL242" s="2">
        <v>0</v>
      </c>
      <c r="DM242" s="2">
        <v>0</v>
      </c>
      <c r="DN242" s="2">
        <v>0</v>
      </c>
      <c r="DO242" s="2">
        <v>0</v>
      </c>
      <c r="DP242" s="2">
        <v>0</v>
      </c>
      <c r="DQ242" s="2">
        <v>0</v>
      </c>
      <c r="DR242" s="2">
        <v>0</v>
      </c>
      <c r="DS242" s="2">
        <v>0</v>
      </c>
    </row>
    <row r="243" spans="1:123">
      <c r="A243" s="2" t="s">
        <v>21</v>
      </c>
      <c r="B243" s="2" t="s">
        <v>456</v>
      </c>
      <c r="C243" s="2">
        <v>104</v>
      </c>
      <c r="D243" s="2">
        <v>19</v>
      </c>
      <c r="E243" s="2">
        <v>1.73</v>
      </c>
      <c r="F243" s="2">
        <v>5.47</v>
      </c>
      <c r="G243" s="2" t="s">
        <v>186</v>
      </c>
      <c r="H243">
        <f>IF(AND(OR(لوحة_القيادة!$C$4="الكل", A243=لوحة_القيادة!$C$4), IF(لوحة_القيادة!$C$5="الكل", TRUE, INDEX($V243:$AG243, 1, VALUE(لوحة_القيادة!$C$5))&gt;0)), 1, 0)</f>
        <v>0</v>
      </c>
      <c r="I243">
        <f>IF(H243=1, SUM($H$2:H243), "")</f>
        <v>0</v>
      </c>
      <c r="J243" s="2">
        <v>0</v>
      </c>
      <c r="K243" s="2">
        <v>55</v>
      </c>
      <c r="L243" s="2">
        <v>17</v>
      </c>
      <c r="M243" s="2">
        <v>3</v>
      </c>
      <c r="N243" s="2">
        <v>8</v>
      </c>
      <c r="O243" s="2">
        <v>18</v>
      </c>
      <c r="P243" s="2">
        <v>3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7</v>
      </c>
      <c r="X243" s="2">
        <v>4</v>
      </c>
      <c r="Y243" s="2">
        <v>1</v>
      </c>
      <c r="Z243" s="2">
        <v>2</v>
      </c>
      <c r="AA243" s="2">
        <v>4</v>
      </c>
      <c r="AB243" s="2">
        <v>1</v>
      </c>
      <c r="AC243" s="2">
        <v>0</v>
      </c>
      <c r="AD243" s="2">
        <v>0</v>
      </c>
      <c r="AE243" s="2">
        <v>0</v>
      </c>
      <c r="AF243" s="2">
        <v>0</v>
      </c>
      <c r="AG243" s="2">
        <v>3</v>
      </c>
      <c r="AH243" s="2">
        <v>6</v>
      </c>
      <c r="AI243" s="2">
        <v>3</v>
      </c>
      <c r="AJ243" s="2">
        <v>2</v>
      </c>
      <c r="AK243" s="2">
        <v>0</v>
      </c>
      <c r="AL243" s="2">
        <v>0</v>
      </c>
      <c r="AM243" s="2">
        <v>5</v>
      </c>
      <c r="AN243" s="2">
        <v>0</v>
      </c>
      <c r="AO243" s="2">
        <v>1</v>
      </c>
      <c r="AP243" s="2">
        <v>1</v>
      </c>
      <c r="AQ243" s="2">
        <v>0</v>
      </c>
      <c r="AR243" s="2">
        <v>0</v>
      </c>
      <c r="AS243" s="2">
        <v>0</v>
      </c>
      <c r="AT243" s="2">
        <v>1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1</v>
      </c>
      <c r="BB243" s="2">
        <v>1</v>
      </c>
      <c r="BC243" s="2">
        <v>0</v>
      </c>
      <c r="BD243" s="2">
        <v>2</v>
      </c>
      <c r="BE243" s="2">
        <v>2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1</v>
      </c>
      <c r="BN243" s="2">
        <v>1</v>
      </c>
      <c r="BO243" s="2">
        <v>0</v>
      </c>
      <c r="BP243" s="2">
        <v>0</v>
      </c>
      <c r="BQ243" s="2">
        <v>1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2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 s="2">
        <v>0</v>
      </c>
      <c r="DC243" s="2">
        <v>0</v>
      </c>
      <c r="DD243" s="2">
        <v>0</v>
      </c>
      <c r="DE243" s="2">
        <v>0</v>
      </c>
      <c r="DF243" s="2">
        <v>0</v>
      </c>
      <c r="DG243" s="2">
        <v>0</v>
      </c>
      <c r="DH243" s="2">
        <v>0</v>
      </c>
      <c r="DI243" s="2">
        <v>2</v>
      </c>
      <c r="DJ243" s="2">
        <v>1</v>
      </c>
      <c r="DK243" s="2">
        <v>1</v>
      </c>
      <c r="DL243" s="2">
        <v>0</v>
      </c>
      <c r="DM243" s="2">
        <v>1</v>
      </c>
      <c r="DN243" s="2">
        <v>0</v>
      </c>
      <c r="DO243" s="2">
        <v>0</v>
      </c>
      <c r="DP243" s="2">
        <v>0</v>
      </c>
      <c r="DQ243" s="2">
        <v>0</v>
      </c>
      <c r="DR243" s="2">
        <v>0</v>
      </c>
      <c r="DS243" s="2">
        <v>0</v>
      </c>
    </row>
    <row r="244" spans="1:123">
      <c r="A244" s="2" t="s">
        <v>1</v>
      </c>
      <c r="B244" s="2" t="s">
        <v>457</v>
      </c>
      <c r="C244" s="2">
        <v>100</v>
      </c>
      <c r="D244" s="2">
        <v>12</v>
      </c>
      <c r="E244" s="2">
        <v>1.67</v>
      </c>
      <c r="F244" s="2">
        <v>8.33</v>
      </c>
      <c r="G244" s="2" t="s">
        <v>240</v>
      </c>
      <c r="H244">
        <f>IF(AND(OR(لوحة_القيادة!$C$4="الكل", A244=لوحة_القيادة!$C$4), IF(لوحة_القيادة!$C$5="الكل", TRUE, INDEX($V244:$AG244, 1, VALUE(لوحة_القيادة!$C$5))&gt;0)), 1, 0)</f>
        <v>0</v>
      </c>
      <c r="I244">
        <f>IF(H244=1, SUM($H$2:H244), "")</f>
        <v>0</v>
      </c>
      <c r="J244" s="2">
        <v>24</v>
      </c>
      <c r="K244" s="2">
        <v>0</v>
      </c>
      <c r="L244" s="2">
        <v>32</v>
      </c>
      <c r="M244" s="2">
        <v>6</v>
      </c>
      <c r="N244" s="2">
        <v>11</v>
      </c>
      <c r="O244" s="2">
        <v>26</v>
      </c>
      <c r="P244" s="2">
        <v>1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3</v>
      </c>
      <c r="W244" s="2">
        <v>0</v>
      </c>
      <c r="X244" s="2">
        <v>2</v>
      </c>
      <c r="Y244" s="2">
        <v>2</v>
      </c>
      <c r="Z244" s="2">
        <v>1</v>
      </c>
      <c r="AA244" s="2">
        <v>3</v>
      </c>
      <c r="AB244" s="2">
        <v>1</v>
      </c>
      <c r="AC244" s="2">
        <v>0</v>
      </c>
      <c r="AD244" s="2">
        <v>0</v>
      </c>
      <c r="AE244" s="2">
        <v>0</v>
      </c>
      <c r="AF244" s="2">
        <v>0</v>
      </c>
      <c r="AG244" s="2">
        <v>5</v>
      </c>
      <c r="AH244" s="2">
        <v>1</v>
      </c>
      <c r="AI244" s="2">
        <v>1</v>
      </c>
      <c r="AJ244" s="2">
        <v>3</v>
      </c>
      <c r="AK244" s="2">
        <v>0</v>
      </c>
      <c r="AL244" s="2">
        <v>0</v>
      </c>
      <c r="AM244" s="2">
        <v>2</v>
      </c>
      <c r="AN244" s="2">
        <v>1</v>
      </c>
      <c r="AO244" s="2">
        <v>0</v>
      </c>
      <c r="AP244" s="2">
        <v>1</v>
      </c>
      <c r="AQ244" s="2">
        <v>1</v>
      </c>
      <c r="AR244" s="2">
        <v>1</v>
      </c>
      <c r="AS244" s="2">
        <v>1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1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1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1</v>
      </c>
      <c r="BY244" s="2">
        <v>0</v>
      </c>
      <c r="BZ244" s="2">
        <v>0</v>
      </c>
      <c r="CA244" s="2">
        <v>0</v>
      </c>
      <c r="CB244" s="2">
        <v>0</v>
      </c>
      <c r="CC244" s="2">
        <v>1</v>
      </c>
      <c r="CD244" s="2">
        <v>1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0</v>
      </c>
      <c r="DB244" s="2">
        <v>0</v>
      </c>
      <c r="DC244" s="2">
        <v>0</v>
      </c>
      <c r="DD244" s="2">
        <v>0</v>
      </c>
      <c r="DE244" s="2">
        <v>0</v>
      </c>
      <c r="DF244" s="2">
        <v>0</v>
      </c>
      <c r="DG244" s="2">
        <v>0</v>
      </c>
      <c r="DH244" s="2">
        <v>1</v>
      </c>
      <c r="DI244" s="2">
        <v>0</v>
      </c>
      <c r="DJ244" s="2">
        <v>0</v>
      </c>
      <c r="DK244" s="2">
        <v>0</v>
      </c>
      <c r="DL244" s="2">
        <v>0</v>
      </c>
      <c r="DM244" s="2">
        <v>1</v>
      </c>
      <c r="DN244" s="2">
        <v>0</v>
      </c>
      <c r="DO244" s="2">
        <v>0</v>
      </c>
      <c r="DP244" s="2">
        <v>0</v>
      </c>
      <c r="DQ244" s="2">
        <v>0</v>
      </c>
      <c r="DR244" s="2">
        <v>0</v>
      </c>
      <c r="DS244" s="2">
        <v>0</v>
      </c>
    </row>
    <row r="245" spans="1:123">
      <c r="A245" s="2" t="s">
        <v>1</v>
      </c>
      <c r="B245" s="2" t="s">
        <v>458</v>
      </c>
      <c r="C245" s="2">
        <v>97</v>
      </c>
      <c r="D245" s="2">
        <v>13</v>
      </c>
      <c r="E245" s="2">
        <v>1.62</v>
      </c>
      <c r="F245" s="2">
        <v>7.46</v>
      </c>
      <c r="G245" s="2" t="s">
        <v>160</v>
      </c>
      <c r="H245">
        <f>IF(AND(OR(لوحة_القيادة!$C$4="الكل", A245=لوحة_القيادة!$C$4), IF(لوحة_القيادة!$C$5="الكل", TRUE, INDEX($V245:$AG245, 1, VALUE(لوحة_القيادة!$C$5))&gt;0)), 1, 0)</f>
        <v>0</v>
      </c>
      <c r="I245">
        <f>IF(H245=1, SUM($H$2:H245), "")</f>
        <v>0</v>
      </c>
      <c r="J245" s="2">
        <v>4</v>
      </c>
      <c r="K245" s="2">
        <v>15</v>
      </c>
      <c r="L245" s="2">
        <v>19</v>
      </c>
      <c r="M245" s="2">
        <v>3</v>
      </c>
      <c r="N245" s="2">
        <v>33</v>
      </c>
      <c r="O245" s="2">
        <v>5</v>
      </c>
      <c r="P245" s="2">
        <v>18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1</v>
      </c>
      <c r="W245" s="2">
        <v>1</v>
      </c>
      <c r="X245" s="2">
        <v>2</v>
      </c>
      <c r="Y245" s="2">
        <v>2</v>
      </c>
      <c r="Z245" s="2">
        <v>3</v>
      </c>
      <c r="AA245" s="2">
        <v>3</v>
      </c>
      <c r="AB245" s="2">
        <v>1</v>
      </c>
      <c r="AC245" s="2">
        <v>0</v>
      </c>
      <c r="AD245" s="2">
        <v>0</v>
      </c>
      <c r="AE245" s="2">
        <v>0</v>
      </c>
      <c r="AF245" s="2">
        <v>0</v>
      </c>
      <c r="AG245" s="2">
        <v>1</v>
      </c>
      <c r="AH245" s="2">
        <v>6</v>
      </c>
      <c r="AI245" s="2">
        <v>3</v>
      </c>
      <c r="AJ245" s="2">
        <v>1</v>
      </c>
      <c r="AK245" s="2">
        <v>0</v>
      </c>
      <c r="AL245" s="2">
        <v>0</v>
      </c>
      <c r="AM245" s="2">
        <v>2</v>
      </c>
      <c r="AN245" s="2">
        <v>0</v>
      </c>
      <c r="AO245" s="2">
        <v>0</v>
      </c>
      <c r="AP245" s="2">
        <v>1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1</v>
      </c>
      <c r="BC245" s="2">
        <v>2</v>
      </c>
      <c r="BD245" s="2">
        <v>2</v>
      </c>
      <c r="BE245" s="2">
        <v>1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1</v>
      </c>
      <c r="BN245" s="2">
        <v>0</v>
      </c>
      <c r="BO245" s="2">
        <v>0</v>
      </c>
      <c r="BP245" s="2">
        <v>1</v>
      </c>
      <c r="BQ245" s="2">
        <v>1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1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0</v>
      </c>
      <c r="CX245" s="2">
        <v>0</v>
      </c>
      <c r="CY245" s="2">
        <v>0</v>
      </c>
      <c r="CZ245" s="2">
        <v>0</v>
      </c>
      <c r="DA245" s="2">
        <v>0</v>
      </c>
      <c r="DB245" s="2">
        <v>0</v>
      </c>
      <c r="DC245" s="2">
        <v>0</v>
      </c>
      <c r="DD245" s="2">
        <v>0</v>
      </c>
      <c r="DE245" s="2">
        <v>0</v>
      </c>
      <c r="DF245" s="2">
        <v>0</v>
      </c>
      <c r="DG245" s="2">
        <v>0</v>
      </c>
      <c r="DH245" s="2">
        <v>0</v>
      </c>
      <c r="DI245" s="2">
        <v>0</v>
      </c>
      <c r="DJ245" s="2">
        <v>0</v>
      </c>
      <c r="DK245" s="2">
        <v>0</v>
      </c>
      <c r="DL245" s="2">
        <v>0</v>
      </c>
      <c r="DM245" s="2">
        <v>1</v>
      </c>
      <c r="DN245" s="2">
        <v>1</v>
      </c>
      <c r="DO245" s="2">
        <v>0</v>
      </c>
      <c r="DP245" s="2">
        <v>0</v>
      </c>
      <c r="DQ245" s="2">
        <v>0</v>
      </c>
      <c r="DR245" s="2">
        <v>0</v>
      </c>
      <c r="DS245" s="2">
        <v>0</v>
      </c>
    </row>
    <row r="246" spans="1:123">
      <c r="A246" s="2" t="s">
        <v>4</v>
      </c>
      <c r="B246" s="2" t="s">
        <v>459</v>
      </c>
      <c r="C246" s="2">
        <v>96</v>
      </c>
      <c r="D246" s="2">
        <v>41</v>
      </c>
      <c r="E246" s="2">
        <v>1.6</v>
      </c>
      <c r="F246" s="2">
        <v>2.34</v>
      </c>
      <c r="G246" s="2" t="s">
        <v>160</v>
      </c>
      <c r="H246">
        <f>IF(AND(OR(لوحة_القيادة!$C$4="الكل", A246=لوحة_القيادة!$C$4), IF(لوحة_القيادة!$C$5="الكل", TRUE, INDEX($V246:$AG246, 1, VALUE(لوحة_القيادة!$C$5))&gt;0)), 1, 0)</f>
        <v>0</v>
      </c>
      <c r="I246">
        <f>IF(H246=1, SUM($H$2:H246), "")</f>
        <v>0</v>
      </c>
      <c r="J246" s="2">
        <v>13</v>
      </c>
      <c r="K246" s="2">
        <v>16</v>
      </c>
      <c r="L246" s="2">
        <v>12</v>
      </c>
      <c r="M246" s="2">
        <v>20</v>
      </c>
      <c r="N246" s="2">
        <v>15</v>
      </c>
      <c r="O246" s="2">
        <v>15</v>
      </c>
      <c r="P246" s="2">
        <v>5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5</v>
      </c>
      <c r="W246" s="2">
        <v>8</v>
      </c>
      <c r="X246" s="2">
        <v>6</v>
      </c>
      <c r="Y246" s="2">
        <v>7</v>
      </c>
      <c r="Z246" s="2">
        <v>5</v>
      </c>
      <c r="AA246" s="2">
        <v>8</v>
      </c>
      <c r="AB246" s="2">
        <v>2</v>
      </c>
      <c r="AC246" s="2">
        <v>0</v>
      </c>
      <c r="AD246" s="2">
        <v>0</v>
      </c>
      <c r="AE246" s="2">
        <v>0</v>
      </c>
      <c r="AF246" s="2">
        <v>0</v>
      </c>
      <c r="AG246" s="2">
        <v>9</v>
      </c>
      <c r="AH246" s="2">
        <v>8</v>
      </c>
      <c r="AI246" s="2">
        <v>9</v>
      </c>
      <c r="AJ246" s="2">
        <v>5</v>
      </c>
      <c r="AK246" s="2">
        <v>0</v>
      </c>
      <c r="AL246" s="2">
        <v>0</v>
      </c>
      <c r="AM246" s="2">
        <v>10</v>
      </c>
      <c r="AN246" s="2">
        <v>1</v>
      </c>
      <c r="AO246" s="2">
        <v>1</v>
      </c>
      <c r="AP246" s="2">
        <v>0</v>
      </c>
      <c r="AQ246" s="2">
        <v>3</v>
      </c>
      <c r="AR246" s="2">
        <v>3</v>
      </c>
      <c r="AS246" s="2">
        <v>1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1</v>
      </c>
      <c r="BA246" s="2">
        <v>1</v>
      </c>
      <c r="BB246" s="2">
        <v>2</v>
      </c>
      <c r="BC246" s="2">
        <v>1</v>
      </c>
      <c r="BD246" s="2">
        <v>1</v>
      </c>
      <c r="BE246" s="2">
        <v>2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1</v>
      </c>
      <c r="BM246" s="2">
        <v>2</v>
      </c>
      <c r="BN246" s="2">
        <v>3</v>
      </c>
      <c r="BO246" s="2">
        <v>2</v>
      </c>
      <c r="BP246" s="2">
        <v>0</v>
      </c>
      <c r="BQ246" s="2">
        <v>1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1</v>
      </c>
      <c r="BZ246" s="2">
        <v>0</v>
      </c>
      <c r="CA246" s="2">
        <v>0</v>
      </c>
      <c r="CB246" s="2">
        <v>1</v>
      </c>
      <c r="CC246" s="2">
        <v>1</v>
      </c>
      <c r="CD246" s="2">
        <v>2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 s="2">
        <v>0</v>
      </c>
      <c r="DC246" s="2">
        <v>0</v>
      </c>
      <c r="DD246" s="2">
        <v>0</v>
      </c>
      <c r="DE246" s="2">
        <v>0</v>
      </c>
      <c r="DF246" s="2">
        <v>0</v>
      </c>
      <c r="DG246" s="2">
        <v>0</v>
      </c>
      <c r="DH246" s="2">
        <v>2</v>
      </c>
      <c r="DI246" s="2">
        <v>3</v>
      </c>
      <c r="DJ246" s="2">
        <v>1</v>
      </c>
      <c r="DK246" s="2">
        <v>1</v>
      </c>
      <c r="DL246" s="2">
        <v>0</v>
      </c>
      <c r="DM246" s="2">
        <v>3</v>
      </c>
      <c r="DN246" s="2">
        <v>0</v>
      </c>
      <c r="DO246" s="2">
        <v>0</v>
      </c>
      <c r="DP246" s="2">
        <v>0</v>
      </c>
      <c r="DQ246" s="2">
        <v>0</v>
      </c>
      <c r="DR246" s="2">
        <v>0</v>
      </c>
      <c r="DS246" s="2">
        <v>0</v>
      </c>
    </row>
    <row r="247" spans="1:123">
      <c r="A247" s="2" t="s">
        <v>14</v>
      </c>
      <c r="B247" s="2" t="s">
        <v>460</v>
      </c>
      <c r="C247" s="2">
        <v>95</v>
      </c>
      <c r="D247" s="2">
        <v>6</v>
      </c>
      <c r="E247" s="2">
        <v>1.58</v>
      </c>
      <c r="F247" s="2">
        <v>15.83</v>
      </c>
      <c r="G247" s="2" t="s">
        <v>303</v>
      </c>
      <c r="H247">
        <f>IF(AND(OR(لوحة_القيادة!$C$4="الكل", A247=لوحة_القيادة!$C$4), IF(لوحة_القيادة!$C$5="الكل", TRUE, INDEX($V247:$AG247, 1, VALUE(لوحة_القيادة!$C$5))&gt;0)), 1, 0)</f>
        <v>0</v>
      </c>
      <c r="I247">
        <f>IF(H247=1, SUM($H$2:H247), "")</f>
        <v>0</v>
      </c>
      <c r="J247" s="2">
        <v>56</v>
      </c>
      <c r="K247" s="2">
        <v>3</v>
      </c>
      <c r="L247" s="2">
        <v>34</v>
      </c>
      <c r="M247" s="2">
        <v>2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2</v>
      </c>
      <c r="W247" s="2">
        <v>1</v>
      </c>
      <c r="X247" s="2">
        <v>2</v>
      </c>
      <c r="Y247" s="2">
        <v>1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2</v>
      </c>
      <c r="AH247" s="2">
        <v>3</v>
      </c>
      <c r="AI247" s="2">
        <v>0</v>
      </c>
      <c r="AJ247" s="2">
        <v>0</v>
      </c>
      <c r="AK247" s="2">
        <v>0</v>
      </c>
      <c r="AL247" s="2">
        <v>0</v>
      </c>
      <c r="AM247" s="2">
        <v>1</v>
      </c>
      <c r="AN247" s="2">
        <v>1</v>
      </c>
      <c r="AO247" s="2">
        <v>0</v>
      </c>
      <c r="AP247" s="2">
        <v>0</v>
      </c>
      <c r="AQ247" s="2">
        <v>1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1</v>
      </c>
      <c r="BA247" s="2">
        <v>0</v>
      </c>
      <c r="BB247" s="2">
        <v>2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0</v>
      </c>
      <c r="DE247" s="2">
        <v>0</v>
      </c>
      <c r="DF247" s="2">
        <v>0</v>
      </c>
      <c r="DG247" s="2">
        <v>0</v>
      </c>
      <c r="DH247" s="2">
        <v>0</v>
      </c>
      <c r="DI247" s="2">
        <v>1</v>
      </c>
      <c r="DJ247" s="2">
        <v>0</v>
      </c>
      <c r="DK247" s="2">
        <v>0</v>
      </c>
      <c r="DL247" s="2">
        <v>0</v>
      </c>
      <c r="DM247" s="2">
        <v>0</v>
      </c>
      <c r="DN247" s="2">
        <v>0</v>
      </c>
      <c r="DO247" s="2">
        <v>0</v>
      </c>
      <c r="DP247" s="2">
        <v>0</v>
      </c>
      <c r="DQ247" s="2">
        <v>0</v>
      </c>
      <c r="DR247" s="2">
        <v>0</v>
      </c>
      <c r="DS247" s="2">
        <v>0</v>
      </c>
    </row>
    <row r="248" spans="1:123">
      <c r="A248" s="2" t="s">
        <v>8</v>
      </c>
      <c r="B248" s="2" t="s">
        <v>461</v>
      </c>
      <c r="C248" s="2">
        <v>93</v>
      </c>
      <c r="D248" s="2">
        <v>18</v>
      </c>
      <c r="E248" s="2">
        <v>1.55</v>
      </c>
      <c r="F248" s="2">
        <v>5.17</v>
      </c>
      <c r="G248" s="2" t="s">
        <v>170</v>
      </c>
      <c r="H248">
        <f>IF(AND(OR(لوحة_القيادة!$C$4="الكل", A248=لوحة_القيادة!$C$4), IF(لوحة_القيادة!$C$5="الكل", TRUE, INDEX($V248:$AG248, 1, VALUE(لوحة_القيادة!$C$5))&gt;0)), 1, 0)</f>
        <v>0</v>
      </c>
      <c r="I248">
        <f>IF(H248=1, SUM($H$2:H248), "")</f>
        <v>0</v>
      </c>
      <c r="J248" s="2">
        <v>8</v>
      </c>
      <c r="K248" s="2">
        <v>11</v>
      </c>
      <c r="L248" s="2">
        <v>29</v>
      </c>
      <c r="M248" s="2">
        <v>19</v>
      </c>
      <c r="N248" s="2">
        <v>14</v>
      </c>
      <c r="O248" s="2">
        <v>12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1</v>
      </c>
      <c r="W248" s="2">
        <v>2</v>
      </c>
      <c r="X248" s="2">
        <v>3</v>
      </c>
      <c r="Y248" s="2">
        <v>5</v>
      </c>
      <c r="Z248" s="2">
        <v>3</v>
      </c>
      <c r="AA248" s="2">
        <v>4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4</v>
      </c>
      <c r="AH248" s="2">
        <v>5</v>
      </c>
      <c r="AI248" s="2">
        <v>1</v>
      </c>
      <c r="AJ248" s="2">
        <v>1</v>
      </c>
      <c r="AK248" s="2">
        <v>0</v>
      </c>
      <c r="AL248" s="2">
        <v>0</v>
      </c>
      <c r="AM248" s="2">
        <v>7</v>
      </c>
      <c r="AN248" s="2">
        <v>1</v>
      </c>
      <c r="AO248" s="2">
        <v>0</v>
      </c>
      <c r="AP248" s="2">
        <v>0</v>
      </c>
      <c r="AQ248" s="2">
        <v>2</v>
      </c>
      <c r="AR248" s="2">
        <v>0</v>
      </c>
      <c r="AS248" s="2">
        <v>1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1</v>
      </c>
      <c r="BB248" s="2">
        <v>1</v>
      </c>
      <c r="BC248" s="2">
        <v>1</v>
      </c>
      <c r="BD248" s="2">
        <v>2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1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1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0</v>
      </c>
      <c r="DB248" s="2">
        <v>0</v>
      </c>
      <c r="DC248" s="2">
        <v>0</v>
      </c>
      <c r="DD248" s="2">
        <v>0</v>
      </c>
      <c r="DE248" s="2">
        <v>0</v>
      </c>
      <c r="DF248" s="2">
        <v>0</v>
      </c>
      <c r="DG248" s="2">
        <v>0</v>
      </c>
      <c r="DH248" s="2">
        <v>0</v>
      </c>
      <c r="DI248" s="2">
        <v>0</v>
      </c>
      <c r="DJ248" s="2">
        <v>2</v>
      </c>
      <c r="DK248" s="2">
        <v>2</v>
      </c>
      <c r="DL248" s="2">
        <v>1</v>
      </c>
      <c r="DM248" s="2">
        <v>2</v>
      </c>
      <c r="DN248" s="2">
        <v>0</v>
      </c>
      <c r="DO248" s="2">
        <v>0</v>
      </c>
      <c r="DP248" s="2">
        <v>0</v>
      </c>
      <c r="DQ248" s="2">
        <v>0</v>
      </c>
      <c r="DR248" s="2">
        <v>0</v>
      </c>
      <c r="DS248" s="2">
        <v>0</v>
      </c>
    </row>
    <row r="249" spans="1:123">
      <c r="A249" s="2" t="s">
        <v>11</v>
      </c>
      <c r="B249" s="2" t="s">
        <v>462</v>
      </c>
      <c r="C249" s="2">
        <v>93</v>
      </c>
      <c r="D249" s="2">
        <v>3</v>
      </c>
      <c r="E249" s="2">
        <v>1.55</v>
      </c>
      <c r="F249" s="2">
        <v>31</v>
      </c>
      <c r="G249" s="2" t="s">
        <v>463</v>
      </c>
      <c r="H249">
        <f>IF(AND(OR(لوحة_القيادة!$C$4="الكل", A249=لوحة_القيادة!$C$4), IF(لوحة_القيادة!$C$5="الكل", TRUE, INDEX($V249:$AG249, 1, VALUE(لوحة_القيادة!$C$5))&gt;0)), 1, 0)</f>
        <v>0</v>
      </c>
      <c r="I249">
        <f>IF(H249=1, SUM($H$2:H249), "")</f>
        <v>0</v>
      </c>
      <c r="J249" s="2">
        <v>0</v>
      </c>
      <c r="K249" s="2">
        <v>0</v>
      </c>
      <c r="L249" s="2">
        <v>0</v>
      </c>
      <c r="M249" s="2">
        <v>60</v>
      </c>
      <c r="N249" s="2">
        <v>0</v>
      </c>
      <c r="O249" s="2">
        <v>33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2</v>
      </c>
      <c r="Z249" s="2">
        <v>0</v>
      </c>
      <c r="AA249" s="2">
        <v>1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3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2</v>
      </c>
      <c r="CB249" s="2">
        <v>0</v>
      </c>
      <c r="CC249" s="2">
        <v>1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0</v>
      </c>
      <c r="DB249" s="2">
        <v>0</v>
      </c>
      <c r="DC249" s="2">
        <v>0</v>
      </c>
      <c r="DD249" s="2">
        <v>0</v>
      </c>
      <c r="DE249" s="2">
        <v>0</v>
      </c>
      <c r="DF249" s="2">
        <v>0</v>
      </c>
      <c r="DG249" s="2">
        <v>0</v>
      </c>
      <c r="DH249" s="2">
        <v>0</v>
      </c>
      <c r="DI249" s="2">
        <v>0</v>
      </c>
      <c r="DJ249" s="2">
        <v>0</v>
      </c>
      <c r="DK249" s="2">
        <v>0</v>
      </c>
      <c r="DL249" s="2">
        <v>0</v>
      </c>
      <c r="DM249" s="2">
        <v>0</v>
      </c>
      <c r="DN249" s="2">
        <v>0</v>
      </c>
      <c r="DO249" s="2">
        <v>0</v>
      </c>
      <c r="DP249" s="2">
        <v>0</v>
      </c>
      <c r="DQ249" s="2">
        <v>0</v>
      </c>
      <c r="DR249" s="2">
        <v>0</v>
      </c>
      <c r="DS249" s="2">
        <v>0</v>
      </c>
    </row>
    <row r="250" spans="1:123">
      <c r="A250" s="2" t="s">
        <v>14</v>
      </c>
      <c r="B250" s="2" t="s">
        <v>464</v>
      </c>
      <c r="C250" s="2">
        <v>92</v>
      </c>
      <c r="D250" s="2">
        <v>3</v>
      </c>
      <c r="E250" s="2">
        <v>1.53</v>
      </c>
      <c r="F250" s="2">
        <v>30.67</v>
      </c>
      <c r="G250" s="2" t="s">
        <v>465</v>
      </c>
      <c r="H250">
        <f>IF(AND(OR(لوحة_القيادة!$C$4="الكل", A250=لوحة_القيادة!$C$4), IF(لوحة_القيادة!$C$5="الكل", TRUE, INDEX($V250:$AG250, 1, VALUE(لوحة_القيادة!$C$5))&gt;0)), 1, 0)</f>
        <v>0</v>
      </c>
      <c r="I250">
        <f>IF(H250=1, SUM($H$2:H250), "")</f>
        <v>0</v>
      </c>
      <c r="J250" s="2">
        <v>0</v>
      </c>
      <c r="K250" s="2">
        <v>5</v>
      </c>
      <c r="L250" s="2">
        <v>87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1</v>
      </c>
      <c r="X250" s="2">
        <v>2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1</v>
      </c>
      <c r="AH250" s="2">
        <v>0</v>
      </c>
      <c r="AI250" s="2">
        <v>2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1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1</v>
      </c>
      <c r="BN250" s="2">
        <v>1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0</v>
      </c>
      <c r="DB250" s="2">
        <v>0</v>
      </c>
      <c r="DC250" s="2">
        <v>0</v>
      </c>
      <c r="DD250" s="2">
        <v>0</v>
      </c>
      <c r="DE250" s="2">
        <v>0</v>
      </c>
      <c r="DF250" s="2">
        <v>0</v>
      </c>
      <c r="DG250" s="2">
        <v>0</v>
      </c>
      <c r="DH250" s="2">
        <v>0</v>
      </c>
      <c r="DI250" s="2">
        <v>0</v>
      </c>
      <c r="DJ250" s="2">
        <v>0</v>
      </c>
      <c r="DK250" s="2">
        <v>0</v>
      </c>
      <c r="DL250" s="2">
        <v>0</v>
      </c>
      <c r="DM250" s="2">
        <v>0</v>
      </c>
      <c r="DN250" s="2">
        <v>0</v>
      </c>
      <c r="DO250" s="2">
        <v>0</v>
      </c>
      <c r="DP250" s="2">
        <v>0</v>
      </c>
      <c r="DQ250" s="2">
        <v>0</v>
      </c>
      <c r="DR250" s="2">
        <v>0</v>
      </c>
      <c r="DS250" s="2">
        <v>0</v>
      </c>
    </row>
    <row r="251" spans="1:123">
      <c r="A251" s="2" t="s">
        <v>3</v>
      </c>
      <c r="B251" s="2" t="s">
        <v>466</v>
      </c>
      <c r="C251" s="2">
        <v>91</v>
      </c>
      <c r="D251" s="2">
        <v>4</v>
      </c>
      <c r="E251" s="2">
        <v>1.52</v>
      </c>
      <c r="F251" s="2">
        <v>22.75</v>
      </c>
      <c r="G251" s="2" t="s">
        <v>29</v>
      </c>
      <c r="H251">
        <f>IF(AND(OR(لوحة_القيادة!$C$4="الكل", A251=لوحة_القيادة!$C$4), IF(لوحة_القيادة!$C$5="الكل", TRUE, INDEX($V251:$AG251, 1, VALUE(لوحة_القيادة!$C$5))&gt;0)), 1, 0)</f>
        <v>0</v>
      </c>
      <c r="I251">
        <f>IF(H251=1, SUM($H$2:H251), "")</f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91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4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1</v>
      </c>
      <c r="AI251" s="2">
        <v>0</v>
      </c>
      <c r="AJ251" s="2">
        <v>2</v>
      </c>
      <c r="AK251" s="2">
        <v>0</v>
      </c>
      <c r="AL251" s="2">
        <v>0</v>
      </c>
      <c r="AM251" s="2">
        <v>1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1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2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0</v>
      </c>
      <c r="DB251" s="2">
        <v>0</v>
      </c>
      <c r="DC251" s="2">
        <v>0</v>
      </c>
      <c r="DD251" s="2">
        <v>0</v>
      </c>
      <c r="DE251" s="2">
        <v>0</v>
      </c>
      <c r="DF251" s="2">
        <v>0</v>
      </c>
      <c r="DG251" s="2">
        <v>0</v>
      </c>
      <c r="DH251" s="2">
        <v>0</v>
      </c>
      <c r="DI251" s="2">
        <v>0</v>
      </c>
      <c r="DJ251" s="2">
        <v>0</v>
      </c>
      <c r="DK251" s="2">
        <v>0</v>
      </c>
      <c r="DL251" s="2">
        <v>0</v>
      </c>
      <c r="DM251" s="2">
        <v>0</v>
      </c>
      <c r="DN251" s="2">
        <v>1</v>
      </c>
      <c r="DO251" s="2">
        <v>0</v>
      </c>
      <c r="DP251" s="2">
        <v>0</v>
      </c>
      <c r="DQ251" s="2">
        <v>0</v>
      </c>
      <c r="DR251" s="2">
        <v>0</v>
      </c>
      <c r="DS251" s="2">
        <v>0</v>
      </c>
    </row>
    <row r="252" spans="1:123">
      <c r="A252" s="2" t="s">
        <v>13</v>
      </c>
      <c r="B252" s="2" t="s">
        <v>467</v>
      </c>
      <c r="C252" s="2">
        <v>91</v>
      </c>
      <c r="D252" s="2">
        <v>10</v>
      </c>
      <c r="E252" s="2">
        <v>1.52</v>
      </c>
      <c r="F252" s="2">
        <v>9.1</v>
      </c>
      <c r="G252" s="2" t="s">
        <v>208</v>
      </c>
      <c r="H252">
        <f>IF(AND(OR(لوحة_القيادة!$C$4="الكل", A252=لوحة_القيادة!$C$4), IF(لوحة_القيادة!$C$5="الكل", TRUE, INDEX($V252:$AG252, 1, VALUE(لوحة_القيادة!$C$5))&gt;0)), 1, 0)</f>
        <v>0</v>
      </c>
      <c r="I252">
        <f>IF(H252=1, SUM($H$2:H252), "")</f>
        <v>0</v>
      </c>
      <c r="J252" s="2">
        <v>55</v>
      </c>
      <c r="K252" s="2">
        <v>2</v>
      </c>
      <c r="L252" s="2">
        <v>0</v>
      </c>
      <c r="M252" s="2">
        <v>1</v>
      </c>
      <c r="N252" s="2">
        <v>33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4</v>
      </c>
      <c r="W252" s="2">
        <v>1</v>
      </c>
      <c r="X252" s="2">
        <v>0</v>
      </c>
      <c r="Y252" s="2">
        <v>1</v>
      </c>
      <c r="Z252" s="2">
        <v>4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2</v>
      </c>
      <c r="AH252" s="2">
        <v>2</v>
      </c>
      <c r="AI252" s="2">
        <v>2</v>
      </c>
      <c r="AJ252" s="2">
        <v>1</v>
      </c>
      <c r="AK252" s="2">
        <v>0</v>
      </c>
      <c r="AL252" s="2">
        <v>0</v>
      </c>
      <c r="AM252" s="2">
        <v>3</v>
      </c>
      <c r="AN252" s="2">
        <v>0</v>
      </c>
      <c r="AO252" s="2">
        <v>0</v>
      </c>
      <c r="AP252" s="2">
        <v>0</v>
      </c>
      <c r="AQ252" s="2">
        <v>0</v>
      </c>
      <c r="AR252" s="2">
        <v>2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1</v>
      </c>
      <c r="BA252" s="2">
        <v>0</v>
      </c>
      <c r="BB252" s="2">
        <v>0</v>
      </c>
      <c r="BC252" s="2">
        <v>0</v>
      </c>
      <c r="BD252" s="2">
        <v>1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1</v>
      </c>
      <c r="BM252" s="2">
        <v>0</v>
      </c>
      <c r="BN252" s="2">
        <v>0</v>
      </c>
      <c r="BO252" s="2">
        <v>0</v>
      </c>
      <c r="BP252" s="2">
        <v>1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1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0</v>
      </c>
      <c r="DB252" s="2">
        <v>0</v>
      </c>
      <c r="DC252" s="2">
        <v>0</v>
      </c>
      <c r="DD252" s="2">
        <v>0</v>
      </c>
      <c r="DE252" s="2">
        <v>0</v>
      </c>
      <c r="DF252" s="2">
        <v>0</v>
      </c>
      <c r="DG252" s="2">
        <v>0</v>
      </c>
      <c r="DH252" s="2">
        <v>2</v>
      </c>
      <c r="DI252" s="2">
        <v>1</v>
      </c>
      <c r="DJ252" s="2">
        <v>0</v>
      </c>
      <c r="DK252" s="2">
        <v>0</v>
      </c>
      <c r="DL252" s="2">
        <v>0</v>
      </c>
      <c r="DM252" s="2">
        <v>0</v>
      </c>
      <c r="DN252" s="2">
        <v>0</v>
      </c>
      <c r="DO252" s="2">
        <v>0</v>
      </c>
      <c r="DP252" s="2">
        <v>0</v>
      </c>
      <c r="DQ252" s="2">
        <v>0</v>
      </c>
      <c r="DR252" s="2">
        <v>0</v>
      </c>
      <c r="DS252" s="2">
        <v>0</v>
      </c>
    </row>
    <row r="253" spans="1:123">
      <c r="A253" s="2" t="s">
        <v>18</v>
      </c>
      <c r="B253" s="2" t="s">
        <v>468</v>
      </c>
      <c r="C253" s="2">
        <v>89</v>
      </c>
      <c r="D253" s="2">
        <v>8</v>
      </c>
      <c r="E253" s="2">
        <v>1.48</v>
      </c>
      <c r="F253" s="2">
        <v>11.12</v>
      </c>
      <c r="G253" s="2" t="s">
        <v>303</v>
      </c>
      <c r="H253">
        <f>IF(AND(OR(لوحة_القيادة!$C$4="الكل", A253=لوحة_القيادة!$C$4), IF(لوحة_القيادة!$C$5="الكل", TRUE, INDEX($V253:$AG253, 1, VALUE(لوحة_القيادة!$C$5))&gt;0)), 1, 0)</f>
        <v>0</v>
      </c>
      <c r="I253">
        <f>IF(H253=1, SUM($H$2:H253), "")</f>
        <v>0</v>
      </c>
      <c r="J253" s="2">
        <v>9</v>
      </c>
      <c r="K253" s="2">
        <v>54</v>
      </c>
      <c r="L253" s="2">
        <v>23</v>
      </c>
      <c r="M253" s="2">
        <v>3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3</v>
      </c>
      <c r="W253" s="2">
        <v>2</v>
      </c>
      <c r="X253" s="2">
        <v>2</v>
      </c>
      <c r="Y253" s="2">
        <v>1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2</v>
      </c>
      <c r="AH253" s="2">
        <v>1</v>
      </c>
      <c r="AI253" s="2">
        <v>1</v>
      </c>
      <c r="AJ253" s="2">
        <v>2</v>
      </c>
      <c r="AK253" s="2">
        <v>0</v>
      </c>
      <c r="AL253" s="2">
        <v>0</v>
      </c>
      <c r="AM253" s="2">
        <v>2</v>
      </c>
      <c r="AN253" s="2">
        <v>2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1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1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1</v>
      </c>
      <c r="BZ253" s="2">
        <v>1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2">
        <v>0</v>
      </c>
      <c r="CX253" s="2">
        <v>0</v>
      </c>
      <c r="CY253" s="2">
        <v>0</v>
      </c>
      <c r="CZ253" s="2">
        <v>0</v>
      </c>
      <c r="DA253" s="2">
        <v>0</v>
      </c>
      <c r="DB253" s="2">
        <v>0</v>
      </c>
      <c r="DC253" s="2">
        <v>0</v>
      </c>
      <c r="DD253" s="2">
        <v>0</v>
      </c>
      <c r="DE253" s="2">
        <v>0</v>
      </c>
      <c r="DF253" s="2">
        <v>0</v>
      </c>
      <c r="DG253" s="2">
        <v>0</v>
      </c>
      <c r="DH253" s="2">
        <v>0</v>
      </c>
      <c r="DI253" s="2">
        <v>0</v>
      </c>
      <c r="DJ253" s="2">
        <v>1</v>
      </c>
      <c r="DK253" s="2">
        <v>1</v>
      </c>
      <c r="DL253" s="2">
        <v>0</v>
      </c>
      <c r="DM253" s="2">
        <v>0</v>
      </c>
      <c r="DN253" s="2">
        <v>0</v>
      </c>
      <c r="DO253" s="2">
        <v>0</v>
      </c>
      <c r="DP253" s="2">
        <v>0</v>
      </c>
      <c r="DQ253" s="2">
        <v>0</v>
      </c>
      <c r="DR253" s="2">
        <v>0</v>
      </c>
      <c r="DS253" s="2">
        <v>0</v>
      </c>
    </row>
    <row r="254" spans="1:123">
      <c r="A254" s="2" t="s">
        <v>11</v>
      </c>
      <c r="B254" s="2" t="s">
        <v>469</v>
      </c>
      <c r="C254" s="2">
        <v>88</v>
      </c>
      <c r="D254" s="2">
        <v>1</v>
      </c>
      <c r="E254" s="2">
        <v>1.47</v>
      </c>
      <c r="F254" s="2">
        <v>88</v>
      </c>
      <c r="G254" s="2" t="s">
        <v>28</v>
      </c>
      <c r="H254">
        <f>IF(AND(OR(لوحة_القيادة!$C$4="الكل", A254=لوحة_القيادة!$C$4), IF(لوحة_القيادة!$C$5="الكل", TRUE, INDEX($V254:$AG254, 1, VALUE(لوحة_القيادة!$C$5))&gt;0)), 1, 0)</f>
        <v>0</v>
      </c>
      <c r="I254">
        <f>IF(H254=1, SUM($H$2:H254), "")</f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88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1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1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1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  <c r="DA254" s="2">
        <v>0</v>
      </c>
      <c r="DB254" s="2">
        <v>0</v>
      </c>
      <c r="DC254" s="2">
        <v>0</v>
      </c>
      <c r="DD254" s="2">
        <v>0</v>
      </c>
      <c r="DE254" s="2">
        <v>0</v>
      </c>
      <c r="DF254" s="2">
        <v>0</v>
      </c>
      <c r="DG254" s="2">
        <v>0</v>
      </c>
      <c r="DH254" s="2">
        <v>0</v>
      </c>
      <c r="DI254" s="2">
        <v>0</v>
      </c>
      <c r="DJ254" s="2">
        <v>0</v>
      </c>
      <c r="DK254" s="2">
        <v>0</v>
      </c>
      <c r="DL254" s="2">
        <v>0</v>
      </c>
      <c r="DM254" s="2">
        <v>0</v>
      </c>
      <c r="DN254" s="2">
        <v>0</v>
      </c>
      <c r="DO254" s="2">
        <v>0</v>
      </c>
      <c r="DP254" s="2">
        <v>0</v>
      </c>
      <c r="DQ254" s="2">
        <v>0</v>
      </c>
      <c r="DR254" s="2">
        <v>0</v>
      </c>
      <c r="DS254" s="2">
        <v>0</v>
      </c>
    </row>
    <row r="255" spans="1:123">
      <c r="A255" s="2" t="s">
        <v>16</v>
      </c>
      <c r="B255" s="2" t="s">
        <v>470</v>
      </c>
      <c r="C255" s="2">
        <v>87</v>
      </c>
      <c r="D255" s="2">
        <v>8</v>
      </c>
      <c r="E255" s="2">
        <v>1.45</v>
      </c>
      <c r="F255" s="2">
        <v>10.88</v>
      </c>
      <c r="G255" s="2" t="s">
        <v>240</v>
      </c>
      <c r="H255">
        <f>IF(AND(OR(لوحة_القيادة!$C$4="الكل", A255=لوحة_القيادة!$C$4), IF(لوحة_القيادة!$C$5="الكل", TRUE, INDEX($V255:$AG255, 1, VALUE(لوحة_القيادة!$C$5))&gt;0)), 1, 0)</f>
        <v>0</v>
      </c>
      <c r="I255">
        <f>IF(H255=1, SUM($H$2:H255), "")</f>
        <v>0</v>
      </c>
      <c r="J255" s="2">
        <v>60</v>
      </c>
      <c r="K255" s="2">
        <v>0</v>
      </c>
      <c r="L255" s="2">
        <v>8</v>
      </c>
      <c r="M255" s="2">
        <v>1</v>
      </c>
      <c r="N255" s="2">
        <v>3</v>
      </c>
      <c r="O255" s="2">
        <v>12</v>
      </c>
      <c r="P255" s="2">
        <v>3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1</v>
      </c>
      <c r="W255" s="2">
        <v>0</v>
      </c>
      <c r="X255" s="2">
        <v>2</v>
      </c>
      <c r="Y255" s="2">
        <v>1</v>
      </c>
      <c r="Z255" s="2">
        <v>1</v>
      </c>
      <c r="AA255" s="2">
        <v>2</v>
      </c>
      <c r="AB255" s="2">
        <v>1</v>
      </c>
      <c r="AC255" s="2">
        <v>0</v>
      </c>
      <c r="AD255" s="2">
        <v>0</v>
      </c>
      <c r="AE255" s="2">
        <v>0</v>
      </c>
      <c r="AF255" s="2">
        <v>0</v>
      </c>
      <c r="AG255" s="2">
        <v>1</v>
      </c>
      <c r="AH255" s="2">
        <v>1</v>
      </c>
      <c r="AI255" s="2">
        <v>3</v>
      </c>
      <c r="AJ255" s="2">
        <v>2</v>
      </c>
      <c r="AK255" s="2">
        <v>0</v>
      </c>
      <c r="AL255" s="2">
        <v>0</v>
      </c>
      <c r="AM255" s="2">
        <v>1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1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1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1</v>
      </c>
      <c r="BO255" s="2">
        <v>0</v>
      </c>
      <c r="BP255" s="2">
        <v>0</v>
      </c>
      <c r="BQ255" s="2">
        <v>1</v>
      </c>
      <c r="BR255" s="2">
        <v>1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1</v>
      </c>
      <c r="BY255" s="2">
        <v>0</v>
      </c>
      <c r="BZ255" s="2">
        <v>1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0</v>
      </c>
      <c r="DB255" s="2">
        <v>0</v>
      </c>
      <c r="DC255" s="2">
        <v>0</v>
      </c>
      <c r="DD255" s="2">
        <v>0</v>
      </c>
      <c r="DE255" s="2">
        <v>0</v>
      </c>
      <c r="DF255" s="2">
        <v>0</v>
      </c>
      <c r="DG255" s="2">
        <v>0</v>
      </c>
      <c r="DH255" s="2">
        <v>0</v>
      </c>
      <c r="DI255" s="2">
        <v>0</v>
      </c>
      <c r="DJ255" s="2">
        <v>0</v>
      </c>
      <c r="DK255" s="2">
        <v>1</v>
      </c>
      <c r="DL255" s="2">
        <v>0</v>
      </c>
      <c r="DM255" s="2">
        <v>0</v>
      </c>
      <c r="DN255" s="2">
        <v>0</v>
      </c>
      <c r="DO255" s="2">
        <v>0</v>
      </c>
      <c r="DP255" s="2">
        <v>0</v>
      </c>
      <c r="DQ255" s="2">
        <v>0</v>
      </c>
      <c r="DR255" s="2">
        <v>0</v>
      </c>
      <c r="DS255" s="2">
        <v>0</v>
      </c>
    </row>
    <row r="256" spans="1:123">
      <c r="A256" s="2" t="s">
        <v>18</v>
      </c>
      <c r="B256" s="2" t="s">
        <v>471</v>
      </c>
      <c r="C256" s="2">
        <v>87</v>
      </c>
      <c r="D256" s="2">
        <v>4</v>
      </c>
      <c r="E256" s="2">
        <v>1.45</v>
      </c>
      <c r="F256" s="2">
        <v>21.75</v>
      </c>
      <c r="G256" s="2" t="s">
        <v>434</v>
      </c>
      <c r="H256">
        <f>IF(AND(OR(لوحة_القيادة!$C$4="الكل", A256=لوحة_القيادة!$C$4), IF(لوحة_القيادة!$C$5="الكل", TRUE, INDEX($V256:$AG256, 1, VALUE(لوحة_القيادة!$C$5))&gt;0)), 1, 0)</f>
        <v>0</v>
      </c>
      <c r="I256">
        <f>IF(H256=1, SUM($H$2:H256), "")</f>
        <v>0</v>
      </c>
      <c r="J256" s="2">
        <v>0</v>
      </c>
      <c r="K256" s="2">
        <v>0</v>
      </c>
      <c r="L256" s="2">
        <v>85</v>
      </c>
      <c r="M256" s="2">
        <v>0</v>
      </c>
      <c r="N256" s="2">
        <v>0</v>
      </c>
      <c r="O256" s="2">
        <v>2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3</v>
      </c>
      <c r="Y256" s="2">
        <v>0</v>
      </c>
      <c r="Z256" s="2">
        <v>0</v>
      </c>
      <c r="AA256" s="2">
        <v>1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1</v>
      </c>
      <c r="AH256" s="2">
        <v>2</v>
      </c>
      <c r="AI256" s="2">
        <v>0</v>
      </c>
      <c r="AJ256" s="2">
        <v>0</v>
      </c>
      <c r="AK256" s="2">
        <v>0</v>
      </c>
      <c r="AL256" s="2">
        <v>0</v>
      </c>
      <c r="AM256" s="2">
        <v>1</v>
      </c>
      <c r="AN256" s="2">
        <v>0</v>
      </c>
      <c r="AO256" s="2">
        <v>0</v>
      </c>
      <c r="AP256" s="2">
        <v>1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2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 s="2">
        <v>0</v>
      </c>
      <c r="DC256" s="2">
        <v>0</v>
      </c>
      <c r="DD256" s="2">
        <v>0</v>
      </c>
      <c r="DE256" s="2">
        <v>0</v>
      </c>
      <c r="DF256" s="2">
        <v>0</v>
      </c>
      <c r="DG256" s="2">
        <v>0</v>
      </c>
      <c r="DH256" s="2">
        <v>0</v>
      </c>
      <c r="DI256" s="2">
        <v>0</v>
      </c>
      <c r="DJ256" s="2">
        <v>0</v>
      </c>
      <c r="DK256" s="2">
        <v>0</v>
      </c>
      <c r="DL256" s="2">
        <v>0</v>
      </c>
      <c r="DM256" s="2">
        <v>1</v>
      </c>
      <c r="DN256" s="2">
        <v>0</v>
      </c>
      <c r="DO256" s="2">
        <v>0</v>
      </c>
      <c r="DP256" s="2">
        <v>0</v>
      </c>
      <c r="DQ256" s="2">
        <v>0</v>
      </c>
      <c r="DR256" s="2">
        <v>0</v>
      </c>
      <c r="DS256" s="2">
        <v>0</v>
      </c>
    </row>
    <row r="257" spans="1:123">
      <c r="A257" s="2" t="s">
        <v>17</v>
      </c>
      <c r="B257" s="2" t="s">
        <v>472</v>
      </c>
      <c r="C257" s="2">
        <v>86</v>
      </c>
      <c r="D257" s="2">
        <v>13</v>
      </c>
      <c r="E257" s="2">
        <v>1.43</v>
      </c>
      <c r="F257" s="2">
        <v>6.62</v>
      </c>
      <c r="G257" s="2" t="s">
        <v>306</v>
      </c>
      <c r="H257">
        <f>IF(AND(OR(لوحة_القيادة!$C$4="الكل", A257=لوحة_القيادة!$C$4), IF(لوحة_القيادة!$C$5="الكل", TRUE, INDEX($V257:$AG257, 1, VALUE(لوحة_القيادة!$C$5))&gt;0)), 1, 0)</f>
        <v>0</v>
      </c>
      <c r="I257">
        <f>IF(H257=1, SUM($H$2:H257), "")</f>
        <v>0</v>
      </c>
      <c r="J257" s="2">
        <v>19</v>
      </c>
      <c r="K257" s="2">
        <v>0</v>
      </c>
      <c r="L257" s="2">
        <v>3</v>
      </c>
      <c r="M257" s="2">
        <v>11</v>
      </c>
      <c r="N257" s="2">
        <v>21</v>
      </c>
      <c r="O257" s="2">
        <v>32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3</v>
      </c>
      <c r="W257" s="2">
        <v>0</v>
      </c>
      <c r="X257" s="2">
        <v>1</v>
      </c>
      <c r="Y257" s="2">
        <v>1</v>
      </c>
      <c r="Z257" s="2">
        <v>4</v>
      </c>
      <c r="AA257" s="2">
        <v>4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1</v>
      </c>
      <c r="AH257" s="2">
        <v>2</v>
      </c>
      <c r="AI257" s="2">
        <v>3</v>
      </c>
      <c r="AJ257" s="2">
        <v>2</v>
      </c>
      <c r="AK257" s="2">
        <v>0</v>
      </c>
      <c r="AL257" s="2">
        <v>0</v>
      </c>
      <c r="AM257" s="2">
        <v>5</v>
      </c>
      <c r="AN257" s="2">
        <v>0</v>
      </c>
      <c r="AO257" s="2">
        <v>0</v>
      </c>
      <c r="AP257" s="2">
        <v>0</v>
      </c>
      <c r="AQ257" s="2">
        <v>0</v>
      </c>
      <c r="AR257" s="2">
        <v>1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1</v>
      </c>
      <c r="BE257" s="2">
        <v>1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1</v>
      </c>
      <c r="BM257" s="2">
        <v>0</v>
      </c>
      <c r="BN257" s="2">
        <v>0</v>
      </c>
      <c r="BO257" s="2">
        <v>0</v>
      </c>
      <c r="BP257" s="2">
        <v>1</v>
      </c>
      <c r="BQ257" s="2">
        <v>1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1</v>
      </c>
      <c r="CB257" s="2">
        <v>0</v>
      </c>
      <c r="CC257" s="2">
        <v>1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0</v>
      </c>
      <c r="DB257" s="2">
        <v>0</v>
      </c>
      <c r="DC257" s="2">
        <v>0</v>
      </c>
      <c r="DD257" s="2">
        <v>0</v>
      </c>
      <c r="DE257" s="2">
        <v>0</v>
      </c>
      <c r="DF257" s="2">
        <v>0</v>
      </c>
      <c r="DG257" s="2">
        <v>0</v>
      </c>
      <c r="DH257" s="2">
        <v>2</v>
      </c>
      <c r="DI257" s="2">
        <v>0</v>
      </c>
      <c r="DJ257" s="2">
        <v>1</v>
      </c>
      <c r="DK257" s="2">
        <v>0</v>
      </c>
      <c r="DL257" s="2">
        <v>1</v>
      </c>
      <c r="DM257" s="2">
        <v>1</v>
      </c>
      <c r="DN257" s="2">
        <v>0</v>
      </c>
      <c r="DO257" s="2">
        <v>0</v>
      </c>
      <c r="DP257" s="2">
        <v>0</v>
      </c>
      <c r="DQ257" s="2">
        <v>0</v>
      </c>
      <c r="DR257" s="2">
        <v>0</v>
      </c>
      <c r="DS257" s="2">
        <v>0</v>
      </c>
    </row>
    <row r="258" spans="1:123">
      <c r="A258" s="2" t="s">
        <v>22</v>
      </c>
      <c r="B258" s="2" t="s">
        <v>473</v>
      </c>
      <c r="C258" s="2">
        <v>85</v>
      </c>
      <c r="D258" s="2">
        <v>14</v>
      </c>
      <c r="E258" s="2">
        <v>1.42</v>
      </c>
      <c r="F258" s="2">
        <v>6.07</v>
      </c>
      <c r="G258" s="2" t="s">
        <v>160</v>
      </c>
      <c r="H258">
        <f>IF(AND(OR(لوحة_القيادة!$C$4="الكل", A258=لوحة_القيادة!$C$4), IF(لوحة_القيادة!$C$5="الكل", TRUE, INDEX($V258:$AG258, 1, VALUE(لوحة_القيادة!$C$5))&gt;0)), 1, 0)</f>
        <v>0</v>
      </c>
      <c r="I258">
        <f>IF(H258=1, SUM($H$2:H258), "")</f>
        <v>0</v>
      </c>
      <c r="J258" s="2">
        <v>21</v>
      </c>
      <c r="K258" s="2">
        <v>18</v>
      </c>
      <c r="L258" s="2">
        <v>15</v>
      </c>
      <c r="M258" s="2">
        <v>18</v>
      </c>
      <c r="N258" s="2">
        <v>5</v>
      </c>
      <c r="O258" s="2">
        <v>3</v>
      </c>
      <c r="P258" s="2">
        <v>5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3</v>
      </c>
      <c r="W258" s="2">
        <v>3</v>
      </c>
      <c r="X258" s="2">
        <v>2</v>
      </c>
      <c r="Y258" s="2">
        <v>3</v>
      </c>
      <c r="Z258" s="2">
        <v>1</v>
      </c>
      <c r="AA258" s="2">
        <v>1</v>
      </c>
      <c r="AB258" s="2">
        <v>1</v>
      </c>
      <c r="AC258" s="2">
        <v>0</v>
      </c>
      <c r="AD258" s="2">
        <v>0</v>
      </c>
      <c r="AE258" s="2">
        <v>0</v>
      </c>
      <c r="AF258" s="2">
        <v>0</v>
      </c>
      <c r="AG258" s="2">
        <v>4</v>
      </c>
      <c r="AH258" s="2">
        <v>0</v>
      </c>
      <c r="AI258" s="2">
        <v>3</v>
      </c>
      <c r="AJ258" s="2">
        <v>0</v>
      </c>
      <c r="AK258" s="2">
        <v>0</v>
      </c>
      <c r="AL258" s="2">
        <v>0</v>
      </c>
      <c r="AM258" s="2">
        <v>7</v>
      </c>
      <c r="AN258" s="2">
        <v>3</v>
      </c>
      <c r="AO258" s="2">
        <v>0</v>
      </c>
      <c r="AP258" s="2">
        <v>1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2</v>
      </c>
      <c r="BN258" s="2">
        <v>0</v>
      </c>
      <c r="BO258" s="2">
        <v>1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0</v>
      </c>
      <c r="DB258" s="2">
        <v>0</v>
      </c>
      <c r="DC258" s="2">
        <v>0</v>
      </c>
      <c r="DD258" s="2">
        <v>0</v>
      </c>
      <c r="DE258" s="2">
        <v>0</v>
      </c>
      <c r="DF258" s="2">
        <v>0</v>
      </c>
      <c r="DG258" s="2">
        <v>0</v>
      </c>
      <c r="DH258" s="2">
        <v>0</v>
      </c>
      <c r="DI258" s="2">
        <v>1</v>
      </c>
      <c r="DJ258" s="2">
        <v>1</v>
      </c>
      <c r="DK258" s="2">
        <v>2</v>
      </c>
      <c r="DL258" s="2">
        <v>1</v>
      </c>
      <c r="DM258" s="2">
        <v>1</v>
      </c>
      <c r="DN258" s="2">
        <v>1</v>
      </c>
      <c r="DO258" s="2">
        <v>0</v>
      </c>
      <c r="DP258" s="2">
        <v>0</v>
      </c>
      <c r="DQ258" s="2">
        <v>0</v>
      </c>
      <c r="DR258" s="2">
        <v>0</v>
      </c>
      <c r="DS258" s="2">
        <v>0</v>
      </c>
    </row>
    <row r="259" spans="1:123">
      <c r="A259" s="2" t="s">
        <v>22</v>
      </c>
      <c r="B259" s="2" t="s">
        <v>474</v>
      </c>
      <c r="C259" s="2">
        <v>85</v>
      </c>
      <c r="D259" s="2">
        <v>15</v>
      </c>
      <c r="E259" s="2">
        <v>1.42</v>
      </c>
      <c r="F259" s="2">
        <v>5.67</v>
      </c>
      <c r="G259" s="2" t="s">
        <v>252</v>
      </c>
      <c r="H259">
        <f>IF(AND(OR(لوحة_القيادة!$C$4="الكل", A259=لوحة_القيادة!$C$4), IF(لوحة_القيادة!$C$5="الكل", TRUE, INDEX($V259:$AG259, 1, VALUE(لوحة_القيادة!$C$5))&gt;0)), 1, 0)</f>
        <v>0</v>
      </c>
      <c r="I259">
        <f>IF(H259=1, SUM($H$2:H259), "")</f>
        <v>0</v>
      </c>
      <c r="J259" s="2">
        <v>12</v>
      </c>
      <c r="K259" s="2">
        <v>3</v>
      </c>
      <c r="L259" s="2">
        <v>24</v>
      </c>
      <c r="M259" s="2">
        <v>36</v>
      </c>
      <c r="N259" s="2">
        <v>9</v>
      </c>
      <c r="O259" s="2">
        <v>0</v>
      </c>
      <c r="P259" s="2">
        <v>1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4</v>
      </c>
      <c r="W259" s="2">
        <v>1</v>
      </c>
      <c r="X259" s="2">
        <v>3</v>
      </c>
      <c r="Y259" s="2">
        <v>4</v>
      </c>
      <c r="Z259" s="2">
        <v>2</v>
      </c>
      <c r="AA259" s="2">
        <v>0</v>
      </c>
      <c r="AB259" s="2">
        <v>1</v>
      </c>
      <c r="AC259" s="2">
        <v>0</v>
      </c>
      <c r="AD259" s="2">
        <v>0</v>
      </c>
      <c r="AE259" s="2">
        <v>0</v>
      </c>
      <c r="AF259" s="2">
        <v>0</v>
      </c>
      <c r="AG259" s="2">
        <v>2</v>
      </c>
      <c r="AH259" s="2">
        <v>5</v>
      </c>
      <c r="AI259" s="2">
        <v>3</v>
      </c>
      <c r="AJ259" s="2">
        <v>2</v>
      </c>
      <c r="AK259" s="2">
        <v>0</v>
      </c>
      <c r="AL259" s="2">
        <v>0</v>
      </c>
      <c r="AM259" s="2">
        <v>3</v>
      </c>
      <c r="AN259" s="2">
        <v>2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2</v>
      </c>
      <c r="BC259" s="2">
        <v>1</v>
      </c>
      <c r="BD259" s="2">
        <v>1</v>
      </c>
      <c r="BE259" s="2">
        <v>0</v>
      </c>
      <c r="BF259" s="2">
        <v>1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1</v>
      </c>
      <c r="BN259" s="2">
        <v>0</v>
      </c>
      <c r="BO259" s="2">
        <v>2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1</v>
      </c>
      <c r="CB259" s="2">
        <v>1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0</v>
      </c>
      <c r="CX259" s="2">
        <v>0</v>
      </c>
      <c r="CY259" s="2">
        <v>0</v>
      </c>
      <c r="CZ259" s="2">
        <v>0</v>
      </c>
      <c r="DA259" s="2">
        <v>0</v>
      </c>
      <c r="DB259" s="2">
        <v>0</v>
      </c>
      <c r="DC259" s="2">
        <v>0</v>
      </c>
      <c r="DD259" s="2">
        <v>0</v>
      </c>
      <c r="DE259" s="2">
        <v>0</v>
      </c>
      <c r="DF259" s="2">
        <v>0</v>
      </c>
      <c r="DG259" s="2">
        <v>0</v>
      </c>
      <c r="DH259" s="2">
        <v>2</v>
      </c>
      <c r="DI259" s="2">
        <v>0</v>
      </c>
      <c r="DJ259" s="2">
        <v>1</v>
      </c>
      <c r="DK259" s="2">
        <v>0</v>
      </c>
      <c r="DL259" s="2">
        <v>0</v>
      </c>
      <c r="DM259" s="2">
        <v>0</v>
      </c>
      <c r="DN259" s="2">
        <v>0</v>
      </c>
      <c r="DO259" s="2">
        <v>0</v>
      </c>
      <c r="DP259" s="2">
        <v>0</v>
      </c>
      <c r="DQ259" s="2">
        <v>0</v>
      </c>
      <c r="DR259" s="2">
        <v>0</v>
      </c>
      <c r="DS259" s="2">
        <v>0</v>
      </c>
    </row>
    <row r="260" spans="1:123">
      <c r="A260" s="2" t="s">
        <v>16</v>
      </c>
      <c r="B260" s="2" t="s">
        <v>475</v>
      </c>
      <c r="C260" s="2">
        <v>84</v>
      </c>
      <c r="D260" s="2">
        <v>7</v>
      </c>
      <c r="E260" s="2">
        <v>1.4</v>
      </c>
      <c r="F260" s="2">
        <v>12</v>
      </c>
      <c r="G260" s="2" t="s">
        <v>465</v>
      </c>
      <c r="H260">
        <f>IF(AND(OR(لوحة_القيادة!$C$4="الكل", A260=لوحة_القيادة!$C$4), IF(لوحة_القيادة!$C$5="الكل", TRUE, INDEX($V260:$AG260, 1, VALUE(لوحة_القيادة!$C$5))&gt;0)), 1, 0)</f>
        <v>0</v>
      </c>
      <c r="I260">
        <f>IF(H260=1, SUM($H$2:H260), "")</f>
        <v>0</v>
      </c>
      <c r="J260" s="2">
        <v>0</v>
      </c>
      <c r="K260" s="2">
        <v>53</v>
      </c>
      <c r="L260" s="2">
        <v>31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3</v>
      </c>
      <c r="X260" s="2">
        <v>4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1</v>
      </c>
      <c r="AH260" s="2">
        <v>2</v>
      </c>
      <c r="AI260" s="2">
        <v>0</v>
      </c>
      <c r="AJ260" s="2">
        <v>3</v>
      </c>
      <c r="AK260" s="2">
        <v>0</v>
      </c>
      <c r="AL260" s="2">
        <v>0</v>
      </c>
      <c r="AM260" s="2">
        <v>1</v>
      </c>
      <c r="AN260" s="2">
        <v>0</v>
      </c>
      <c r="AO260" s="2">
        <v>0</v>
      </c>
      <c r="AP260" s="2">
        <v>1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2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2</v>
      </c>
      <c r="BZ260" s="2">
        <v>1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0</v>
      </c>
      <c r="DB260" s="2">
        <v>0</v>
      </c>
      <c r="DC260" s="2">
        <v>0</v>
      </c>
      <c r="DD260" s="2">
        <v>0</v>
      </c>
      <c r="DE260" s="2">
        <v>0</v>
      </c>
      <c r="DF260" s="2">
        <v>0</v>
      </c>
      <c r="DG260" s="2">
        <v>0</v>
      </c>
      <c r="DH260" s="2">
        <v>0</v>
      </c>
      <c r="DI260" s="2">
        <v>1</v>
      </c>
      <c r="DJ260" s="2">
        <v>0</v>
      </c>
      <c r="DK260" s="2">
        <v>0</v>
      </c>
      <c r="DL260" s="2">
        <v>0</v>
      </c>
      <c r="DM260" s="2">
        <v>0</v>
      </c>
      <c r="DN260" s="2">
        <v>0</v>
      </c>
      <c r="DO260" s="2">
        <v>0</v>
      </c>
      <c r="DP260" s="2">
        <v>0</v>
      </c>
      <c r="DQ260" s="2">
        <v>0</v>
      </c>
      <c r="DR260" s="2">
        <v>0</v>
      </c>
      <c r="DS260" s="2">
        <v>0</v>
      </c>
    </row>
    <row r="261" spans="1:123">
      <c r="A261" s="2" t="s">
        <v>18</v>
      </c>
      <c r="B261" s="2" t="s">
        <v>476</v>
      </c>
      <c r="C261" s="2">
        <v>84</v>
      </c>
      <c r="D261" s="2">
        <v>12</v>
      </c>
      <c r="E261" s="2">
        <v>1.4</v>
      </c>
      <c r="F261" s="2">
        <v>7</v>
      </c>
      <c r="G261" s="2" t="s">
        <v>160</v>
      </c>
      <c r="H261">
        <f>IF(AND(OR(لوحة_القيادة!$C$4="الكل", A261=لوحة_القيادة!$C$4), IF(لوحة_القيادة!$C$5="الكل", TRUE, INDEX($V261:$AG261, 1, VALUE(لوحة_القيادة!$C$5))&gt;0)), 1, 0)</f>
        <v>0</v>
      </c>
      <c r="I261">
        <f>IF(H261=1, SUM($H$2:H261), "")</f>
        <v>0</v>
      </c>
      <c r="J261" s="2">
        <v>20</v>
      </c>
      <c r="K261" s="2">
        <v>15</v>
      </c>
      <c r="L261" s="2">
        <v>2</v>
      </c>
      <c r="M261" s="2">
        <v>3</v>
      </c>
      <c r="N261" s="2">
        <v>3</v>
      </c>
      <c r="O261" s="2">
        <v>31</v>
      </c>
      <c r="P261" s="2">
        <v>10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1</v>
      </c>
      <c r="W261" s="2">
        <v>1</v>
      </c>
      <c r="X261" s="2">
        <v>2</v>
      </c>
      <c r="Y261" s="2">
        <v>1</v>
      </c>
      <c r="Z261" s="2">
        <v>3</v>
      </c>
      <c r="AA261" s="2">
        <v>3</v>
      </c>
      <c r="AB261" s="2">
        <v>1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1</v>
      </c>
      <c r="AI261" s="2">
        <v>3</v>
      </c>
      <c r="AJ261" s="2">
        <v>4</v>
      </c>
      <c r="AK261" s="2">
        <v>0</v>
      </c>
      <c r="AL261" s="2">
        <v>0</v>
      </c>
      <c r="AM261" s="2">
        <v>4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1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1</v>
      </c>
      <c r="BM261" s="2">
        <v>0</v>
      </c>
      <c r="BN261" s="2">
        <v>1</v>
      </c>
      <c r="BO261" s="2">
        <v>1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2</v>
      </c>
      <c r="CC261" s="2">
        <v>1</v>
      </c>
      <c r="CD261" s="2">
        <v>1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>
        <v>0</v>
      </c>
      <c r="DC261" s="2">
        <v>0</v>
      </c>
      <c r="DD261" s="2">
        <v>0</v>
      </c>
      <c r="DE261" s="2">
        <v>0</v>
      </c>
      <c r="DF261" s="2">
        <v>0</v>
      </c>
      <c r="DG261" s="2">
        <v>0</v>
      </c>
      <c r="DH261" s="2">
        <v>0</v>
      </c>
      <c r="DI261" s="2">
        <v>0</v>
      </c>
      <c r="DJ261" s="2">
        <v>1</v>
      </c>
      <c r="DK261" s="2">
        <v>0</v>
      </c>
      <c r="DL261" s="2">
        <v>1</v>
      </c>
      <c r="DM261" s="2">
        <v>2</v>
      </c>
      <c r="DN261" s="2">
        <v>0</v>
      </c>
      <c r="DO261" s="2">
        <v>0</v>
      </c>
      <c r="DP261" s="2">
        <v>0</v>
      </c>
      <c r="DQ261" s="2">
        <v>0</v>
      </c>
      <c r="DR261" s="2">
        <v>0</v>
      </c>
      <c r="DS261" s="2">
        <v>0</v>
      </c>
    </row>
    <row r="262" spans="1:123">
      <c r="A262" s="2" t="s">
        <v>14</v>
      </c>
      <c r="B262" s="2" t="s">
        <v>477</v>
      </c>
      <c r="C262" s="2">
        <v>81</v>
      </c>
      <c r="D262" s="2">
        <v>15</v>
      </c>
      <c r="E262" s="2">
        <v>1.35</v>
      </c>
      <c r="F262" s="2">
        <v>5.4</v>
      </c>
      <c r="G262" s="2" t="s">
        <v>170</v>
      </c>
      <c r="H262">
        <f>IF(AND(OR(لوحة_القيادة!$C$4="الكل", A262=لوحة_القيادة!$C$4), IF(لوحة_القيادة!$C$5="الكل", TRUE, INDEX($V262:$AG262, 1, VALUE(لوحة_القيادة!$C$5))&gt;0)), 1, 0)</f>
        <v>0</v>
      </c>
      <c r="I262">
        <f>IF(H262=1, SUM($H$2:H262), "")</f>
        <v>0</v>
      </c>
      <c r="J262" s="2">
        <v>13</v>
      </c>
      <c r="K262" s="2">
        <v>7</v>
      </c>
      <c r="L262" s="2">
        <v>26</v>
      </c>
      <c r="M262" s="2">
        <v>1</v>
      </c>
      <c r="N262" s="2">
        <v>32</v>
      </c>
      <c r="O262" s="2">
        <v>2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2</v>
      </c>
      <c r="W262" s="2">
        <v>2</v>
      </c>
      <c r="X262" s="2">
        <v>6</v>
      </c>
      <c r="Y262" s="2">
        <v>1</v>
      </c>
      <c r="Z262" s="2">
        <v>2</v>
      </c>
      <c r="AA262" s="2">
        <v>2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2</v>
      </c>
      <c r="AH262" s="2">
        <v>2</v>
      </c>
      <c r="AI262" s="2">
        <v>4</v>
      </c>
      <c r="AJ262" s="2">
        <v>0</v>
      </c>
      <c r="AK262" s="2">
        <v>0</v>
      </c>
      <c r="AL262" s="2">
        <v>0</v>
      </c>
      <c r="AM262" s="2">
        <v>7</v>
      </c>
      <c r="AN262" s="2">
        <v>0</v>
      </c>
      <c r="AO262" s="2">
        <v>0</v>
      </c>
      <c r="AP262" s="2">
        <v>1</v>
      </c>
      <c r="AQ262" s="2">
        <v>0</v>
      </c>
      <c r="AR262" s="2">
        <v>0</v>
      </c>
      <c r="AS262" s="2">
        <v>1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2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1</v>
      </c>
      <c r="BN262" s="2">
        <v>2</v>
      </c>
      <c r="BO262" s="2">
        <v>0</v>
      </c>
      <c r="BP262" s="2">
        <v>1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0</v>
      </c>
      <c r="DB262" s="2">
        <v>0</v>
      </c>
      <c r="DC262" s="2">
        <v>0</v>
      </c>
      <c r="DD262" s="2">
        <v>0</v>
      </c>
      <c r="DE262" s="2">
        <v>0</v>
      </c>
      <c r="DF262" s="2">
        <v>0</v>
      </c>
      <c r="DG262" s="2">
        <v>0</v>
      </c>
      <c r="DH262" s="2">
        <v>2</v>
      </c>
      <c r="DI262" s="2">
        <v>1</v>
      </c>
      <c r="DJ262" s="2">
        <v>1</v>
      </c>
      <c r="DK262" s="2">
        <v>1</v>
      </c>
      <c r="DL262" s="2">
        <v>1</v>
      </c>
      <c r="DM262" s="2">
        <v>1</v>
      </c>
      <c r="DN262" s="2">
        <v>0</v>
      </c>
      <c r="DO262" s="2">
        <v>0</v>
      </c>
      <c r="DP262" s="2">
        <v>0</v>
      </c>
      <c r="DQ262" s="2">
        <v>0</v>
      </c>
      <c r="DR262" s="2">
        <v>0</v>
      </c>
      <c r="DS262" s="2">
        <v>0</v>
      </c>
    </row>
    <row r="263" spans="1:123">
      <c r="A263" s="2" t="s">
        <v>18</v>
      </c>
      <c r="B263" s="2" t="s">
        <v>478</v>
      </c>
      <c r="C263" s="2">
        <v>80</v>
      </c>
      <c r="D263" s="2">
        <v>9</v>
      </c>
      <c r="E263" s="2">
        <v>1.33</v>
      </c>
      <c r="F263" s="2">
        <v>8.890000000000001</v>
      </c>
      <c r="G263" s="2" t="s">
        <v>479</v>
      </c>
      <c r="H263">
        <f>IF(AND(OR(لوحة_القيادة!$C$4="الكل", A263=لوحة_القيادة!$C$4), IF(لوحة_القيادة!$C$5="الكل", TRUE, INDEX($V263:$AG263, 1, VALUE(لوحة_القيادة!$C$5))&gt;0)), 1, 0)</f>
        <v>0</v>
      </c>
      <c r="I263">
        <f>IF(H263=1, SUM($H$2:H263), "")</f>
        <v>0</v>
      </c>
      <c r="J263" s="2">
        <v>0</v>
      </c>
      <c r="K263" s="2">
        <v>58</v>
      </c>
      <c r="L263" s="2">
        <v>15</v>
      </c>
      <c r="M263" s="2">
        <v>1</v>
      </c>
      <c r="N263" s="2">
        <v>0</v>
      </c>
      <c r="O263" s="2">
        <v>0</v>
      </c>
      <c r="P263" s="2">
        <v>6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2</v>
      </c>
      <c r="X263" s="2">
        <v>4</v>
      </c>
      <c r="Y263" s="2">
        <v>1</v>
      </c>
      <c r="Z263" s="2">
        <v>0</v>
      </c>
      <c r="AA263" s="2">
        <v>0</v>
      </c>
      <c r="AB263" s="2">
        <v>2</v>
      </c>
      <c r="AC263" s="2">
        <v>0</v>
      </c>
      <c r="AD263" s="2">
        <v>0</v>
      </c>
      <c r="AE263" s="2">
        <v>0</v>
      </c>
      <c r="AF263" s="2">
        <v>0</v>
      </c>
      <c r="AG263" s="2">
        <v>2</v>
      </c>
      <c r="AH263" s="2">
        <v>2</v>
      </c>
      <c r="AI263" s="2">
        <v>2</v>
      </c>
      <c r="AJ263" s="2">
        <v>2</v>
      </c>
      <c r="AK263" s="2">
        <v>0</v>
      </c>
      <c r="AL263" s="2">
        <v>0</v>
      </c>
      <c r="AM263" s="2">
        <v>1</v>
      </c>
      <c r="AN263" s="2">
        <v>0</v>
      </c>
      <c r="AO263" s="2">
        <v>0</v>
      </c>
      <c r="AP263" s="2">
        <v>0</v>
      </c>
      <c r="AQ263" s="2">
        <v>1</v>
      </c>
      <c r="AR263" s="2">
        <v>0</v>
      </c>
      <c r="AS263" s="2">
        <v>0</v>
      </c>
      <c r="AT263" s="2">
        <v>1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1</v>
      </c>
      <c r="BB263" s="2">
        <v>1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2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1</v>
      </c>
      <c r="CA263" s="2">
        <v>0</v>
      </c>
      <c r="CB263" s="2">
        <v>0</v>
      </c>
      <c r="CC263" s="2">
        <v>0</v>
      </c>
      <c r="CD263" s="2">
        <v>1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0</v>
      </c>
      <c r="DE263" s="2">
        <v>0</v>
      </c>
      <c r="DF263" s="2">
        <v>0</v>
      </c>
      <c r="DG263" s="2">
        <v>0</v>
      </c>
      <c r="DH263" s="2">
        <v>0</v>
      </c>
      <c r="DI263" s="2">
        <v>1</v>
      </c>
      <c r="DJ263" s="2">
        <v>0</v>
      </c>
      <c r="DK263" s="2">
        <v>0</v>
      </c>
      <c r="DL263" s="2">
        <v>0</v>
      </c>
      <c r="DM263" s="2">
        <v>0</v>
      </c>
      <c r="DN263" s="2">
        <v>0</v>
      </c>
      <c r="DO263" s="2">
        <v>0</v>
      </c>
      <c r="DP263" s="2">
        <v>0</v>
      </c>
      <c r="DQ263" s="2">
        <v>0</v>
      </c>
      <c r="DR263" s="2">
        <v>0</v>
      </c>
      <c r="DS263" s="2">
        <v>0</v>
      </c>
    </row>
    <row r="264" spans="1:123">
      <c r="A264" s="2" t="s">
        <v>12</v>
      </c>
      <c r="B264" s="2" t="s">
        <v>480</v>
      </c>
      <c r="C264" s="2">
        <v>79</v>
      </c>
      <c r="D264" s="2">
        <v>3</v>
      </c>
      <c r="E264" s="2">
        <v>1.32</v>
      </c>
      <c r="F264" s="2">
        <v>26.33</v>
      </c>
      <c r="G264" s="2" t="s">
        <v>481</v>
      </c>
      <c r="H264">
        <f>IF(AND(OR(لوحة_القيادة!$C$4="الكل", A264=لوحة_القيادة!$C$4), IF(لوحة_القيادة!$C$5="الكل", TRUE, INDEX($V264:$AG264, 1, VALUE(لوحة_القيادة!$C$5))&gt;0)), 1, 0)</f>
        <v>0</v>
      </c>
      <c r="I264">
        <f>IF(H264=1, SUM($H$2:H264), "")</f>
        <v>0</v>
      </c>
      <c r="J264" s="2">
        <v>0</v>
      </c>
      <c r="K264" s="2">
        <v>0</v>
      </c>
      <c r="L264" s="2">
        <v>2</v>
      </c>
      <c r="M264" s="2">
        <v>0</v>
      </c>
      <c r="N264" s="2">
        <v>0</v>
      </c>
      <c r="O264" s="2">
        <v>0</v>
      </c>
      <c r="P264" s="2">
        <v>77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1</v>
      </c>
      <c r="Y264" s="2">
        <v>0</v>
      </c>
      <c r="Z264" s="2">
        <v>0</v>
      </c>
      <c r="AA264" s="2">
        <v>0</v>
      </c>
      <c r="AB264" s="2">
        <v>2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2</v>
      </c>
      <c r="AI264" s="2">
        <v>0</v>
      </c>
      <c r="AJ264" s="2">
        <v>0</v>
      </c>
      <c r="AK264" s="2">
        <v>0</v>
      </c>
      <c r="AL264" s="2">
        <v>0</v>
      </c>
      <c r="AM264" s="2">
        <v>1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1</v>
      </c>
      <c r="BC264" s="2">
        <v>0</v>
      </c>
      <c r="BD264" s="2">
        <v>0</v>
      </c>
      <c r="BE264" s="2">
        <v>0</v>
      </c>
      <c r="BF264" s="2">
        <v>1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0</v>
      </c>
      <c r="CX264" s="2">
        <v>0</v>
      </c>
      <c r="CY264" s="2">
        <v>0</v>
      </c>
      <c r="CZ264" s="2">
        <v>0</v>
      </c>
      <c r="DA264" s="2">
        <v>0</v>
      </c>
      <c r="DB264" s="2">
        <v>0</v>
      </c>
      <c r="DC264" s="2">
        <v>0</v>
      </c>
      <c r="DD264" s="2">
        <v>0</v>
      </c>
      <c r="DE264" s="2">
        <v>0</v>
      </c>
      <c r="DF264" s="2">
        <v>0</v>
      </c>
      <c r="DG264" s="2">
        <v>0</v>
      </c>
      <c r="DH264" s="2">
        <v>0</v>
      </c>
      <c r="DI264" s="2">
        <v>0</v>
      </c>
      <c r="DJ264" s="2">
        <v>0</v>
      </c>
      <c r="DK264" s="2">
        <v>0</v>
      </c>
      <c r="DL264" s="2">
        <v>0</v>
      </c>
      <c r="DM264" s="2">
        <v>0</v>
      </c>
      <c r="DN264" s="2">
        <v>1</v>
      </c>
      <c r="DO264" s="2">
        <v>0</v>
      </c>
      <c r="DP264" s="2">
        <v>0</v>
      </c>
      <c r="DQ264" s="2">
        <v>0</v>
      </c>
      <c r="DR264" s="2">
        <v>0</v>
      </c>
      <c r="DS264" s="2">
        <v>0</v>
      </c>
    </row>
    <row r="265" spans="1:123">
      <c r="A265" s="2" t="s">
        <v>22</v>
      </c>
      <c r="B265" s="2" t="s">
        <v>482</v>
      </c>
      <c r="C265" s="2">
        <v>76</v>
      </c>
      <c r="D265" s="2">
        <v>23</v>
      </c>
      <c r="E265" s="2">
        <v>1.27</v>
      </c>
      <c r="F265" s="2">
        <v>3.3</v>
      </c>
      <c r="G265" s="2" t="s">
        <v>160</v>
      </c>
      <c r="H265">
        <f>IF(AND(OR(لوحة_القيادة!$C$4="الكل", A265=لوحة_القيادة!$C$4), IF(لوحة_القيادة!$C$5="الكل", TRUE, INDEX($V265:$AG265, 1, VALUE(لوحة_القيادة!$C$5))&gt;0)), 1, 0)</f>
        <v>0</v>
      </c>
      <c r="I265">
        <f>IF(H265=1, SUM($H$2:H265), "")</f>
        <v>0</v>
      </c>
      <c r="J265" s="2">
        <v>13</v>
      </c>
      <c r="K265" s="2">
        <v>9</v>
      </c>
      <c r="L265" s="2">
        <v>21</v>
      </c>
      <c r="M265" s="2">
        <v>9</v>
      </c>
      <c r="N265" s="2">
        <v>3</v>
      </c>
      <c r="O265" s="2">
        <v>13</v>
      </c>
      <c r="P265" s="2">
        <v>8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4</v>
      </c>
      <c r="W265" s="2">
        <v>3</v>
      </c>
      <c r="X265" s="2">
        <v>5</v>
      </c>
      <c r="Y265" s="2">
        <v>3</v>
      </c>
      <c r="Z265" s="2">
        <v>2</v>
      </c>
      <c r="AA265" s="2">
        <v>4</v>
      </c>
      <c r="AB265" s="2">
        <v>2</v>
      </c>
      <c r="AC265" s="2">
        <v>0</v>
      </c>
      <c r="AD265" s="2">
        <v>0</v>
      </c>
      <c r="AE265" s="2">
        <v>0</v>
      </c>
      <c r="AF265" s="2">
        <v>0</v>
      </c>
      <c r="AG265" s="2">
        <v>1</v>
      </c>
      <c r="AH265" s="2">
        <v>8</v>
      </c>
      <c r="AI265" s="2">
        <v>8</v>
      </c>
      <c r="AJ265" s="2">
        <v>3</v>
      </c>
      <c r="AK265" s="2">
        <v>0</v>
      </c>
      <c r="AL265" s="2">
        <v>0</v>
      </c>
      <c r="AM265" s="2">
        <v>3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1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2</v>
      </c>
      <c r="BA265" s="2">
        <v>2</v>
      </c>
      <c r="BB265" s="2">
        <v>1</v>
      </c>
      <c r="BC265" s="2">
        <v>0</v>
      </c>
      <c r="BD265" s="2">
        <v>1</v>
      </c>
      <c r="BE265" s="2">
        <v>2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1</v>
      </c>
      <c r="BM265" s="2">
        <v>0</v>
      </c>
      <c r="BN265" s="2">
        <v>3</v>
      </c>
      <c r="BO265" s="2">
        <v>2</v>
      </c>
      <c r="BP265" s="2">
        <v>1</v>
      </c>
      <c r="BQ265" s="2">
        <v>1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1</v>
      </c>
      <c r="CA265" s="2">
        <v>1</v>
      </c>
      <c r="CB265" s="2">
        <v>0</v>
      </c>
      <c r="CC265" s="2">
        <v>1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  <c r="DE265" s="2">
        <v>0</v>
      </c>
      <c r="DF265" s="2">
        <v>0</v>
      </c>
      <c r="DG265" s="2">
        <v>0</v>
      </c>
      <c r="DH265" s="2">
        <v>1</v>
      </c>
      <c r="DI265" s="2">
        <v>1</v>
      </c>
      <c r="DJ265" s="2">
        <v>0</v>
      </c>
      <c r="DK265" s="2">
        <v>0</v>
      </c>
      <c r="DL265" s="2">
        <v>0</v>
      </c>
      <c r="DM265" s="2">
        <v>0</v>
      </c>
      <c r="DN265" s="2">
        <v>1</v>
      </c>
      <c r="DO265" s="2">
        <v>0</v>
      </c>
      <c r="DP265" s="2">
        <v>0</v>
      </c>
      <c r="DQ265" s="2">
        <v>0</v>
      </c>
      <c r="DR265" s="2">
        <v>0</v>
      </c>
      <c r="DS265" s="2">
        <v>0</v>
      </c>
    </row>
    <row r="266" spans="1:123">
      <c r="A266" s="2" t="s">
        <v>14</v>
      </c>
      <c r="B266" s="2" t="s">
        <v>483</v>
      </c>
      <c r="C266" s="2">
        <v>75</v>
      </c>
      <c r="D266" s="2">
        <v>8</v>
      </c>
      <c r="E266" s="2">
        <v>1.25</v>
      </c>
      <c r="F266" s="2">
        <v>9.380000000000001</v>
      </c>
      <c r="G266" s="2" t="s">
        <v>339</v>
      </c>
      <c r="H266">
        <f>IF(AND(OR(لوحة_القيادة!$C$4="الكل", A266=لوحة_القيادة!$C$4), IF(لوحة_القيادة!$C$5="الكل", TRUE, INDEX($V266:$AG266, 1, VALUE(لوحة_القيادة!$C$5))&gt;0)), 1, 0)</f>
        <v>0</v>
      </c>
      <c r="I266">
        <f>IF(H266=1, SUM($H$2:H266), "")</f>
        <v>0</v>
      </c>
      <c r="J266" s="2">
        <v>1</v>
      </c>
      <c r="K266" s="2">
        <v>23</v>
      </c>
      <c r="L266" s="2">
        <v>29</v>
      </c>
      <c r="M266" s="2">
        <v>0</v>
      </c>
      <c r="N266" s="2">
        <v>0</v>
      </c>
      <c r="O266" s="2">
        <v>21</v>
      </c>
      <c r="P266" s="2">
        <v>1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1</v>
      </c>
      <c r="W266" s="2">
        <v>3</v>
      </c>
      <c r="X266" s="2">
        <v>1</v>
      </c>
      <c r="Y266" s="2">
        <v>0</v>
      </c>
      <c r="Z266" s="2">
        <v>0</v>
      </c>
      <c r="AA266" s="2">
        <v>2</v>
      </c>
      <c r="AB266" s="2">
        <v>1</v>
      </c>
      <c r="AC266" s="2">
        <v>0</v>
      </c>
      <c r="AD266" s="2">
        <v>0</v>
      </c>
      <c r="AE266" s="2">
        <v>0</v>
      </c>
      <c r="AF266" s="2">
        <v>0</v>
      </c>
      <c r="AG266" s="2">
        <v>1</v>
      </c>
      <c r="AH266" s="2">
        <v>1</v>
      </c>
      <c r="AI266" s="2">
        <v>0</v>
      </c>
      <c r="AJ266" s="2">
        <v>1</v>
      </c>
      <c r="AK266" s="2">
        <v>0</v>
      </c>
      <c r="AL266" s="2">
        <v>0</v>
      </c>
      <c r="AM266" s="2">
        <v>5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1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1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1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0</v>
      </c>
      <c r="DB266" s="2">
        <v>0</v>
      </c>
      <c r="DC266" s="2">
        <v>0</v>
      </c>
      <c r="DD266" s="2">
        <v>0</v>
      </c>
      <c r="DE266" s="2">
        <v>0</v>
      </c>
      <c r="DF266" s="2">
        <v>0</v>
      </c>
      <c r="DG266" s="2">
        <v>0</v>
      </c>
      <c r="DH266" s="2">
        <v>1</v>
      </c>
      <c r="DI266" s="2">
        <v>2</v>
      </c>
      <c r="DJ266" s="2">
        <v>0</v>
      </c>
      <c r="DK266" s="2">
        <v>0</v>
      </c>
      <c r="DL266" s="2">
        <v>0</v>
      </c>
      <c r="DM266" s="2">
        <v>1</v>
      </c>
      <c r="DN266" s="2">
        <v>1</v>
      </c>
      <c r="DO266" s="2">
        <v>0</v>
      </c>
      <c r="DP266" s="2">
        <v>0</v>
      </c>
      <c r="DQ266" s="2">
        <v>0</v>
      </c>
      <c r="DR266" s="2">
        <v>0</v>
      </c>
      <c r="DS266" s="2">
        <v>0</v>
      </c>
    </row>
    <row r="267" spans="1:123">
      <c r="A267" s="2" t="s">
        <v>13</v>
      </c>
      <c r="B267" s="2" t="s">
        <v>484</v>
      </c>
      <c r="C267" s="2">
        <v>74</v>
      </c>
      <c r="D267" s="2">
        <v>7</v>
      </c>
      <c r="E267" s="2">
        <v>1.23</v>
      </c>
      <c r="F267" s="2">
        <v>10.57</v>
      </c>
      <c r="G267" s="2" t="s">
        <v>485</v>
      </c>
      <c r="H267">
        <f>IF(AND(OR(لوحة_القيادة!$C$4="الكل", A267=لوحة_القيادة!$C$4), IF(لوحة_القيادة!$C$5="الكل", TRUE, INDEX($V267:$AG267, 1, VALUE(لوحة_القيادة!$C$5))&gt;0)), 1, 0)</f>
        <v>0</v>
      </c>
      <c r="I267">
        <f>IF(H267=1, SUM($H$2:H267), "")</f>
        <v>0</v>
      </c>
      <c r="J267" s="2">
        <v>1</v>
      </c>
      <c r="K267" s="2">
        <v>0</v>
      </c>
      <c r="L267" s="2">
        <v>0</v>
      </c>
      <c r="M267" s="2">
        <v>11</v>
      </c>
      <c r="N267" s="2">
        <v>0</v>
      </c>
      <c r="O267" s="2">
        <v>40</v>
      </c>
      <c r="P267" s="2">
        <v>22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1</v>
      </c>
      <c r="W267" s="2">
        <v>0</v>
      </c>
      <c r="X267" s="2">
        <v>0</v>
      </c>
      <c r="Y267" s="2">
        <v>1</v>
      </c>
      <c r="Z267" s="2">
        <v>0</v>
      </c>
      <c r="AA267" s="2">
        <v>4</v>
      </c>
      <c r="AB267" s="2">
        <v>1</v>
      </c>
      <c r="AC267" s="2">
        <v>0</v>
      </c>
      <c r="AD267" s="2">
        <v>0</v>
      </c>
      <c r="AE267" s="2">
        <v>0</v>
      </c>
      <c r="AF267" s="2">
        <v>0</v>
      </c>
      <c r="AG267" s="2">
        <v>3</v>
      </c>
      <c r="AH267" s="2">
        <v>0</v>
      </c>
      <c r="AI267" s="2">
        <v>0</v>
      </c>
      <c r="AJ267" s="2">
        <v>1</v>
      </c>
      <c r="AK267" s="2">
        <v>0</v>
      </c>
      <c r="AL267" s="2">
        <v>0</v>
      </c>
      <c r="AM267" s="2">
        <v>3</v>
      </c>
      <c r="AN267" s="2">
        <v>0</v>
      </c>
      <c r="AO267" s="2">
        <v>0</v>
      </c>
      <c r="AP267" s="2">
        <v>0</v>
      </c>
      <c r="AQ267" s="2">
        <v>1</v>
      </c>
      <c r="AR267" s="2">
        <v>0</v>
      </c>
      <c r="AS267" s="2">
        <v>2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1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0</v>
      </c>
      <c r="DB267" s="2">
        <v>0</v>
      </c>
      <c r="DC267" s="2">
        <v>0</v>
      </c>
      <c r="DD267" s="2">
        <v>0</v>
      </c>
      <c r="DE267" s="2">
        <v>0</v>
      </c>
      <c r="DF267" s="2">
        <v>0</v>
      </c>
      <c r="DG267" s="2">
        <v>0</v>
      </c>
      <c r="DH267" s="2">
        <v>1</v>
      </c>
      <c r="DI267" s="2">
        <v>0</v>
      </c>
      <c r="DJ267" s="2">
        <v>0</v>
      </c>
      <c r="DK267" s="2">
        <v>0</v>
      </c>
      <c r="DL267" s="2">
        <v>0</v>
      </c>
      <c r="DM267" s="2">
        <v>1</v>
      </c>
      <c r="DN267" s="2">
        <v>1</v>
      </c>
      <c r="DO267" s="2">
        <v>0</v>
      </c>
      <c r="DP267" s="2">
        <v>0</v>
      </c>
      <c r="DQ267" s="2">
        <v>0</v>
      </c>
      <c r="DR267" s="2">
        <v>0</v>
      </c>
      <c r="DS267" s="2">
        <v>0</v>
      </c>
    </row>
    <row r="268" spans="1:123">
      <c r="A268" s="2" t="s">
        <v>14</v>
      </c>
      <c r="B268" s="2" t="s">
        <v>486</v>
      </c>
      <c r="C268" s="2">
        <v>74</v>
      </c>
      <c r="D268" s="2">
        <v>3</v>
      </c>
      <c r="E268" s="2">
        <v>1.23</v>
      </c>
      <c r="F268" s="2">
        <v>24.67</v>
      </c>
      <c r="G268" s="2" t="s">
        <v>487</v>
      </c>
      <c r="H268">
        <f>IF(AND(OR(لوحة_القيادة!$C$4="الكل", A268=لوحة_القيادة!$C$4), IF(لوحة_القيادة!$C$5="الكل", TRUE, INDEX($V268:$AG268, 1, VALUE(لوحة_القيادة!$C$5))&gt;0)), 1, 0)</f>
        <v>0</v>
      </c>
      <c r="I268">
        <f>IF(H268=1, SUM($H$2:H268), "")</f>
        <v>0</v>
      </c>
      <c r="J268" s="2">
        <v>0</v>
      </c>
      <c r="K268" s="2">
        <v>0</v>
      </c>
      <c r="L268" s="2">
        <v>26</v>
      </c>
      <c r="M268" s="2">
        <v>31</v>
      </c>
      <c r="N268" s="2">
        <v>17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1</v>
      </c>
      <c r="Y268" s="2">
        <v>1</v>
      </c>
      <c r="Z268" s="2">
        <v>1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2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1</v>
      </c>
      <c r="AN268" s="2">
        <v>0</v>
      </c>
      <c r="AO268" s="2">
        <v>0</v>
      </c>
      <c r="AP268" s="2">
        <v>1</v>
      </c>
      <c r="AQ268" s="2">
        <v>1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0</v>
      </c>
      <c r="DB268" s="2">
        <v>0</v>
      </c>
      <c r="DC268" s="2">
        <v>0</v>
      </c>
      <c r="DD268" s="2">
        <v>0</v>
      </c>
      <c r="DE268" s="2">
        <v>0</v>
      </c>
      <c r="DF268" s="2">
        <v>0</v>
      </c>
      <c r="DG268" s="2">
        <v>0</v>
      </c>
      <c r="DH268" s="2">
        <v>0</v>
      </c>
      <c r="DI268" s="2">
        <v>0</v>
      </c>
      <c r="DJ268" s="2">
        <v>0</v>
      </c>
      <c r="DK268" s="2">
        <v>0</v>
      </c>
      <c r="DL268" s="2">
        <v>1</v>
      </c>
      <c r="DM268" s="2">
        <v>0</v>
      </c>
      <c r="DN268" s="2">
        <v>0</v>
      </c>
      <c r="DO268" s="2">
        <v>0</v>
      </c>
      <c r="DP268" s="2">
        <v>0</v>
      </c>
      <c r="DQ268" s="2">
        <v>0</v>
      </c>
      <c r="DR268" s="2">
        <v>0</v>
      </c>
      <c r="DS268" s="2">
        <v>0</v>
      </c>
    </row>
    <row r="269" spans="1:123">
      <c r="A269" s="2" t="s">
        <v>16</v>
      </c>
      <c r="B269" s="2" t="s">
        <v>488</v>
      </c>
      <c r="C269" s="2">
        <v>74</v>
      </c>
      <c r="D269" s="2">
        <v>9</v>
      </c>
      <c r="E269" s="2">
        <v>1.23</v>
      </c>
      <c r="F269" s="2">
        <v>8.220000000000001</v>
      </c>
      <c r="G269" s="2" t="s">
        <v>210</v>
      </c>
      <c r="H269">
        <f>IF(AND(OR(لوحة_القيادة!$C$4="الكل", A269=لوحة_القيادة!$C$4), IF(لوحة_القيادة!$C$5="الكل", TRUE, INDEX($V269:$AG269, 1, VALUE(لوحة_القيادة!$C$5))&gt;0)), 1, 0)</f>
        <v>0</v>
      </c>
      <c r="I269">
        <f>IF(H269=1, SUM($H$2:H269), "")</f>
        <v>0</v>
      </c>
      <c r="J269" s="2">
        <v>1</v>
      </c>
      <c r="K269" s="2">
        <v>4</v>
      </c>
      <c r="L269" s="2">
        <v>52</v>
      </c>
      <c r="M269" s="2">
        <v>12</v>
      </c>
      <c r="N269" s="2">
        <v>5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1</v>
      </c>
      <c r="W269" s="2">
        <v>2</v>
      </c>
      <c r="X269" s="2">
        <v>2</v>
      </c>
      <c r="Y269" s="2">
        <v>1</v>
      </c>
      <c r="Z269" s="2">
        <v>3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1</v>
      </c>
      <c r="AH269" s="2">
        <v>4</v>
      </c>
      <c r="AI269" s="2">
        <v>1</v>
      </c>
      <c r="AJ269" s="2">
        <v>1</v>
      </c>
      <c r="AK269" s="2">
        <v>0</v>
      </c>
      <c r="AL269" s="2">
        <v>0</v>
      </c>
      <c r="AM269" s="2">
        <v>2</v>
      </c>
      <c r="AN269" s="2">
        <v>0</v>
      </c>
      <c r="AO269" s="2">
        <v>0</v>
      </c>
      <c r="AP269" s="2">
        <v>0</v>
      </c>
      <c r="AQ269" s="2">
        <v>0</v>
      </c>
      <c r="AR269" s="2">
        <v>1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1</v>
      </c>
      <c r="BA269" s="2">
        <v>0</v>
      </c>
      <c r="BB269" s="2">
        <v>2</v>
      </c>
      <c r="BC269" s="2">
        <v>0</v>
      </c>
      <c r="BD269" s="2">
        <v>1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1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1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0</v>
      </c>
      <c r="DE269" s="2">
        <v>0</v>
      </c>
      <c r="DF269" s="2">
        <v>0</v>
      </c>
      <c r="DG269" s="2">
        <v>0</v>
      </c>
      <c r="DH269" s="2">
        <v>0</v>
      </c>
      <c r="DI269" s="2">
        <v>0</v>
      </c>
      <c r="DJ269" s="2">
        <v>0</v>
      </c>
      <c r="DK269" s="2">
        <v>1</v>
      </c>
      <c r="DL269" s="2">
        <v>1</v>
      </c>
      <c r="DM269" s="2">
        <v>0</v>
      </c>
      <c r="DN269" s="2">
        <v>0</v>
      </c>
      <c r="DO269" s="2">
        <v>0</v>
      </c>
      <c r="DP269" s="2">
        <v>0</v>
      </c>
      <c r="DQ269" s="2">
        <v>0</v>
      </c>
      <c r="DR269" s="2">
        <v>0</v>
      </c>
      <c r="DS269" s="2">
        <v>0</v>
      </c>
    </row>
    <row r="270" spans="1:123">
      <c r="A270" s="2" t="s">
        <v>16</v>
      </c>
      <c r="B270" s="2" t="s">
        <v>489</v>
      </c>
      <c r="C270" s="2">
        <v>73</v>
      </c>
      <c r="D270" s="2">
        <v>6</v>
      </c>
      <c r="E270" s="2">
        <v>1.22</v>
      </c>
      <c r="F270" s="2">
        <v>12.17</v>
      </c>
      <c r="G270" s="2" t="s">
        <v>490</v>
      </c>
      <c r="H270">
        <f>IF(AND(OR(لوحة_القيادة!$C$4="الكل", A270=لوحة_القيادة!$C$4), IF(لوحة_القيادة!$C$5="الكل", TRUE, INDEX($V270:$AG270, 1, VALUE(لوحة_القيادة!$C$5))&gt;0)), 1, 0)</f>
        <v>0</v>
      </c>
      <c r="I270">
        <f>IF(H270=1, SUM($H$2:H270), "")</f>
        <v>0</v>
      </c>
      <c r="J270" s="2">
        <v>7</v>
      </c>
      <c r="K270" s="2">
        <v>31</v>
      </c>
      <c r="L270" s="2">
        <v>0</v>
      </c>
      <c r="M270" s="2">
        <v>25</v>
      </c>
      <c r="N270" s="2">
        <v>0</v>
      </c>
      <c r="O270" s="2">
        <v>0</v>
      </c>
      <c r="P270" s="2">
        <v>10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1</v>
      </c>
      <c r="W270" s="2">
        <v>2</v>
      </c>
      <c r="X270" s="2">
        <v>0</v>
      </c>
      <c r="Y270" s="2">
        <v>2</v>
      </c>
      <c r="Z270" s="2">
        <v>0</v>
      </c>
      <c r="AA270" s="2">
        <v>0</v>
      </c>
      <c r="AB270" s="2">
        <v>1</v>
      </c>
      <c r="AC270" s="2">
        <v>0</v>
      </c>
      <c r="AD270" s="2">
        <v>0</v>
      </c>
      <c r="AE270" s="2">
        <v>0</v>
      </c>
      <c r="AF270" s="2">
        <v>0</v>
      </c>
      <c r="AG270" s="2">
        <v>1</v>
      </c>
      <c r="AH270" s="2">
        <v>1</v>
      </c>
      <c r="AI270" s="2">
        <v>1</v>
      </c>
      <c r="AJ270" s="2">
        <v>1</v>
      </c>
      <c r="AK270" s="2">
        <v>0</v>
      </c>
      <c r="AL270" s="2">
        <v>0</v>
      </c>
      <c r="AM270" s="2">
        <v>2</v>
      </c>
      <c r="AN270" s="2">
        <v>0</v>
      </c>
      <c r="AO270" s="2">
        <v>1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1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1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1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>
        <v>0</v>
      </c>
      <c r="DE270" s="2">
        <v>0</v>
      </c>
      <c r="DF270" s="2">
        <v>0</v>
      </c>
      <c r="DG270" s="2">
        <v>0</v>
      </c>
      <c r="DH270" s="2">
        <v>1</v>
      </c>
      <c r="DI270" s="2">
        <v>0</v>
      </c>
      <c r="DJ270" s="2">
        <v>0</v>
      </c>
      <c r="DK270" s="2">
        <v>1</v>
      </c>
      <c r="DL270" s="2">
        <v>0</v>
      </c>
      <c r="DM270" s="2">
        <v>0</v>
      </c>
      <c r="DN270" s="2">
        <v>0</v>
      </c>
      <c r="DO270" s="2">
        <v>0</v>
      </c>
      <c r="DP270" s="2">
        <v>0</v>
      </c>
      <c r="DQ270" s="2">
        <v>0</v>
      </c>
      <c r="DR270" s="2">
        <v>0</v>
      </c>
      <c r="DS270" s="2">
        <v>0</v>
      </c>
    </row>
    <row r="271" spans="1:123">
      <c r="A271" s="2" t="s">
        <v>18</v>
      </c>
      <c r="B271" s="2" t="s">
        <v>491</v>
      </c>
      <c r="C271" s="2">
        <v>73</v>
      </c>
      <c r="D271" s="2">
        <v>11</v>
      </c>
      <c r="E271" s="2">
        <v>1.22</v>
      </c>
      <c r="F271" s="2">
        <v>6.64</v>
      </c>
      <c r="G271" s="2" t="s">
        <v>170</v>
      </c>
      <c r="H271">
        <f>IF(AND(OR(لوحة_القيادة!$C$4="الكل", A271=لوحة_القيادة!$C$4), IF(لوحة_القيادة!$C$5="الكل", TRUE, INDEX($V271:$AG271, 1, VALUE(لوحة_القيادة!$C$5))&gt;0)), 1, 0)</f>
        <v>0</v>
      </c>
      <c r="I271">
        <f>IF(H271=1, SUM($H$2:H271), "")</f>
        <v>0</v>
      </c>
      <c r="J271" s="2">
        <v>2</v>
      </c>
      <c r="K271" s="2">
        <v>2</v>
      </c>
      <c r="L271" s="2">
        <v>45</v>
      </c>
      <c r="M271" s="2">
        <v>16</v>
      </c>
      <c r="N271" s="2">
        <v>3</v>
      </c>
      <c r="O271" s="2">
        <v>5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1</v>
      </c>
      <c r="W271" s="2">
        <v>1</v>
      </c>
      <c r="X271" s="2">
        <v>4</v>
      </c>
      <c r="Y271" s="2">
        <v>2</v>
      </c>
      <c r="Z271" s="2">
        <v>2</v>
      </c>
      <c r="AA271" s="2">
        <v>1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1</v>
      </c>
      <c r="AH271" s="2">
        <v>2</v>
      </c>
      <c r="AI271" s="2">
        <v>0</v>
      </c>
      <c r="AJ271" s="2">
        <v>5</v>
      </c>
      <c r="AK271" s="2">
        <v>0</v>
      </c>
      <c r="AL271" s="2">
        <v>0</v>
      </c>
      <c r="AM271" s="2">
        <v>3</v>
      </c>
      <c r="AN271" s="2">
        <v>0</v>
      </c>
      <c r="AO271" s="2">
        <v>0</v>
      </c>
      <c r="AP271" s="2">
        <v>1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1</v>
      </c>
      <c r="BB271" s="2">
        <v>0</v>
      </c>
      <c r="BC271" s="2">
        <v>0</v>
      </c>
      <c r="BD271" s="2">
        <v>1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1</v>
      </c>
      <c r="BY271" s="2">
        <v>0</v>
      </c>
      <c r="BZ271" s="2">
        <v>2</v>
      </c>
      <c r="CA271" s="2">
        <v>1</v>
      </c>
      <c r="CB271" s="2">
        <v>0</v>
      </c>
      <c r="CC271" s="2">
        <v>1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0</v>
      </c>
      <c r="DB271" s="2">
        <v>0</v>
      </c>
      <c r="DC271" s="2">
        <v>0</v>
      </c>
      <c r="DD271" s="2">
        <v>0</v>
      </c>
      <c r="DE271" s="2">
        <v>0</v>
      </c>
      <c r="DF271" s="2">
        <v>0</v>
      </c>
      <c r="DG271" s="2">
        <v>0</v>
      </c>
      <c r="DH271" s="2">
        <v>0</v>
      </c>
      <c r="DI271" s="2">
        <v>0</v>
      </c>
      <c r="DJ271" s="2">
        <v>1</v>
      </c>
      <c r="DK271" s="2">
        <v>1</v>
      </c>
      <c r="DL271" s="2">
        <v>1</v>
      </c>
      <c r="DM271" s="2">
        <v>0</v>
      </c>
      <c r="DN271" s="2">
        <v>0</v>
      </c>
      <c r="DO271" s="2">
        <v>0</v>
      </c>
      <c r="DP271" s="2">
        <v>0</v>
      </c>
      <c r="DQ271" s="2">
        <v>0</v>
      </c>
      <c r="DR271" s="2">
        <v>0</v>
      </c>
      <c r="DS271" s="2">
        <v>0</v>
      </c>
    </row>
    <row r="272" spans="1:123">
      <c r="A272" s="2" t="s">
        <v>10</v>
      </c>
      <c r="B272" s="2" t="s">
        <v>492</v>
      </c>
      <c r="C272" s="2">
        <v>72</v>
      </c>
      <c r="D272" s="2">
        <v>4</v>
      </c>
      <c r="E272" s="2">
        <v>1.2</v>
      </c>
      <c r="F272" s="2">
        <v>18</v>
      </c>
      <c r="G272" s="2" t="s">
        <v>493</v>
      </c>
      <c r="H272">
        <f>IF(AND(OR(لوحة_القيادة!$C$4="الكل", A272=لوحة_القيادة!$C$4), IF(لوحة_القيادة!$C$5="الكل", TRUE, INDEX($V272:$AG272, 1, VALUE(لوحة_القيادة!$C$5))&gt;0)), 1, 0)</f>
        <v>0</v>
      </c>
      <c r="I272">
        <f>IF(H272=1, SUM($H$2:H272), "")</f>
        <v>0</v>
      </c>
      <c r="J272" s="2">
        <v>0</v>
      </c>
      <c r="K272" s="2">
        <v>33</v>
      </c>
      <c r="L272" s="2">
        <v>0</v>
      </c>
      <c r="M272" s="2">
        <v>0</v>
      </c>
      <c r="N272" s="2">
        <v>26</v>
      </c>
      <c r="O272" s="2">
        <v>13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2</v>
      </c>
      <c r="X272" s="2">
        <v>0</v>
      </c>
      <c r="Y272" s="2">
        <v>0</v>
      </c>
      <c r="Z272" s="2">
        <v>1</v>
      </c>
      <c r="AA272" s="2">
        <v>1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2</v>
      </c>
      <c r="AJ272" s="2">
        <v>1</v>
      </c>
      <c r="AK272" s="2">
        <v>0</v>
      </c>
      <c r="AL272" s="2">
        <v>0</v>
      </c>
      <c r="AM272" s="2">
        <v>1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1</v>
      </c>
      <c r="BN272" s="2">
        <v>0</v>
      </c>
      <c r="BO272" s="2">
        <v>0</v>
      </c>
      <c r="BP272" s="2">
        <v>0</v>
      </c>
      <c r="BQ272" s="2">
        <v>1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1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>
        <v>0</v>
      </c>
      <c r="DE272" s="2">
        <v>0</v>
      </c>
      <c r="DF272" s="2">
        <v>0</v>
      </c>
      <c r="DG272" s="2">
        <v>0</v>
      </c>
      <c r="DH272" s="2">
        <v>0</v>
      </c>
      <c r="DI272" s="2">
        <v>0</v>
      </c>
      <c r="DJ272" s="2">
        <v>0</v>
      </c>
      <c r="DK272" s="2">
        <v>0</v>
      </c>
      <c r="DL272" s="2">
        <v>1</v>
      </c>
      <c r="DM272" s="2">
        <v>0</v>
      </c>
      <c r="DN272" s="2">
        <v>0</v>
      </c>
      <c r="DO272" s="2">
        <v>0</v>
      </c>
      <c r="DP272" s="2">
        <v>0</v>
      </c>
      <c r="DQ272" s="2">
        <v>0</v>
      </c>
      <c r="DR272" s="2">
        <v>0</v>
      </c>
      <c r="DS272" s="2">
        <v>0</v>
      </c>
    </row>
    <row r="273" spans="1:123">
      <c r="A273" s="2" t="s">
        <v>12</v>
      </c>
      <c r="B273" s="2" t="s">
        <v>494</v>
      </c>
      <c r="C273" s="2">
        <v>72</v>
      </c>
      <c r="D273" s="2">
        <v>4</v>
      </c>
      <c r="E273" s="2">
        <v>1.2</v>
      </c>
      <c r="F273" s="2">
        <v>18</v>
      </c>
      <c r="G273" s="2" t="s">
        <v>417</v>
      </c>
      <c r="H273">
        <f>IF(AND(OR(لوحة_القيادة!$C$4="الكل", A273=لوحة_القيادة!$C$4), IF(لوحة_القيادة!$C$5="الكل", TRUE, INDEX($V273:$AG273, 1, VALUE(لوحة_القيادة!$C$5))&gt;0)), 1, 0)</f>
        <v>0</v>
      </c>
      <c r="I273">
        <f>IF(H273=1, SUM($H$2:H273), "")</f>
        <v>0</v>
      </c>
      <c r="J273" s="2">
        <v>11</v>
      </c>
      <c r="K273" s="2">
        <v>0</v>
      </c>
      <c r="L273" s="2">
        <v>49</v>
      </c>
      <c r="M273" s="2">
        <v>0</v>
      </c>
      <c r="N273" s="2">
        <v>12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1</v>
      </c>
      <c r="W273" s="2">
        <v>0</v>
      </c>
      <c r="X273" s="2">
        <v>1</v>
      </c>
      <c r="Y273" s="2">
        <v>0</v>
      </c>
      <c r="Z273" s="2">
        <v>2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1</v>
      </c>
      <c r="AH273" s="2">
        <v>1</v>
      </c>
      <c r="AI273" s="2">
        <v>0</v>
      </c>
      <c r="AJ273" s="2">
        <v>0</v>
      </c>
      <c r="AK273" s="2">
        <v>0</v>
      </c>
      <c r="AL273" s="2">
        <v>0</v>
      </c>
      <c r="AM273" s="2">
        <v>2</v>
      </c>
      <c r="AN273" s="2">
        <v>1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1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>
        <v>0</v>
      </c>
      <c r="DC273" s="2">
        <v>0</v>
      </c>
      <c r="DD273" s="2">
        <v>0</v>
      </c>
      <c r="DE273" s="2">
        <v>0</v>
      </c>
      <c r="DF273" s="2">
        <v>0</v>
      </c>
      <c r="DG273" s="2">
        <v>0</v>
      </c>
      <c r="DH273" s="2">
        <v>0</v>
      </c>
      <c r="DI273" s="2">
        <v>0</v>
      </c>
      <c r="DJ273" s="2">
        <v>0</v>
      </c>
      <c r="DK273" s="2">
        <v>0</v>
      </c>
      <c r="DL273" s="2">
        <v>2</v>
      </c>
      <c r="DM273" s="2">
        <v>0</v>
      </c>
      <c r="DN273" s="2">
        <v>0</v>
      </c>
      <c r="DO273" s="2">
        <v>0</v>
      </c>
      <c r="DP273" s="2">
        <v>0</v>
      </c>
      <c r="DQ273" s="2">
        <v>0</v>
      </c>
      <c r="DR273" s="2">
        <v>0</v>
      </c>
      <c r="DS273" s="2">
        <v>0</v>
      </c>
    </row>
    <row r="274" spans="1:123">
      <c r="A274" s="2" t="s">
        <v>13</v>
      </c>
      <c r="B274" s="2" t="s">
        <v>495</v>
      </c>
      <c r="C274" s="2">
        <v>72</v>
      </c>
      <c r="D274" s="2">
        <v>20</v>
      </c>
      <c r="E274" s="2">
        <v>1.2</v>
      </c>
      <c r="F274" s="2">
        <v>3.6</v>
      </c>
      <c r="G274" s="2" t="s">
        <v>160</v>
      </c>
      <c r="H274">
        <f>IF(AND(OR(لوحة_القيادة!$C$4="الكل", A274=لوحة_القيادة!$C$4), IF(لوحة_القيادة!$C$5="الكل", TRUE, INDEX($V274:$AG274, 1, VALUE(لوحة_القيادة!$C$5))&gt;0)), 1, 0)</f>
        <v>0</v>
      </c>
      <c r="I274">
        <f>IF(H274=1, SUM($H$2:H274), "")</f>
        <v>0</v>
      </c>
      <c r="J274" s="2">
        <v>11</v>
      </c>
      <c r="K274" s="2">
        <v>13</v>
      </c>
      <c r="L274" s="2">
        <v>10</v>
      </c>
      <c r="M274" s="2">
        <v>12</v>
      </c>
      <c r="N274" s="2">
        <v>14</v>
      </c>
      <c r="O274" s="2">
        <v>10</v>
      </c>
      <c r="P274" s="2">
        <v>2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3</v>
      </c>
      <c r="W274" s="2">
        <v>3</v>
      </c>
      <c r="X274" s="2">
        <v>2</v>
      </c>
      <c r="Y274" s="2">
        <v>2</v>
      </c>
      <c r="Z274" s="2">
        <v>5</v>
      </c>
      <c r="AA274" s="2">
        <v>4</v>
      </c>
      <c r="AB274" s="2">
        <v>1</v>
      </c>
      <c r="AC274" s="2">
        <v>0</v>
      </c>
      <c r="AD274" s="2">
        <v>0</v>
      </c>
      <c r="AE274" s="2">
        <v>0</v>
      </c>
      <c r="AF274" s="2">
        <v>0</v>
      </c>
      <c r="AG274" s="2">
        <v>2</v>
      </c>
      <c r="AH274" s="2">
        <v>4</v>
      </c>
      <c r="AI274" s="2">
        <v>2</v>
      </c>
      <c r="AJ274" s="2">
        <v>3</v>
      </c>
      <c r="AK274" s="2">
        <v>0</v>
      </c>
      <c r="AL274" s="2">
        <v>0</v>
      </c>
      <c r="AM274" s="2">
        <v>9</v>
      </c>
      <c r="AN274" s="2">
        <v>0</v>
      </c>
      <c r="AO274" s="2">
        <v>1</v>
      </c>
      <c r="AP274" s="2">
        <v>0</v>
      </c>
      <c r="AQ274" s="2">
        <v>0</v>
      </c>
      <c r="AR274" s="2">
        <v>1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1</v>
      </c>
      <c r="BB274" s="2">
        <v>0</v>
      </c>
      <c r="BC274" s="2">
        <v>0</v>
      </c>
      <c r="BD274" s="2">
        <v>1</v>
      </c>
      <c r="BE274" s="2">
        <v>2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1</v>
      </c>
      <c r="BQ274" s="2">
        <v>1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1</v>
      </c>
      <c r="BY274" s="2">
        <v>0</v>
      </c>
      <c r="BZ274" s="2">
        <v>1</v>
      </c>
      <c r="CA274" s="2">
        <v>0</v>
      </c>
      <c r="CB274" s="2">
        <v>0</v>
      </c>
      <c r="CC274" s="2">
        <v>0</v>
      </c>
      <c r="CD274" s="2">
        <v>1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0</v>
      </c>
      <c r="CX274" s="2">
        <v>0</v>
      </c>
      <c r="CY274" s="2">
        <v>0</v>
      </c>
      <c r="CZ274" s="2">
        <v>0</v>
      </c>
      <c r="DA274" s="2">
        <v>0</v>
      </c>
      <c r="DB274" s="2">
        <v>0</v>
      </c>
      <c r="DC274" s="2">
        <v>0</v>
      </c>
      <c r="DD274" s="2">
        <v>0</v>
      </c>
      <c r="DE274" s="2">
        <v>0</v>
      </c>
      <c r="DF274" s="2">
        <v>0</v>
      </c>
      <c r="DG274" s="2">
        <v>0</v>
      </c>
      <c r="DH274" s="2">
        <v>2</v>
      </c>
      <c r="DI274" s="2">
        <v>1</v>
      </c>
      <c r="DJ274" s="2">
        <v>1</v>
      </c>
      <c r="DK274" s="2">
        <v>2</v>
      </c>
      <c r="DL274" s="2">
        <v>2</v>
      </c>
      <c r="DM274" s="2">
        <v>1</v>
      </c>
      <c r="DN274" s="2">
        <v>0</v>
      </c>
      <c r="DO274" s="2">
        <v>0</v>
      </c>
      <c r="DP274" s="2">
        <v>0</v>
      </c>
      <c r="DQ274" s="2">
        <v>0</v>
      </c>
      <c r="DR274" s="2">
        <v>0</v>
      </c>
      <c r="DS274" s="2">
        <v>0</v>
      </c>
    </row>
    <row r="275" spans="1:123">
      <c r="A275" s="2" t="s">
        <v>14</v>
      </c>
      <c r="B275" s="2" t="s">
        <v>496</v>
      </c>
      <c r="C275" s="2">
        <v>71</v>
      </c>
      <c r="D275" s="2">
        <v>13</v>
      </c>
      <c r="E275" s="2">
        <v>1.18</v>
      </c>
      <c r="F275" s="2">
        <v>5.46</v>
      </c>
      <c r="G275" s="2" t="s">
        <v>249</v>
      </c>
      <c r="H275">
        <f>IF(AND(OR(لوحة_القيادة!$C$4="الكل", A275=لوحة_القيادة!$C$4), IF(لوحة_القيادة!$C$5="الكل", TRUE, INDEX($V275:$AG275, 1, VALUE(لوحة_القيادة!$C$5))&gt;0)), 1, 0)</f>
        <v>0</v>
      </c>
      <c r="I275">
        <f>IF(H275=1, SUM($H$2:H275), "")</f>
        <v>0</v>
      </c>
      <c r="J275" s="2">
        <v>3</v>
      </c>
      <c r="K275" s="2">
        <v>35</v>
      </c>
      <c r="L275" s="2">
        <v>31</v>
      </c>
      <c r="M275" s="2">
        <v>1</v>
      </c>
      <c r="N275" s="2">
        <v>0</v>
      </c>
      <c r="O275" s="2">
        <v>1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1</v>
      </c>
      <c r="W275" s="2">
        <v>5</v>
      </c>
      <c r="X275" s="2">
        <v>5</v>
      </c>
      <c r="Y275" s="2">
        <v>1</v>
      </c>
      <c r="Z275" s="2">
        <v>0</v>
      </c>
      <c r="AA275" s="2">
        <v>1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2</v>
      </c>
      <c r="AH275" s="2">
        <v>1</v>
      </c>
      <c r="AI275" s="2">
        <v>3</v>
      </c>
      <c r="AJ275" s="2">
        <v>3</v>
      </c>
      <c r="AK275" s="2">
        <v>0</v>
      </c>
      <c r="AL275" s="2">
        <v>0</v>
      </c>
      <c r="AM275" s="2">
        <v>4</v>
      </c>
      <c r="AN275" s="2">
        <v>0</v>
      </c>
      <c r="AO275" s="2">
        <v>0</v>
      </c>
      <c r="AP275" s="2">
        <v>1</v>
      </c>
      <c r="AQ275" s="2">
        <v>0</v>
      </c>
      <c r="AR275" s="2">
        <v>0</v>
      </c>
      <c r="AS275" s="2">
        <v>1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1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1</v>
      </c>
      <c r="BM275" s="2">
        <v>2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1</v>
      </c>
      <c r="BZ275" s="2">
        <v>2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0</v>
      </c>
      <c r="DB275" s="2">
        <v>0</v>
      </c>
      <c r="DC275" s="2">
        <v>0</v>
      </c>
      <c r="DD275" s="2">
        <v>0</v>
      </c>
      <c r="DE275" s="2">
        <v>0</v>
      </c>
      <c r="DF275" s="2">
        <v>0</v>
      </c>
      <c r="DG275" s="2">
        <v>0</v>
      </c>
      <c r="DH275" s="2">
        <v>0</v>
      </c>
      <c r="DI275" s="2">
        <v>2</v>
      </c>
      <c r="DJ275" s="2">
        <v>2</v>
      </c>
      <c r="DK275" s="2">
        <v>0</v>
      </c>
      <c r="DL275" s="2">
        <v>0</v>
      </c>
      <c r="DM275" s="2">
        <v>0</v>
      </c>
      <c r="DN275" s="2">
        <v>0</v>
      </c>
      <c r="DO275" s="2">
        <v>0</v>
      </c>
      <c r="DP275" s="2">
        <v>0</v>
      </c>
      <c r="DQ275" s="2">
        <v>0</v>
      </c>
      <c r="DR275" s="2">
        <v>0</v>
      </c>
      <c r="DS275" s="2">
        <v>0</v>
      </c>
    </row>
    <row r="276" spans="1:123">
      <c r="A276" s="2" t="s">
        <v>14</v>
      </c>
      <c r="B276" s="2" t="s">
        <v>497</v>
      </c>
      <c r="C276" s="2">
        <v>71</v>
      </c>
      <c r="D276" s="2">
        <v>13</v>
      </c>
      <c r="E276" s="2">
        <v>1.18</v>
      </c>
      <c r="F276" s="2">
        <v>5.46</v>
      </c>
      <c r="G276" s="2" t="s">
        <v>160</v>
      </c>
      <c r="H276">
        <f>IF(AND(OR(لوحة_القيادة!$C$4="الكل", A276=لوحة_القيادة!$C$4), IF(لوحة_القيادة!$C$5="الكل", TRUE, INDEX($V276:$AG276, 1, VALUE(لوحة_القيادة!$C$5))&gt;0)), 1, 0)</f>
        <v>0</v>
      </c>
      <c r="I276">
        <f>IF(H276=1, SUM($H$2:H276), "")</f>
        <v>0</v>
      </c>
      <c r="J276" s="2">
        <v>18</v>
      </c>
      <c r="K276" s="2">
        <v>8</v>
      </c>
      <c r="L276" s="2">
        <v>4</v>
      </c>
      <c r="M276" s="2">
        <v>31</v>
      </c>
      <c r="N276" s="2">
        <v>2</v>
      </c>
      <c r="O276" s="2">
        <v>4</v>
      </c>
      <c r="P276" s="2">
        <v>4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2</v>
      </c>
      <c r="W276" s="2">
        <v>2</v>
      </c>
      <c r="X276" s="2">
        <v>1</v>
      </c>
      <c r="Y276" s="2">
        <v>4</v>
      </c>
      <c r="Z276" s="2">
        <v>2</v>
      </c>
      <c r="AA276" s="2">
        <v>1</v>
      </c>
      <c r="AB276" s="2">
        <v>1</v>
      </c>
      <c r="AC276" s="2">
        <v>0</v>
      </c>
      <c r="AD276" s="2">
        <v>0</v>
      </c>
      <c r="AE276" s="2">
        <v>0</v>
      </c>
      <c r="AF276" s="2">
        <v>0</v>
      </c>
      <c r="AG276" s="2">
        <v>4</v>
      </c>
      <c r="AH276" s="2">
        <v>1</v>
      </c>
      <c r="AI276" s="2">
        <v>1</v>
      </c>
      <c r="AJ276" s="2">
        <v>6</v>
      </c>
      <c r="AK276" s="2">
        <v>0</v>
      </c>
      <c r="AL276" s="2">
        <v>0</v>
      </c>
      <c r="AM276" s="2">
        <v>1</v>
      </c>
      <c r="AN276" s="2">
        <v>0</v>
      </c>
      <c r="AO276" s="2">
        <v>0</v>
      </c>
      <c r="AP276" s="2">
        <v>0</v>
      </c>
      <c r="AQ276" s="2">
        <v>2</v>
      </c>
      <c r="AR276" s="2">
        <v>1</v>
      </c>
      <c r="AS276" s="2">
        <v>1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1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1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2</v>
      </c>
      <c r="BY276" s="2">
        <v>0</v>
      </c>
      <c r="BZ276" s="2">
        <v>0</v>
      </c>
      <c r="CA276" s="2">
        <v>2</v>
      </c>
      <c r="CB276" s="2">
        <v>1</v>
      </c>
      <c r="CC276" s="2">
        <v>0</v>
      </c>
      <c r="CD276" s="2">
        <v>1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>
        <v>0</v>
      </c>
      <c r="DE276" s="2">
        <v>0</v>
      </c>
      <c r="DF276" s="2">
        <v>0</v>
      </c>
      <c r="DG276" s="2">
        <v>0</v>
      </c>
      <c r="DH276" s="2">
        <v>0</v>
      </c>
      <c r="DI276" s="2">
        <v>1</v>
      </c>
      <c r="DJ276" s="2">
        <v>0</v>
      </c>
      <c r="DK276" s="2">
        <v>0</v>
      </c>
      <c r="DL276" s="2">
        <v>0</v>
      </c>
      <c r="DM276" s="2">
        <v>0</v>
      </c>
      <c r="DN276" s="2">
        <v>0</v>
      </c>
      <c r="DO276" s="2">
        <v>0</v>
      </c>
      <c r="DP276" s="2">
        <v>0</v>
      </c>
      <c r="DQ276" s="2">
        <v>0</v>
      </c>
      <c r="DR276" s="2">
        <v>0</v>
      </c>
      <c r="DS276" s="2">
        <v>0</v>
      </c>
    </row>
    <row r="277" spans="1:123">
      <c r="A277" s="2" t="s">
        <v>16</v>
      </c>
      <c r="B277" s="2" t="s">
        <v>498</v>
      </c>
      <c r="C277" s="2">
        <v>68</v>
      </c>
      <c r="D277" s="2">
        <v>11</v>
      </c>
      <c r="E277" s="2">
        <v>1.13</v>
      </c>
      <c r="F277" s="2">
        <v>6.18</v>
      </c>
      <c r="G277" s="2" t="s">
        <v>303</v>
      </c>
      <c r="H277">
        <f>IF(AND(OR(لوحة_القيادة!$C$4="الكل", A277=لوحة_القيادة!$C$4), IF(لوحة_القيادة!$C$5="الكل", TRUE, INDEX($V277:$AG277, 1, VALUE(لوحة_القيادة!$C$5))&gt;0)), 1, 0)</f>
        <v>0</v>
      </c>
      <c r="I277">
        <f>IF(H277=1, SUM($H$2:H277), "")</f>
        <v>0</v>
      </c>
      <c r="J277" s="2">
        <v>17</v>
      </c>
      <c r="K277" s="2">
        <v>19</v>
      </c>
      <c r="L277" s="2">
        <v>14</v>
      </c>
      <c r="M277" s="2">
        <v>18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1</v>
      </c>
      <c r="W277" s="2">
        <v>5</v>
      </c>
      <c r="X277" s="2">
        <v>2</v>
      </c>
      <c r="Y277" s="2">
        <v>3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2</v>
      </c>
      <c r="AH277" s="2">
        <v>0</v>
      </c>
      <c r="AI277" s="2">
        <v>4</v>
      </c>
      <c r="AJ277" s="2">
        <v>2</v>
      </c>
      <c r="AK277" s="2">
        <v>0</v>
      </c>
      <c r="AL277" s="2">
        <v>0</v>
      </c>
      <c r="AM277" s="2">
        <v>3</v>
      </c>
      <c r="AN277" s="2">
        <v>0</v>
      </c>
      <c r="AO277" s="2">
        <v>1</v>
      </c>
      <c r="AP277" s="2">
        <v>1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1</v>
      </c>
      <c r="BM277" s="2">
        <v>2</v>
      </c>
      <c r="BN277" s="2">
        <v>0</v>
      </c>
      <c r="BO277" s="2">
        <v>1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1</v>
      </c>
      <c r="BZ277" s="2">
        <v>0</v>
      </c>
      <c r="CA277" s="2">
        <v>1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0</v>
      </c>
      <c r="DB277" s="2">
        <v>0</v>
      </c>
      <c r="DC277" s="2">
        <v>0</v>
      </c>
      <c r="DD277" s="2">
        <v>0</v>
      </c>
      <c r="DE277" s="2">
        <v>0</v>
      </c>
      <c r="DF277" s="2">
        <v>0</v>
      </c>
      <c r="DG277" s="2">
        <v>0</v>
      </c>
      <c r="DH277" s="2">
        <v>0</v>
      </c>
      <c r="DI277" s="2">
        <v>1</v>
      </c>
      <c r="DJ277" s="2">
        <v>1</v>
      </c>
      <c r="DK277" s="2">
        <v>1</v>
      </c>
      <c r="DL277" s="2">
        <v>0</v>
      </c>
      <c r="DM277" s="2">
        <v>0</v>
      </c>
      <c r="DN277" s="2">
        <v>0</v>
      </c>
      <c r="DO277" s="2">
        <v>0</v>
      </c>
      <c r="DP277" s="2">
        <v>0</v>
      </c>
      <c r="DQ277" s="2">
        <v>0</v>
      </c>
      <c r="DR277" s="2">
        <v>0</v>
      </c>
      <c r="DS277" s="2">
        <v>0</v>
      </c>
    </row>
    <row r="278" spans="1:123">
      <c r="A278" s="2" t="s">
        <v>18</v>
      </c>
      <c r="B278" s="2" t="s">
        <v>499</v>
      </c>
      <c r="C278" s="2">
        <v>68</v>
      </c>
      <c r="D278" s="2">
        <v>7</v>
      </c>
      <c r="E278" s="2">
        <v>1.13</v>
      </c>
      <c r="F278" s="2">
        <v>9.710000000000001</v>
      </c>
      <c r="G278" s="2" t="s">
        <v>500</v>
      </c>
      <c r="H278">
        <f>IF(AND(OR(لوحة_القيادة!$C$4="الكل", A278=لوحة_القيادة!$C$4), IF(لوحة_القيادة!$C$5="الكل", TRUE, INDEX($V278:$AG278, 1, VALUE(لوحة_القيادة!$C$5))&gt;0)), 1, 0)</f>
        <v>0</v>
      </c>
      <c r="I278">
        <f>IF(H278=1, SUM($H$2:H278), "")</f>
        <v>0</v>
      </c>
      <c r="J278" s="2">
        <v>6</v>
      </c>
      <c r="K278" s="2">
        <v>14</v>
      </c>
      <c r="L278" s="2">
        <v>18</v>
      </c>
      <c r="M278" s="2">
        <v>0</v>
      </c>
      <c r="N278" s="2">
        <v>10</v>
      </c>
      <c r="O278" s="2">
        <v>0</v>
      </c>
      <c r="P278" s="2">
        <v>20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1</v>
      </c>
      <c r="W278" s="2">
        <v>1</v>
      </c>
      <c r="X278" s="2">
        <v>2</v>
      </c>
      <c r="Y278" s="2">
        <v>0</v>
      </c>
      <c r="Z278" s="2">
        <v>2</v>
      </c>
      <c r="AA278" s="2">
        <v>0</v>
      </c>
      <c r="AB278" s="2">
        <v>1</v>
      </c>
      <c r="AC278" s="2">
        <v>0</v>
      </c>
      <c r="AD278" s="2">
        <v>0</v>
      </c>
      <c r="AE278" s="2">
        <v>0</v>
      </c>
      <c r="AF278" s="2">
        <v>0</v>
      </c>
      <c r="AG278" s="2">
        <v>1</v>
      </c>
      <c r="AH278" s="2">
        <v>1</v>
      </c>
      <c r="AI278" s="2">
        <v>2</v>
      </c>
      <c r="AJ278" s="2">
        <v>2</v>
      </c>
      <c r="AK278" s="2">
        <v>0</v>
      </c>
      <c r="AL278" s="2">
        <v>0</v>
      </c>
      <c r="AM278" s="2">
        <v>1</v>
      </c>
      <c r="AN278" s="2">
        <v>0</v>
      </c>
      <c r="AO278" s="2">
        <v>0</v>
      </c>
      <c r="AP278" s="2">
        <v>0</v>
      </c>
      <c r="AQ278" s="2">
        <v>0</v>
      </c>
      <c r="AR278" s="2">
        <v>1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1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1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1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2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0</v>
      </c>
      <c r="DB278" s="2">
        <v>0</v>
      </c>
      <c r="DC278" s="2">
        <v>0</v>
      </c>
      <c r="DD278" s="2">
        <v>0</v>
      </c>
      <c r="DE278" s="2">
        <v>0</v>
      </c>
      <c r="DF278" s="2">
        <v>0</v>
      </c>
      <c r="DG278" s="2">
        <v>0</v>
      </c>
      <c r="DH278" s="2">
        <v>0</v>
      </c>
      <c r="DI278" s="2">
        <v>0</v>
      </c>
      <c r="DJ278" s="2">
        <v>0</v>
      </c>
      <c r="DK278" s="2">
        <v>0</v>
      </c>
      <c r="DL278" s="2">
        <v>1</v>
      </c>
      <c r="DM278" s="2">
        <v>0</v>
      </c>
      <c r="DN278" s="2">
        <v>0</v>
      </c>
      <c r="DO278" s="2">
        <v>0</v>
      </c>
      <c r="DP278" s="2">
        <v>0</v>
      </c>
      <c r="DQ278" s="2">
        <v>0</v>
      </c>
      <c r="DR278" s="2">
        <v>0</v>
      </c>
      <c r="DS278" s="2">
        <v>0</v>
      </c>
    </row>
    <row r="279" spans="1:123">
      <c r="A279" s="2" t="s">
        <v>6</v>
      </c>
      <c r="B279" s="2" t="s">
        <v>501</v>
      </c>
      <c r="C279" s="2">
        <v>66</v>
      </c>
      <c r="D279" s="2">
        <v>5</v>
      </c>
      <c r="E279" s="2">
        <v>1.1</v>
      </c>
      <c r="F279" s="2">
        <v>13.2</v>
      </c>
      <c r="G279" s="2" t="s">
        <v>308</v>
      </c>
      <c r="H279">
        <f>IF(AND(OR(لوحة_القيادة!$C$4="الكل", A279=لوحة_القيادة!$C$4), IF(لوحة_القيادة!$C$5="الكل", TRUE, INDEX($V279:$AG279, 1, VALUE(لوحة_القيادة!$C$5))&gt;0)), 1, 0)</f>
        <v>0</v>
      </c>
      <c r="I279">
        <f>IF(H279=1, SUM($H$2:H279), "")</f>
        <v>0</v>
      </c>
      <c r="J279" s="2">
        <v>3</v>
      </c>
      <c r="K279" s="2">
        <v>9</v>
      </c>
      <c r="L279" s="2">
        <v>54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1</v>
      </c>
      <c r="W279" s="2">
        <v>1</v>
      </c>
      <c r="X279" s="2">
        <v>3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1</v>
      </c>
      <c r="AH279" s="2">
        <v>0</v>
      </c>
      <c r="AI279" s="2">
        <v>3</v>
      </c>
      <c r="AJ279" s="2">
        <v>1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1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1</v>
      </c>
      <c r="BN279" s="2">
        <v>2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1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0</v>
      </c>
      <c r="DB279" s="2">
        <v>0</v>
      </c>
      <c r="DC279" s="2">
        <v>0</v>
      </c>
      <c r="DD279" s="2">
        <v>0</v>
      </c>
      <c r="DE279" s="2">
        <v>0</v>
      </c>
      <c r="DF279" s="2">
        <v>0</v>
      </c>
      <c r="DG279" s="2">
        <v>0</v>
      </c>
      <c r="DH279" s="2">
        <v>0</v>
      </c>
      <c r="DI279" s="2">
        <v>0</v>
      </c>
      <c r="DJ279" s="2">
        <v>0</v>
      </c>
      <c r="DK279" s="2">
        <v>0</v>
      </c>
      <c r="DL279" s="2">
        <v>0</v>
      </c>
      <c r="DM279" s="2">
        <v>0</v>
      </c>
      <c r="DN279" s="2">
        <v>0</v>
      </c>
      <c r="DO279" s="2">
        <v>0</v>
      </c>
      <c r="DP279" s="2">
        <v>0</v>
      </c>
      <c r="DQ279" s="2">
        <v>0</v>
      </c>
      <c r="DR279" s="2">
        <v>0</v>
      </c>
      <c r="DS279" s="2">
        <v>0</v>
      </c>
    </row>
    <row r="280" spans="1:123">
      <c r="A280" s="2" t="s">
        <v>17</v>
      </c>
      <c r="B280" s="2" t="s">
        <v>502</v>
      </c>
      <c r="C280" s="2">
        <v>65</v>
      </c>
      <c r="D280" s="2">
        <v>7</v>
      </c>
      <c r="E280" s="2">
        <v>1.08</v>
      </c>
      <c r="F280" s="2">
        <v>9.289999999999999</v>
      </c>
      <c r="G280" s="2" t="s">
        <v>186</v>
      </c>
      <c r="H280">
        <f>IF(AND(OR(لوحة_القيادة!$C$4="الكل", A280=لوحة_القيادة!$C$4), IF(لوحة_القيادة!$C$5="الكل", TRUE, INDEX($V280:$AG280, 1, VALUE(لوحة_القيادة!$C$5))&gt;0)), 1, 0)</f>
        <v>0</v>
      </c>
      <c r="I280">
        <f>IF(H280=1, SUM($H$2:H280), "")</f>
        <v>0</v>
      </c>
      <c r="J280" s="2">
        <v>0</v>
      </c>
      <c r="K280" s="2">
        <v>1</v>
      </c>
      <c r="L280" s="2">
        <v>28</v>
      </c>
      <c r="M280" s="2">
        <v>3</v>
      </c>
      <c r="N280" s="2">
        <v>15</v>
      </c>
      <c r="O280" s="2">
        <v>17</v>
      </c>
      <c r="P280" s="2">
        <v>1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1</v>
      </c>
      <c r="X280" s="2">
        <v>2</v>
      </c>
      <c r="Y280" s="2">
        <v>1</v>
      </c>
      <c r="Z280" s="2">
        <v>1</v>
      </c>
      <c r="AA280" s="2">
        <v>1</v>
      </c>
      <c r="AB280" s="2">
        <v>1</v>
      </c>
      <c r="AC280" s="2">
        <v>0</v>
      </c>
      <c r="AD280" s="2">
        <v>0</v>
      </c>
      <c r="AE280" s="2">
        <v>0</v>
      </c>
      <c r="AF280" s="2">
        <v>0</v>
      </c>
      <c r="AG280" s="2">
        <v>2</v>
      </c>
      <c r="AH280" s="2">
        <v>3</v>
      </c>
      <c r="AI280" s="2">
        <v>1</v>
      </c>
      <c r="AJ280" s="2">
        <v>0</v>
      </c>
      <c r="AK280" s="2">
        <v>0</v>
      </c>
      <c r="AL280" s="2">
        <v>0</v>
      </c>
      <c r="AM280" s="2">
        <v>1</v>
      </c>
      <c r="AN280" s="2">
        <v>0</v>
      </c>
      <c r="AO280" s="2">
        <v>0</v>
      </c>
      <c r="AP280" s="2">
        <v>1</v>
      </c>
      <c r="AQ280" s="2">
        <v>0</v>
      </c>
      <c r="AR280" s="2">
        <v>0</v>
      </c>
      <c r="AS280" s="2">
        <v>0</v>
      </c>
      <c r="AT280" s="2">
        <v>1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1</v>
      </c>
      <c r="BB280" s="2">
        <v>1</v>
      </c>
      <c r="BC280" s="2">
        <v>0</v>
      </c>
      <c r="BD280" s="2">
        <v>1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1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>
        <v>0</v>
      </c>
      <c r="DE280" s="2">
        <v>0</v>
      </c>
      <c r="DF280" s="2">
        <v>0</v>
      </c>
      <c r="DG280" s="2">
        <v>0</v>
      </c>
      <c r="DH280" s="2">
        <v>0</v>
      </c>
      <c r="DI280" s="2">
        <v>0</v>
      </c>
      <c r="DJ280" s="2">
        <v>0</v>
      </c>
      <c r="DK280" s="2">
        <v>1</v>
      </c>
      <c r="DL280" s="2">
        <v>0</v>
      </c>
      <c r="DM280" s="2">
        <v>0</v>
      </c>
      <c r="DN280" s="2">
        <v>0</v>
      </c>
      <c r="DO280" s="2">
        <v>0</v>
      </c>
      <c r="DP280" s="2">
        <v>0</v>
      </c>
      <c r="DQ280" s="2">
        <v>0</v>
      </c>
      <c r="DR280" s="2">
        <v>0</v>
      </c>
      <c r="DS280" s="2">
        <v>0</v>
      </c>
    </row>
    <row r="281" spans="1:123">
      <c r="A281" s="2" t="s">
        <v>4</v>
      </c>
      <c r="B281" s="2" t="s">
        <v>503</v>
      </c>
      <c r="C281" s="2">
        <v>64</v>
      </c>
      <c r="D281" s="2">
        <v>7</v>
      </c>
      <c r="E281" s="2">
        <v>1.07</v>
      </c>
      <c r="F281" s="2">
        <v>9.140000000000001</v>
      </c>
      <c r="G281" s="2" t="s">
        <v>504</v>
      </c>
      <c r="H281">
        <f>IF(AND(OR(لوحة_القيادة!$C$4="الكل", A281=لوحة_القيادة!$C$4), IF(لوحة_القيادة!$C$5="الكل", TRUE, INDEX($V281:$AG281, 1, VALUE(لوحة_القيادة!$C$5))&gt;0)), 1, 0)</f>
        <v>0</v>
      </c>
      <c r="I281">
        <f>IF(H281=1, SUM($H$2:H281), "")</f>
        <v>0</v>
      </c>
      <c r="J281" s="2">
        <v>19</v>
      </c>
      <c r="K281" s="2">
        <v>43</v>
      </c>
      <c r="L281" s="2">
        <v>0</v>
      </c>
      <c r="M281" s="2">
        <v>0</v>
      </c>
      <c r="N281" s="2">
        <v>2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2</v>
      </c>
      <c r="W281" s="2">
        <v>4</v>
      </c>
      <c r="X281" s="2">
        <v>0</v>
      </c>
      <c r="Y281" s="2">
        <v>0</v>
      </c>
      <c r="Z281" s="2">
        <v>1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4</v>
      </c>
      <c r="AH281" s="2">
        <v>2</v>
      </c>
      <c r="AI281" s="2">
        <v>0</v>
      </c>
      <c r="AJ281" s="2">
        <v>1</v>
      </c>
      <c r="AK281" s="2">
        <v>0</v>
      </c>
      <c r="AL281" s="2">
        <v>0</v>
      </c>
      <c r="AM281" s="2">
        <v>0</v>
      </c>
      <c r="AN281" s="2">
        <v>1</v>
      </c>
      <c r="AO281" s="2">
        <v>2</v>
      </c>
      <c r="AP281" s="2">
        <v>0</v>
      </c>
      <c r="AQ281" s="2">
        <v>0</v>
      </c>
      <c r="AR281" s="2">
        <v>1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1</v>
      </c>
      <c r="BA281" s="2">
        <v>1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1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2">
        <v>0</v>
      </c>
      <c r="CX281" s="2">
        <v>0</v>
      </c>
      <c r="CY281" s="2">
        <v>0</v>
      </c>
      <c r="CZ281" s="2">
        <v>0</v>
      </c>
      <c r="DA281" s="2">
        <v>0</v>
      </c>
      <c r="DB281" s="2">
        <v>0</v>
      </c>
      <c r="DC281" s="2">
        <v>0</v>
      </c>
      <c r="DD281" s="2">
        <v>0</v>
      </c>
      <c r="DE281" s="2">
        <v>0</v>
      </c>
      <c r="DF281" s="2">
        <v>0</v>
      </c>
      <c r="DG281" s="2">
        <v>0</v>
      </c>
      <c r="DH281" s="2">
        <v>0</v>
      </c>
      <c r="DI281" s="2">
        <v>0</v>
      </c>
      <c r="DJ281" s="2">
        <v>0</v>
      </c>
      <c r="DK281" s="2">
        <v>0</v>
      </c>
      <c r="DL281" s="2">
        <v>0</v>
      </c>
      <c r="DM281" s="2">
        <v>0</v>
      </c>
      <c r="DN281" s="2">
        <v>0</v>
      </c>
      <c r="DO281" s="2">
        <v>0</v>
      </c>
      <c r="DP281" s="2">
        <v>0</v>
      </c>
      <c r="DQ281" s="2">
        <v>0</v>
      </c>
      <c r="DR281" s="2">
        <v>0</v>
      </c>
      <c r="DS281" s="2">
        <v>0</v>
      </c>
    </row>
    <row r="282" spans="1:123">
      <c r="A282" s="2" t="s">
        <v>17</v>
      </c>
      <c r="B282" s="2" t="s">
        <v>505</v>
      </c>
      <c r="C282" s="2">
        <v>63</v>
      </c>
      <c r="D282" s="2">
        <v>8</v>
      </c>
      <c r="E282" s="2">
        <v>1.05</v>
      </c>
      <c r="F282" s="2">
        <v>7.88</v>
      </c>
      <c r="G282" s="2" t="s">
        <v>176</v>
      </c>
      <c r="H282">
        <f>IF(AND(OR(لوحة_القيادة!$C$4="الكل", A282=لوحة_القيادة!$C$4), IF(لوحة_القيادة!$C$5="الكل", TRUE, INDEX($V282:$AG282, 1, VALUE(لوحة_القيادة!$C$5))&gt;0)), 1, 0)</f>
        <v>0</v>
      </c>
      <c r="I282">
        <f>IF(H282=1, SUM($H$2:H282), "")</f>
        <v>0</v>
      </c>
      <c r="J282" s="2">
        <v>1</v>
      </c>
      <c r="K282" s="2">
        <v>8</v>
      </c>
      <c r="L282" s="2">
        <v>0</v>
      </c>
      <c r="M282" s="2">
        <v>26</v>
      </c>
      <c r="N282" s="2">
        <v>2</v>
      </c>
      <c r="O282" s="2">
        <v>26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1</v>
      </c>
      <c r="W282" s="2">
        <v>2</v>
      </c>
      <c r="X282" s="2">
        <v>0</v>
      </c>
      <c r="Y282" s="2">
        <v>2</v>
      </c>
      <c r="Z282" s="2">
        <v>1</v>
      </c>
      <c r="AA282" s="2">
        <v>2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1</v>
      </c>
      <c r="AH282" s="2">
        <v>1</v>
      </c>
      <c r="AI282" s="2">
        <v>1</v>
      </c>
      <c r="AJ282" s="2">
        <v>1</v>
      </c>
      <c r="AK282" s="2">
        <v>0</v>
      </c>
      <c r="AL282" s="2">
        <v>0</v>
      </c>
      <c r="AM282" s="2">
        <v>4</v>
      </c>
      <c r="AN282" s="2">
        <v>0</v>
      </c>
      <c r="AO282" s="2">
        <v>1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1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1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1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0</v>
      </c>
      <c r="DB282" s="2">
        <v>0</v>
      </c>
      <c r="DC282" s="2">
        <v>0</v>
      </c>
      <c r="DD282" s="2">
        <v>0</v>
      </c>
      <c r="DE282" s="2">
        <v>0</v>
      </c>
      <c r="DF282" s="2">
        <v>0</v>
      </c>
      <c r="DG282" s="2">
        <v>0</v>
      </c>
      <c r="DH282" s="2">
        <v>0</v>
      </c>
      <c r="DI282" s="2">
        <v>1</v>
      </c>
      <c r="DJ282" s="2">
        <v>0</v>
      </c>
      <c r="DK282" s="2">
        <v>1</v>
      </c>
      <c r="DL282" s="2">
        <v>1</v>
      </c>
      <c r="DM282" s="2">
        <v>1</v>
      </c>
      <c r="DN282" s="2">
        <v>0</v>
      </c>
      <c r="DO282" s="2">
        <v>0</v>
      </c>
      <c r="DP282" s="2">
        <v>0</v>
      </c>
      <c r="DQ282" s="2">
        <v>0</v>
      </c>
      <c r="DR282" s="2">
        <v>0</v>
      </c>
      <c r="DS282" s="2">
        <v>0</v>
      </c>
    </row>
    <row r="283" spans="1:123">
      <c r="A283" s="2" t="s">
        <v>4</v>
      </c>
      <c r="B283" s="2" t="s">
        <v>506</v>
      </c>
      <c r="C283" s="2">
        <v>62</v>
      </c>
      <c r="D283" s="2">
        <v>29</v>
      </c>
      <c r="E283" s="2">
        <v>1.03</v>
      </c>
      <c r="F283" s="2">
        <v>2.14</v>
      </c>
      <c r="G283" s="2" t="s">
        <v>160</v>
      </c>
      <c r="H283">
        <f>IF(AND(OR(لوحة_القيادة!$C$4="الكل", A283=لوحة_القيادة!$C$4), IF(لوحة_القيادة!$C$5="الكل", TRUE, INDEX($V283:$AG283, 1, VALUE(لوحة_القيادة!$C$5))&gt;0)), 1, 0)</f>
        <v>0</v>
      </c>
      <c r="I283">
        <f>IF(H283=1, SUM($H$2:H283), "")</f>
        <v>0</v>
      </c>
      <c r="J283" s="2">
        <v>5</v>
      </c>
      <c r="K283" s="2">
        <v>25</v>
      </c>
      <c r="L283" s="2">
        <v>6</v>
      </c>
      <c r="M283" s="2">
        <v>9</v>
      </c>
      <c r="N283" s="2">
        <v>3</v>
      </c>
      <c r="O283" s="2">
        <v>6</v>
      </c>
      <c r="P283" s="2">
        <v>8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3</v>
      </c>
      <c r="W283" s="2">
        <v>10</v>
      </c>
      <c r="X283" s="2">
        <v>4</v>
      </c>
      <c r="Y283" s="2">
        <v>5</v>
      </c>
      <c r="Z283" s="2">
        <v>2</v>
      </c>
      <c r="AA283" s="2">
        <v>2</v>
      </c>
      <c r="AB283" s="2">
        <v>3</v>
      </c>
      <c r="AC283" s="2">
        <v>0</v>
      </c>
      <c r="AD283" s="2">
        <v>0</v>
      </c>
      <c r="AE283" s="2">
        <v>0</v>
      </c>
      <c r="AF283" s="2">
        <v>0</v>
      </c>
      <c r="AG283" s="2">
        <v>9</v>
      </c>
      <c r="AH283" s="2">
        <v>7</v>
      </c>
      <c r="AI283" s="2">
        <v>5</v>
      </c>
      <c r="AJ283" s="2">
        <v>2</v>
      </c>
      <c r="AK283" s="2">
        <v>0</v>
      </c>
      <c r="AL283" s="2">
        <v>0</v>
      </c>
      <c r="AM283" s="2">
        <v>6</v>
      </c>
      <c r="AN283" s="2">
        <v>1</v>
      </c>
      <c r="AO283" s="2">
        <v>4</v>
      </c>
      <c r="AP283" s="2">
        <v>0</v>
      </c>
      <c r="AQ283" s="2">
        <v>1</v>
      </c>
      <c r="AR283" s="2">
        <v>1</v>
      </c>
      <c r="AS283" s="2">
        <v>1</v>
      </c>
      <c r="AT283" s="2">
        <v>1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2</v>
      </c>
      <c r="BA283" s="2">
        <v>1</v>
      </c>
      <c r="BB283" s="2">
        <v>2</v>
      </c>
      <c r="BC283" s="2">
        <v>0</v>
      </c>
      <c r="BD283" s="2">
        <v>0</v>
      </c>
      <c r="BE283" s="2">
        <v>1</v>
      </c>
      <c r="BF283" s="2">
        <v>1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2</v>
      </c>
      <c r="BN283" s="2">
        <v>1</v>
      </c>
      <c r="BO283" s="2">
        <v>2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1</v>
      </c>
      <c r="BZ283" s="2">
        <v>0</v>
      </c>
      <c r="CA283" s="2">
        <v>0</v>
      </c>
      <c r="CB283" s="2">
        <v>0</v>
      </c>
      <c r="CC283" s="2">
        <v>0</v>
      </c>
      <c r="CD283" s="2">
        <v>1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0</v>
      </c>
      <c r="DB283" s="2">
        <v>0</v>
      </c>
      <c r="DC283" s="2">
        <v>0</v>
      </c>
      <c r="DD283" s="2">
        <v>0</v>
      </c>
      <c r="DE283" s="2">
        <v>0</v>
      </c>
      <c r="DF283" s="2">
        <v>0</v>
      </c>
      <c r="DG283" s="2">
        <v>0</v>
      </c>
      <c r="DH283" s="2">
        <v>0</v>
      </c>
      <c r="DI283" s="2">
        <v>2</v>
      </c>
      <c r="DJ283" s="2">
        <v>1</v>
      </c>
      <c r="DK283" s="2">
        <v>2</v>
      </c>
      <c r="DL283" s="2">
        <v>1</v>
      </c>
      <c r="DM283" s="2">
        <v>0</v>
      </c>
      <c r="DN283" s="2">
        <v>0</v>
      </c>
      <c r="DO283" s="2">
        <v>0</v>
      </c>
      <c r="DP283" s="2">
        <v>0</v>
      </c>
      <c r="DQ283" s="2">
        <v>0</v>
      </c>
      <c r="DR283" s="2">
        <v>0</v>
      </c>
      <c r="DS283" s="2">
        <v>0</v>
      </c>
    </row>
    <row r="284" spans="1:123">
      <c r="A284" s="2" t="s">
        <v>15</v>
      </c>
      <c r="B284" s="2" t="s">
        <v>507</v>
      </c>
      <c r="C284" s="2">
        <v>61</v>
      </c>
      <c r="D284" s="2">
        <v>15</v>
      </c>
      <c r="E284" s="2">
        <v>1.02</v>
      </c>
      <c r="F284" s="2">
        <v>4.07</v>
      </c>
      <c r="G284" s="2" t="s">
        <v>160</v>
      </c>
      <c r="H284">
        <f>IF(AND(OR(لوحة_القيادة!$C$4="الكل", A284=لوحة_القيادة!$C$4), IF(لوحة_القيادة!$C$5="الكل", TRUE, INDEX($V284:$AG284, 1, VALUE(لوحة_القيادة!$C$5))&gt;0)), 1, 0)</f>
        <v>0</v>
      </c>
      <c r="I284">
        <f>IF(H284=1, SUM($H$2:H284), "")</f>
        <v>0</v>
      </c>
      <c r="J284" s="2">
        <v>3</v>
      </c>
      <c r="K284" s="2">
        <v>4</v>
      </c>
      <c r="L284" s="2">
        <v>1</v>
      </c>
      <c r="M284" s="2">
        <v>2</v>
      </c>
      <c r="N284" s="2">
        <v>2</v>
      </c>
      <c r="O284" s="2">
        <v>4</v>
      </c>
      <c r="P284" s="2">
        <v>45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3</v>
      </c>
      <c r="W284" s="2">
        <v>3</v>
      </c>
      <c r="X284" s="2">
        <v>1</v>
      </c>
      <c r="Y284" s="2">
        <v>2</v>
      </c>
      <c r="Z284" s="2">
        <v>2</v>
      </c>
      <c r="AA284" s="2">
        <v>3</v>
      </c>
      <c r="AB284" s="2">
        <v>1</v>
      </c>
      <c r="AC284" s="2">
        <v>0</v>
      </c>
      <c r="AD284" s="2">
        <v>0</v>
      </c>
      <c r="AE284" s="2">
        <v>0</v>
      </c>
      <c r="AF284" s="2">
        <v>0</v>
      </c>
      <c r="AG284" s="2">
        <v>2</v>
      </c>
      <c r="AH284" s="2">
        <v>3</v>
      </c>
      <c r="AI284" s="2">
        <v>3</v>
      </c>
      <c r="AJ284" s="2">
        <v>5</v>
      </c>
      <c r="AK284" s="2">
        <v>0</v>
      </c>
      <c r="AL284" s="2">
        <v>0</v>
      </c>
      <c r="AM284" s="2">
        <v>2</v>
      </c>
      <c r="AN284" s="2">
        <v>0</v>
      </c>
      <c r="AO284" s="2">
        <v>0</v>
      </c>
      <c r="AP284" s="2">
        <v>0</v>
      </c>
      <c r="AQ284" s="2">
        <v>0</v>
      </c>
      <c r="AR284" s="2">
        <v>1</v>
      </c>
      <c r="AS284" s="2">
        <v>1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2</v>
      </c>
      <c r="BB284" s="2">
        <v>0</v>
      </c>
      <c r="BC284" s="2">
        <v>1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2</v>
      </c>
      <c r="BM284" s="2">
        <v>0</v>
      </c>
      <c r="BN284" s="2">
        <v>0</v>
      </c>
      <c r="BO284" s="2">
        <v>0</v>
      </c>
      <c r="BP284" s="2">
        <v>0</v>
      </c>
      <c r="BQ284" s="2">
        <v>1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1</v>
      </c>
      <c r="BY284" s="2">
        <v>0</v>
      </c>
      <c r="BZ284" s="2">
        <v>1</v>
      </c>
      <c r="CA284" s="2">
        <v>1</v>
      </c>
      <c r="CB284" s="2">
        <v>1</v>
      </c>
      <c r="CC284" s="2">
        <v>0</v>
      </c>
      <c r="CD284" s="2">
        <v>1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0</v>
      </c>
      <c r="DE284" s="2">
        <v>0</v>
      </c>
      <c r="DF284" s="2">
        <v>0</v>
      </c>
      <c r="DG284" s="2">
        <v>0</v>
      </c>
      <c r="DH284" s="2">
        <v>0</v>
      </c>
      <c r="DI284" s="2">
        <v>1</v>
      </c>
      <c r="DJ284" s="2">
        <v>0</v>
      </c>
      <c r="DK284" s="2">
        <v>0</v>
      </c>
      <c r="DL284" s="2">
        <v>0</v>
      </c>
      <c r="DM284" s="2">
        <v>1</v>
      </c>
      <c r="DN284" s="2">
        <v>0</v>
      </c>
      <c r="DO284" s="2">
        <v>0</v>
      </c>
      <c r="DP284" s="2">
        <v>0</v>
      </c>
      <c r="DQ284" s="2">
        <v>0</v>
      </c>
      <c r="DR284" s="2">
        <v>0</v>
      </c>
      <c r="DS284" s="2">
        <v>0</v>
      </c>
    </row>
    <row r="285" spans="1:123">
      <c r="A285" s="2" t="s">
        <v>19</v>
      </c>
      <c r="B285" s="2" t="s">
        <v>508</v>
      </c>
      <c r="C285" s="2">
        <v>60</v>
      </c>
      <c r="D285" s="2">
        <v>4</v>
      </c>
      <c r="E285" s="2">
        <v>1</v>
      </c>
      <c r="F285" s="2">
        <v>15</v>
      </c>
      <c r="G285" s="2" t="s">
        <v>509</v>
      </c>
      <c r="H285">
        <f>IF(AND(OR(لوحة_القيادة!$C$4="الكل", A285=لوحة_القيادة!$C$4), IF(لوحة_القيادة!$C$5="الكل", TRUE, INDEX($V285:$AG285, 1, VALUE(لوحة_القيادة!$C$5))&gt;0)), 1, 0)</f>
        <v>0</v>
      </c>
      <c r="I285">
        <f>IF(H285=1, SUM($H$2:H285), "")</f>
        <v>0</v>
      </c>
      <c r="J285" s="2">
        <v>0</v>
      </c>
      <c r="K285" s="2">
        <v>0</v>
      </c>
      <c r="L285" s="2">
        <v>45</v>
      </c>
      <c r="M285" s="2">
        <v>10</v>
      </c>
      <c r="N285" s="2">
        <v>1</v>
      </c>
      <c r="O285" s="2">
        <v>0</v>
      </c>
      <c r="P285" s="2">
        <v>4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1</v>
      </c>
      <c r="Y285" s="2">
        <v>1</v>
      </c>
      <c r="Z285" s="2">
        <v>1</v>
      </c>
      <c r="AA285" s="2">
        <v>0</v>
      </c>
      <c r="AB285" s="2">
        <v>1</v>
      </c>
      <c r="AC285" s="2">
        <v>0</v>
      </c>
      <c r="AD285" s="2">
        <v>0</v>
      </c>
      <c r="AE285" s="2">
        <v>0</v>
      </c>
      <c r="AF285" s="2">
        <v>0</v>
      </c>
      <c r="AG285" s="2">
        <v>1</v>
      </c>
      <c r="AH285" s="2">
        <v>1</v>
      </c>
      <c r="AI285" s="2">
        <v>0</v>
      </c>
      <c r="AJ285" s="2">
        <v>0</v>
      </c>
      <c r="AK285" s="2">
        <v>0</v>
      </c>
      <c r="AL285" s="2">
        <v>0</v>
      </c>
      <c r="AM285" s="2">
        <v>2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1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1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0</v>
      </c>
      <c r="DB285" s="2">
        <v>0</v>
      </c>
      <c r="DC285" s="2">
        <v>0</v>
      </c>
      <c r="DD285" s="2">
        <v>0</v>
      </c>
      <c r="DE285" s="2">
        <v>0</v>
      </c>
      <c r="DF285" s="2">
        <v>0</v>
      </c>
      <c r="DG285" s="2">
        <v>0</v>
      </c>
      <c r="DH285" s="2">
        <v>0</v>
      </c>
      <c r="DI285" s="2">
        <v>0</v>
      </c>
      <c r="DJ285" s="2">
        <v>0</v>
      </c>
      <c r="DK285" s="2">
        <v>1</v>
      </c>
      <c r="DL285" s="2">
        <v>1</v>
      </c>
      <c r="DM285" s="2">
        <v>0</v>
      </c>
      <c r="DN285" s="2">
        <v>0</v>
      </c>
      <c r="DO285" s="2">
        <v>0</v>
      </c>
      <c r="DP285" s="2">
        <v>0</v>
      </c>
      <c r="DQ285" s="2">
        <v>0</v>
      </c>
      <c r="DR285" s="2">
        <v>0</v>
      </c>
      <c r="DS285" s="2">
        <v>0</v>
      </c>
    </row>
    <row r="286" spans="1:123">
      <c r="A286" s="2" t="s">
        <v>9</v>
      </c>
      <c r="B286" s="2" t="s">
        <v>510</v>
      </c>
      <c r="C286" s="2">
        <v>56</v>
      </c>
      <c r="D286" s="2">
        <v>1</v>
      </c>
      <c r="E286" s="2">
        <v>0.93</v>
      </c>
      <c r="F286" s="2">
        <v>56</v>
      </c>
      <c r="G286" s="2" t="s">
        <v>23</v>
      </c>
      <c r="H286">
        <f>IF(AND(OR(لوحة_القيادة!$C$4="الكل", A286=لوحة_القيادة!$C$4), IF(لوحة_القيادة!$C$5="الكل", TRUE, INDEX($V286:$AG286, 1, VALUE(لوحة_القيادة!$C$5))&gt;0)), 1, 0)</f>
        <v>0</v>
      </c>
      <c r="I286">
        <f>IF(H286=1, SUM($H$2:H286), "")</f>
        <v>0</v>
      </c>
      <c r="J286" s="2">
        <v>56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1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1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1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2">
        <v>0</v>
      </c>
      <c r="CX286" s="2">
        <v>0</v>
      </c>
      <c r="CY286" s="2">
        <v>0</v>
      </c>
      <c r="CZ286" s="2">
        <v>0</v>
      </c>
      <c r="DA286" s="2">
        <v>0</v>
      </c>
      <c r="DB286" s="2">
        <v>0</v>
      </c>
      <c r="DC286" s="2">
        <v>0</v>
      </c>
      <c r="DD286" s="2">
        <v>0</v>
      </c>
      <c r="DE286" s="2">
        <v>0</v>
      </c>
      <c r="DF286" s="2">
        <v>0</v>
      </c>
      <c r="DG286" s="2">
        <v>0</v>
      </c>
      <c r="DH286" s="2">
        <v>0</v>
      </c>
      <c r="DI286" s="2">
        <v>0</v>
      </c>
      <c r="DJ286" s="2">
        <v>0</v>
      </c>
      <c r="DK286" s="2">
        <v>0</v>
      </c>
      <c r="DL286" s="2">
        <v>0</v>
      </c>
      <c r="DM286" s="2">
        <v>0</v>
      </c>
      <c r="DN286" s="2">
        <v>0</v>
      </c>
      <c r="DO286" s="2">
        <v>0</v>
      </c>
      <c r="DP286" s="2">
        <v>0</v>
      </c>
      <c r="DQ286" s="2">
        <v>0</v>
      </c>
      <c r="DR286" s="2">
        <v>0</v>
      </c>
      <c r="DS286" s="2">
        <v>0</v>
      </c>
    </row>
    <row r="287" spans="1:123">
      <c r="A287" s="2" t="s">
        <v>7</v>
      </c>
      <c r="B287" s="2" t="s">
        <v>511</v>
      </c>
      <c r="C287" s="2">
        <v>55</v>
      </c>
      <c r="D287" s="2">
        <v>8</v>
      </c>
      <c r="E287" s="2">
        <v>0.92</v>
      </c>
      <c r="F287" s="2">
        <v>6.88</v>
      </c>
      <c r="G287" s="2" t="s">
        <v>262</v>
      </c>
      <c r="H287">
        <f>IF(AND(OR(لوحة_القيادة!$C$4="الكل", A287=لوحة_القيادة!$C$4), IF(لوحة_القيادة!$C$5="الكل", TRUE, INDEX($V287:$AG287, 1, VALUE(لوحة_القيادة!$C$5))&gt;0)), 1, 0)</f>
        <v>0</v>
      </c>
      <c r="I287">
        <f>IF(H287=1, SUM($H$2:H287), "")</f>
        <v>0</v>
      </c>
      <c r="J287" s="2">
        <v>0</v>
      </c>
      <c r="K287" s="2">
        <v>14</v>
      </c>
      <c r="L287" s="2">
        <v>20</v>
      </c>
      <c r="M287" s="2">
        <v>6</v>
      </c>
      <c r="N287" s="2">
        <v>4</v>
      </c>
      <c r="O287" s="2">
        <v>11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2</v>
      </c>
      <c r="X287" s="2">
        <v>2</v>
      </c>
      <c r="Y287" s="2">
        <v>1</v>
      </c>
      <c r="Z287" s="2">
        <v>1</v>
      </c>
      <c r="AA287" s="2">
        <v>2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3</v>
      </c>
      <c r="AH287" s="2">
        <v>1</v>
      </c>
      <c r="AI287" s="2">
        <v>1</v>
      </c>
      <c r="AJ287" s="2">
        <v>3</v>
      </c>
      <c r="AK287" s="2">
        <v>0</v>
      </c>
      <c r="AL287" s="2">
        <v>0</v>
      </c>
      <c r="AM287" s="2">
        <v>0</v>
      </c>
      <c r="AN287" s="2">
        <v>0</v>
      </c>
      <c r="AO287" s="2">
        <v>1</v>
      </c>
      <c r="AP287" s="2">
        <v>1</v>
      </c>
      <c r="AQ287" s="2">
        <v>0</v>
      </c>
      <c r="AR287" s="2">
        <v>1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1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1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1</v>
      </c>
      <c r="BZ287" s="2">
        <v>0</v>
      </c>
      <c r="CA287" s="2">
        <v>0</v>
      </c>
      <c r="CB287" s="2">
        <v>0</v>
      </c>
      <c r="CC287" s="2">
        <v>2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 s="2">
        <v>0</v>
      </c>
      <c r="DC287" s="2">
        <v>0</v>
      </c>
      <c r="DD287" s="2">
        <v>0</v>
      </c>
      <c r="DE287" s="2">
        <v>0</v>
      </c>
      <c r="DF287" s="2">
        <v>0</v>
      </c>
      <c r="DG287" s="2">
        <v>0</v>
      </c>
      <c r="DH287" s="2">
        <v>0</v>
      </c>
      <c r="DI287" s="2">
        <v>0</v>
      </c>
      <c r="DJ287" s="2">
        <v>0</v>
      </c>
      <c r="DK287" s="2">
        <v>0</v>
      </c>
      <c r="DL287" s="2">
        <v>0</v>
      </c>
      <c r="DM287" s="2">
        <v>0</v>
      </c>
      <c r="DN287" s="2">
        <v>0</v>
      </c>
      <c r="DO287" s="2">
        <v>0</v>
      </c>
      <c r="DP287" s="2">
        <v>0</v>
      </c>
      <c r="DQ287" s="2">
        <v>0</v>
      </c>
      <c r="DR287" s="2">
        <v>0</v>
      </c>
      <c r="DS287" s="2">
        <v>0</v>
      </c>
    </row>
    <row r="288" spans="1:123">
      <c r="A288" s="2" t="s">
        <v>11</v>
      </c>
      <c r="B288" s="2" t="s">
        <v>512</v>
      </c>
      <c r="C288" s="2">
        <v>55</v>
      </c>
      <c r="D288" s="2">
        <v>7</v>
      </c>
      <c r="E288" s="2">
        <v>0.92</v>
      </c>
      <c r="F288" s="2">
        <v>7.86</v>
      </c>
      <c r="G288" s="2" t="s">
        <v>513</v>
      </c>
      <c r="H288">
        <f>IF(AND(OR(لوحة_القيادة!$C$4="الكل", A288=لوحة_القيادة!$C$4), IF(لوحة_القيادة!$C$5="الكل", TRUE, INDEX($V288:$AG288, 1, VALUE(لوحة_القيادة!$C$5))&gt;0)), 1, 0)</f>
        <v>0</v>
      </c>
      <c r="I288">
        <f>IF(H288=1, SUM($H$2:H288), "")</f>
        <v>0</v>
      </c>
      <c r="J288" s="2">
        <v>0</v>
      </c>
      <c r="K288" s="2">
        <v>6</v>
      </c>
      <c r="L288" s="2">
        <v>7</v>
      </c>
      <c r="M288" s="2">
        <v>23</v>
      </c>
      <c r="N288" s="2">
        <v>19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1</v>
      </c>
      <c r="X288" s="2">
        <v>2</v>
      </c>
      <c r="Y288" s="2">
        <v>2</v>
      </c>
      <c r="Z288" s="2">
        <v>2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1</v>
      </c>
      <c r="AH288" s="2">
        <v>2</v>
      </c>
      <c r="AI288" s="2">
        <v>1</v>
      </c>
      <c r="AJ288" s="2">
        <v>0</v>
      </c>
      <c r="AK288" s="2">
        <v>0</v>
      </c>
      <c r="AL288" s="2">
        <v>0</v>
      </c>
      <c r="AM288" s="2">
        <v>3</v>
      </c>
      <c r="AN288" s="2">
        <v>0</v>
      </c>
      <c r="AO288" s="2">
        <v>0</v>
      </c>
      <c r="AP288" s="2">
        <v>0</v>
      </c>
      <c r="AQ288" s="2">
        <v>0</v>
      </c>
      <c r="AR288" s="2">
        <v>1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1</v>
      </c>
      <c r="BC288" s="2">
        <v>1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1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0</v>
      </c>
      <c r="DB288" s="2">
        <v>0</v>
      </c>
      <c r="DC288" s="2">
        <v>0</v>
      </c>
      <c r="DD288" s="2">
        <v>0</v>
      </c>
      <c r="DE288" s="2">
        <v>0</v>
      </c>
      <c r="DF288" s="2">
        <v>0</v>
      </c>
      <c r="DG288" s="2">
        <v>0</v>
      </c>
      <c r="DH288" s="2">
        <v>0</v>
      </c>
      <c r="DI288" s="2">
        <v>1</v>
      </c>
      <c r="DJ288" s="2">
        <v>0</v>
      </c>
      <c r="DK288" s="2">
        <v>1</v>
      </c>
      <c r="DL288" s="2">
        <v>1</v>
      </c>
      <c r="DM288" s="2">
        <v>0</v>
      </c>
      <c r="DN288" s="2">
        <v>0</v>
      </c>
      <c r="DO288" s="2">
        <v>0</v>
      </c>
      <c r="DP288" s="2">
        <v>0</v>
      </c>
      <c r="DQ288" s="2">
        <v>0</v>
      </c>
      <c r="DR288" s="2">
        <v>0</v>
      </c>
      <c r="DS288" s="2">
        <v>0</v>
      </c>
    </row>
    <row r="289" spans="1:123">
      <c r="A289" s="2" t="s">
        <v>1</v>
      </c>
      <c r="B289" s="2" t="s">
        <v>514</v>
      </c>
      <c r="C289" s="2">
        <v>54</v>
      </c>
      <c r="D289" s="2">
        <v>12</v>
      </c>
      <c r="E289" s="2">
        <v>0.9</v>
      </c>
      <c r="F289" s="2">
        <v>4.5</v>
      </c>
      <c r="G289" s="2" t="s">
        <v>280</v>
      </c>
      <c r="H289">
        <f>IF(AND(OR(لوحة_القيادة!$C$4="الكل", A289=لوحة_القيادة!$C$4), IF(لوحة_القيادة!$C$5="الكل", TRUE, INDEX($V289:$AG289, 1, VALUE(لوحة_القيادة!$C$5))&gt;0)), 1, 0)</f>
        <v>0</v>
      </c>
      <c r="I289">
        <f>IF(H289=1, SUM($H$2:H289), "")</f>
        <v>0</v>
      </c>
      <c r="J289" s="2">
        <v>15</v>
      </c>
      <c r="K289" s="2">
        <v>4</v>
      </c>
      <c r="L289" s="2">
        <v>0</v>
      </c>
      <c r="M289" s="2">
        <v>5</v>
      </c>
      <c r="N289" s="2">
        <v>6</v>
      </c>
      <c r="O289" s="2">
        <v>14</v>
      </c>
      <c r="P289" s="2">
        <v>10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3</v>
      </c>
      <c r="W289" s="2">
        <v>1</v>
      </c>
      <c r="X289" s="2">
        <v>0</v>
      </c>
      <c r="Y289" s="2">
        <v>2</v>
      </c>
      <c r="Z289" s="2">
        <v>2</v>
      </c>
      <c r="AA289" s="2">
        <v>3</v>
      </c>
      <c r="AB289" s="2">
        <v>1</v>
      </c>
      <c r="AC289" s="2">
        <v>0</v>
      </c>
      <c r="AD289" s="2">
        <v>0</v>
      </c>
      <c r="AE289" s="2">
        <v>0</v>
      </c>
      <c r="AF289" s="2">
        <v>0</v>
      </c>
      <c r="AG289" s="2">
        <v>5</v>
      </c>
      <c r="AH289" s="2">
        <v>3</v>
      </c>
      <c r="AI289" s="2">
        <v>0</v>
      </c>
      <c r="AJ289" s="2">
        <v>0</v>
      </c>
      <c r="AK289" s="2">
        <v>0</v>
      </c>
      <c r="AL289" s="2">
        <v>0</v>
      </c>
      <c r="AM289" s="2">
        <v>4</v>
      </c>
      <c r="AN289" s="2">
        <v>2</v>
      </c>
      <c r="AO289" s="2">
        <v>1</v>
      </c>
      <c r="AP289" s="2">
        <v>0</v>
      </c>
      <c r="AQ289" s="2">
        <v>1</v>
      </c>
      <c r="AR289" s="2">
        <v>1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2</v>
      </c>
      <c r="BF289" s="2">
        <v>1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 s="2">
        <v>0</v>
      </c>
      <c r="DC289" s="2">
        <v>0</v>
      </c>
      <c r="DD289" s="2">
        <v>0</v>
      </c>
      <c r="DE289" s="2">
        <v>0</v>
      </c>
      <c r="DF289" s="2">
        <v>0</v>
      </c>
      <c r="DG289" s="2">
        <v>0</v>
      </c>
      <c r="DH289" s="2">
        <v>1</v>
      </c>
      <c r="DI289" s="2">
        <v>0</v>
      </c>
      <c r="DJ289" s="2">
        <v>0</v>
      </c>
      <c r="DK289" s="2">
        <v>1</v>
      </c>
      <c r="DL289" s="2">
        <v>1</v>
      </c>
      <c r="DM289" s="2">
        <v>1</v>
      </c>
      <c r="DN289" s="2">
        <v>0</v>
      </c>
      <c r="DO289" s="2">
        <v>0</v>
      </c>
      <c r="DP289" s="2">
        <v>0</v>
      </c>
      <c r="DQ289" s="2">
        <v>0</v>
      </c>
      <c r="DR289" s="2">
        <v>0</v>
      </c>
      <c r="DS289" s="2">
        <v>0</v>
      </c>
    </row>
    <row r="290" spans="1:123">
      <c r="A290" s="2" t="s">
        <v>9</v>
      </c>
      <c r="B290" s="2" t="s">
        <v>515</v>
      </c>
      <c r="C290" s="2">
        <v>54</v>
      </c>
      <c r="D290" s="2">
        <v>14</v>
      </c>
      <c r="E290" s="2">
        <v>0.9</v>
      </c>
      <c r="F290" s="2">
        <v>3.86</v>
      </c>
      <c r="G290" s="2" t="s">
        <v>160</v>
      </c>
      <c r="H290">
        <f>IF(AND(OR(لوحة_القيادة!$C$4="الكل", A290=لوحة_القيادة!$C$4), IF(لوحة_القيادة!$C$5="الكل", TRUE, INDEX($V290:$AG290, 1, VALUE(لوحة_القيادة!$C$5))&gt;0)), 1, 0)</f>
        <v>0</v>
      </c>
      <c r="I290">
        <f>IF(H290=1, SUM($H$2:H290), "")</f>
        <v>0</v>
      </c>
      <c r="J290" s="2">
        <v>2</v>
      </c>
      <c r="K290" s="2">
        <v>14</v>
      </c>
      <c r="L290" s="2">
        <v>15</v>
      </c>
      <c r="M290" s="2">
        <v>6</v>
      </c>
      <c r="N290" s="2">
        <v>3</v>
      </c>
      <c r="O290" s="2">
        <v>13</v>
      </c>
      <c r="P290" s="2">
        <v>1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2</v>
      </c>
      <c r="W290" s="2">
        <v>2</v>
      </c>
      <c r="X290" s="2">
        <v>3</v>
      </c>
      <c r="Y290" s="2">
        <v>2</v>
      </c>
      <c r="Z290" s="2">
        <v>1</v>
      </c>
      <c r="AA290" s="2">
        <v>3</v>
      </c>
      <c r="AB290" s="2">
        <v>1</v>
      </c>
      <c r="AC290" s="2">
        <v>0</v>
      </c>
      <c r="AD290" s="2">
        <v>0</v>
      </c>
      <c r="AE290" s="2">
        <v>0</v>
      </c>
      <c r="AF290" s="2">
        <v>0</v>
      </c>
      <c r="AG290" s="2">
        <v>2</v>
      </c>
      <c r="AH290" s="2">
        <v>5</v>
      </c>
      <c r="AI290" s="2">
        <v>0</v>
      </c>
      <c r="AJ290" s="2">
        <v>2</v>
      </c>
      <c r="AK290" s="2">
        <v>0</v>
      </c>
      <c r="AL290" s="2">
        <v>0</v>
      </c>
      <c r="AM290" s="2">
        <v>5</v>
      </c>
      <c r="AN290" s="2">
        <v>1</v>
      </c>
      <c r="AO290" s="2">
        <v>1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1</v>
      </c>
      <c r="BA290" s="2">
        <v>0</v>
      </c>
      <c r="BB290" s="2">
        <v>1</v>
      </c>
      <c r="BC290" s="2">
        <v>0</v>
      </c>
      <c r="BD290" s="2">
        <v>0</v>
      </c>
      <c r="BE290" s="2">
        <v>2</v>
      </c>
      <c r="BF290" s="2">
        <v>1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1</v>
      </c>
      <c r="CB290" s="2">
        <v>0</v>
      </c>
      <c r="CC290" s="2">
        <v>1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0</v>
      </c>
      <c r="DE290" s="2">
        <v>0</v>
      </c>
      <c r="DF290" s="2">
        <v>0</v>
      </c>
      <c r="DG290" s="2">
        <v>0</v>
      </c>
      <c r="DH290" s="2">
        <v>0</v>
      </c>
      <c r="DI290" s="2">
        <v>1</v>
      </c>
      <c r="DJ290" s="2">
        <v>2</v>
      </c>
      <c r="DK290" s="2">
        <v>1</v>
      </c>
      <c r="DL290" s="2">
        <v>1</v>
      </c>
      <c r="DM290" s="2">
        <v>0</v>
      </c>
      <c r="DN290" s="2">
        <v>0</v>
      </c>
      <c r="DO290" s="2">
        <v>0</v>
      </c>
      <c r="DP290" s="2">
        <v>0</v>
      </c>
      <c r="DQ290" s="2">
        <v>0</v>
      </c>
      <c r="DR290" s="2">
        <v>0</v>
      </c>
      <c r="DS290" s="2">
        <v>0</v>
      </c>
    </row>
    <row r="291" spans="1:123">
      <c r="A291" s="2" t="s">
        <v>11</v>
      </c>
      <c r="B291" s="2" t="s">
        <v>516</v>
      </c>
      <c r="C291" s="2">
        <v>53</v>
      </c>
      <c r="D291" s="2">
        <v>1</v>
      </c>
      <c r="E291" s="2">
        <v>0.88</v>
      </c>
      <c r="F291" s="2">
        <v>53</v>
      </c>
      <c r="G291" s="2" t="s">
        <v>27</v>
      </c>
      <c r="H291">
        <f>IF(AND(OR(لوحة_القيادة!$C$4="الكل", A291=لوحة_القيادة!$C$4), IF(لوحة_القيادة!$C$5="الكل", TRUE, INDEX($V291:$AG291, 1, VALUE(لوحة_القيادة!$C$5))&gt;0)), 1, 0)</f>
        <v>0</v>
      </c>
      <c r="I291">
        <f>IF(H291=1, SUM($H$2:H291), "")</f>
        <v>0</v>
      </c>
      <c r="J291" s="2">
        <v>0</v>
      </c>
      <c r="K291" s="2">
        <v>0</v>
      </c>
      <c r="L291" s="2">
        <v>0</v>
      </c>
      <c r="M291" s="2">
        <v>0</v>
      </c>
      <c r="N291" s="2">
        <v>53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1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1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  <c r="DE291" s="2">
        <v>0</v>
      </c>
      <c r="DF291" s="2">
        <v>0</v>
      </c>
      <c r="DG291" s="2">
        <v>0</v>
      </c>
      <c r="DH291" s="2">
        <v>0</v>
      </c>
      <c r="DI291" s="2">
        <v>0</v>
      </c>
      <c r="DJ291" s="2">
        <v>0</v>
      </c>
      <c r="DK291" s="2">
        <v>0</v>
      </c>
      <c r="DL291" s="2">
        <v>1</v>
      </c>
      <c r="DM291" s="2">
        <v>0</v>
      </c>
      <c r="DN291" s="2">
        <v>0</v>
      </c>
      <c r="DO291" s="2">
        <v>0</v>
      </c>
      <c r="DP291" s="2">
        <v>0</v>
      </c>
      <c r="DQ291" s="2">
        <v>0</v>
      </c>
      <c r="DR291" s="2">
        <v>0</v>
      </c>
      <c r="DS291" s="2">
        <v>0</v>
      </c>
    </row>
    <row r="292" spans="1:123">
      <c r="A292" s="2" t="s">
        <v>17</v>
      </c>
      <c r="B292" s="2" t="s">
        <v>517</v>
      </c>
      <c r="C292" s="2">
        <v>52</v>
      </c>
      <c r="D292" s="2">
        <v>4</v>
      </c>
      <c r="E292" s="2">
        <v>0.87</v>
      </c>
      <c r="F292" s="2">
        <v>13</v>
      </c>
      <c r="G292" s="2" t="s">
        <v>518</v>
      </c>
      <c r="H292">
        <f>IF(AND(OR(لوحة_القيادة!$C$4="الكل", A292=لوحة_القيادة!$C$4), IF(لوحة_القيادة!$C$5="الكل", TRUE, INDEX($V292:$AG292, 1, VALUE(لوحة_القيادة!$C$5))&gt;0)), 1, 0)</f>
        <v>0</v>
      </c>
      <c r="I292">
        <f>IF(H292=1, SUM($H$2:H292), "")</f>
        <v>0</v>
      </c>
      <c r="J292" s="2">
        <v>0</v>
      </c>
      <c r="K292" s="2">
        <v>13</v>
      </c>
      <c r="L292" s="2">
        <v>0</v>
      </c>
      <c r="M292" s="2">
        <v>0</v>
      </c>
      <c r="N292" s="2">
        <v>0</v>
      </c>
      <c r="O292" s="2">
        <v>10</v>
      </c>
      <c r="P292" s="2">
        <v>29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1</v>
      </c>
      <c r="X292" s="2">
        <v>0</v>
      </c>
      <c r="Y292" s="2">
        <v>0</v>
      </c>
      <c r="Z292" s="2">
        <v>0</v>
      </c>
      <c r="AA292" s="2">
        <v>1</v>
      </c>
      <c r="AB292" s="2">
        <v>2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2</v>
      </c>
      <c r="AK292" s="2">
        <v>0</v>
      </c>
      <c r="AL292" s="2">
        <v>0</v>
      </c>
      <c r="AM292" s="2">
        <v>2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1</v>
      </c>
      <c r="CD292" s="2">
        <v>1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0</v>
      </c>
      <c r="DE292" s="2">
        <v>0</v>
      </c>
      <c r="DF292" s="2">
        <v>0</v>
      </c>
      <c r="DG292" s="2">
        <v>0</v>
      </c>
      <c r="DH292" s="2">
        <v>0</v>
      </c>
      <c r="DI292" s="2">
        <v>1</v>
      </c>
      <c r="DJ292" s="2">
        <v>0</v>
      </c>
      <c r="DK292" s="2">
        <v>0</v>
      </c>
      <c r="DL292" s="2">
        <v>0</v>
      </c>
      <c r="DM292" s="2">
        <v>0</v>
      </c>
      <c r="DN292" s="2">
        <v>1</v>
      </c>
      <c r="DO292" s="2">
        <v>0</v>
      </c>
      <c r="DP292" s="2">
        <v>0</v>
      </c>
      <c r="DQ292" s="2">
        <v>0</v>
      </c>
      <c r="DR292" s="2">
        <v>0</v>
      </c>
      <c r="DS292" s="2">
        <v>0</v>
      </c>
    </row>
    <row r="293" spans="1:123">
      <c r="A293" s="2" t="s">
        <v>18</v>
      </c>
      <c r="B293" s="2" t="s">
        <v>519</v>
      </c>
      <c r="C293" s="2">
        <v>51</v>
      </c>
      <c r="D293" s="2">
        <v>6</v>
      </c>
      <c r="E293" s="2">
        <v>0.85</v>
      </c>
      <c r="F293" s="2">
        <v>8.5</v>
      </c>
      <c r="G293" s="2" t="s">
        <v>520</v>
      </c>
      <c r="H293">
        <f>IF(AND(OR(لوحة_القيادة!$C$4="الكل", A293=لوحة_القيادة!$C$4), IF(لوحة_القيادة!$C$5="الكل", TRUE, INDEX($V293:$AG293, 1, VALUE(لوحة_القيادة!$C$5))&gt;0)), 1, 0)</f>
        <v>0</v>
      </c>
      <c r="I293">
        <f>IF(H293=1, SUM($H$2:H293), "")</f>
        <v>0</v>
      </c>
      <c r="J293" s="2">
        <v>1</v>
      </c>
      <c r="K293" s="2">
        <v>6</v>
      </c>
      <c r="L293" s="2">
        <v>0</v>
      </c>
      <c r="M293" s="2">
        <v>17</v>
      </c>
      <c r="N293" s="2">
        <v>0</v>
      </c>
      <c r="O293" s="2">
        <v>27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1</v>
      </c>
      <c r="W293" s="2">
        <v>1</v>
      </c>
      <c r="X293" s="2">
        <v>0</v>
      </c>
      <c r="Y293" s="2">
        <v>3</v>
      </c>
      <c r="Z293" s="2">
        <v>0</v>
      </c>
      <c r="AA293" s="2">
        <v>1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2</v>
      </c>
      <c r="AH293" s="2">
        <v>1</v>
      </c>
      <c r="AI293" s="2">
        <v>1</v>
      </c>
      <c r="AJ293" s="2">
        <v>0</v>
      </c>
      <c r="AK293" s="2">
        <v>0</v>
      </c>
      <c r="AL293" s="2">
        <v>0</v>
      </c>
      <c r="AM293" s="2">
        <v>2</v>
      </c>
      <c r="AN293" s="2">
        <v>0</v>
      </c>
      <c r="AO293" s="2">
        <v>1</v>
      </c>
      <c r="AP293" s="2">
        <v>0</v>
      </c>
      <c r="AQ293" s="2">
        <v>1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1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1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0</v>
      </c>
      <c r="DE293" s="2">
        <v>0</v>
      </c>
      <c r="DF293" s="2">
        <v>0</v>
      </c>
      <c r="DG293" s="2">
        <v>0</v>
      </c>
      <c r="DH293" s="2">
        <v>1</v>
      </c>
      <c r="DI293" s="2">
        <v>0</v>
      </c>
      <c r="DJ293" s="2">
        <v>0</v>
      </c>
      <c r="DK293" s="2">
        <v>0</v>
      </c>
      <c r="DL293" s="2">
        <v>0</v>
      </c>
      <c r="DM293" s="2">
        <v>1</v>
      </c>
      <c r="DN293" s="2">
        <v>0</v>
      </c>
      <c r="DO293" s="2">
        <v>0</v>
      </c>
      <c r="DP293" s="2">
        <v>0</v>
      </c>
      <c r="DQ293" s="2">
        <v>0</v>
      </c>
      <c r="DR293" s="2">
        <v>0</v>
      </c>
      <c r="DS293" s="2">
        <v>0</v>
      </c>
    </row>
    <row r="294" spans="1:123">
      <c r="A294" s="2" t="s">
        <v>9</v>
      </c>
      <c r="B294" s="2" t="s">
        <v>521</v>
      </c>
      <c r="C294" s="2">
        <v>50</v>
      </c>
      <c r="D294" s="2">
        <v>15</v>
      </c>
      <c r="E294" s="2">
        <v>0.83</v>
      </c>
      <c r="F294" s="2">
        <v>3.33</v>
      </c>
      <c r="G294" s="2" t="s">
        <v>160</v>
      </c>
      <c r="H294">
        <f>IF(AND(OR(لوحة_القيادة!$C$4="الكل", A294=لوحة_القيادة!$C$4), IF(لوحة_القيادة!$C$5="الكل", TRUE, INDEX($V294:$AG294, 1, VALUE(لوحة_القيادة!$C$5))&gt;0)), 1, 0)</f>
        <v>0</v>
      </c>
      <c r="I294">
        <f>IF(H294=1, SUM($H$2:H294), "")</f>
        <v>0</v>
      </c>
      <c r="J294" s="2">
        <v>7</v>
      </c>
      <c r="K294" s="2">
        <v>17</v>
      </c>
      <c r="L294" s="2">
        <v>5</v>
      </c>
      <c r="M294" s="2">
        <v>1</v>
      </c>
      <c r="N294" s="2">
        <v>1</v>
      </c>
      <c r="O294" s="2">
        <v>11</v>
      </c>
      <c r="P294" s="2">
        <v>8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2</v>
      </c>
      <c r="W294" s="2">
        <v>5</v>
      </c>
      <c r="X294" s="2">
        <v>1</v>
      </c>
      <c r="Y294" s="2">
        <v>1</v>
      </c>
      <c r="Z294" s="2">
        <v>1</v>
      </c>
      <c r="AA294" s="2">
        <v>3</v>
      </c>
      <c r="AB294" s="2">
        <v>2</v>
      </c>
      <c r="AC294" s="2">
        <v>0</v>
      </c>
      <c r="AD294" s="2">
        <v>0</v>
      </c>
      <c r="AE294" s="2">
        <v>0</v>
      </c>
      <c r="AF294" s="2">
        <v>0</v>
      </c>
      <c r="AG294" s="2">
        <v>4</v>
      </c>
      <c r="AH294" s="2">
        <v>5</v>
      </c>
      <c r="AI294" s="2">
        <v>3</v>
      </c>
      <c r="AJ294" s="2">
        <v>2</v>
      </c>
      <c r="AK294" s="2">
        <v>0</v>
      </c>
      <c r="AL294" s="2">
        <v>0</v>
      </c>
      <c r="AM294" s="2">
        <v>1</v>
      </c>
      <c r="AN294" s="2">
        <v>0</v>
      </c>
      <c r="AO294" s="2">
        <v>2</v>
      </c>
      <c r="AP294" s="2">
        <v>0</v>
      </c>
      <c r="AQ294" s="2">
        <v>0</v>
      </c>
      <c r="AR294" s="2">
        <v>0</v>
      </c>
      <c r="AS294" s="2">
        <v>2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2</v>
      </c>
      <c r="BB294" s="2">
        <v>0</v>
      </c>
      <c r="BC294" s="2">
        <v>0</v>
      </c>
      <c r="BD294" s="2">
        <v>1</v>
      </c>
      <c r="BE294" s="2">
        <v>1</v>
      </c>
      <c r="BF294" s="2">
        <v>1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1</v>
      </c>
      <c r="BM294" s="2">
        <v>1</v>
      </c>
      <c r="BN294" s="2">
        <v>0</v>
      </c>
      <c r="BO294" s="2">
        <v>1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1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1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0</v>
      </c>
      <c r="DE294" s="2">
        <v>0</v>
      </c>
      <c r="DF294" s="2">
        <v>0</v>
      </c>
      <c r="DG294" s="2">
        <v>0</v>
      </c>
      <c r="DH294" s="2">
        <v>0</v>
      </c>
      <c r="DI294" s="2">
        <v>0</v>
      </c>
      <c r="DJ294" s="2">
        <v>1</v>
      </c>
      <c r="DK294" s="2">
        <v>0</v>
      </c>
      <c r="DL294" s="2">
        <v>0</v>
      </c>
      <c r="DM294" s="2">
        <v>0</v>
      </c>
      <c r="DN294" s="2">
        <v>0</v>
      </c>
      <c r="DO294" s="2">
        <v>0</v>
      </c>
      <c r="DP294" s="2">
        <v>0</v>
      </c>
      <c r="DQ294" s="2">
        <v>0</v>
      </c>
      <c r="DR294" s="2">
        <v>0</v>
      </c>
      <c r="DS294" s="2">
        <v>0</v>
      </c>
    </row>
    <row r="295" spans="1:123">
      <c r="A295" s="2" t="s">
        <v>10</v>
      </c>
      <c r="B295" s="2" t="s">
        <v>522</v>
      </c>
      <c r="C295" s="2">
        <v>49</v>
      </c>
      <c r="D295" s="2">
        <v>1</v>
      </c>
      <c r="E295" s="2">
        <v>0.82</v>
      </c>
      <c r="F295" s="2">
        <v>49</v>
      </c>
      <c r="G295" s="2" t="s">
        <v>24</v>
      </c>
      <c r="H295">
        <f>IF(AND(OR(لوحة_القيادة!$C$4="الكل", A295=لوحة_القيادة!$C$4), IF(لوحة_القيادة!$C$5="الكل", TRUE, INDEX($V295:$AG295, 1, VALUE(لوحة_القيادة!$C$5))&gt;0)), 1, 0)</f>
        <v>0</v>
      </c>
      <c r="I295">
        <f>IF(H295=1, SUM($H$2:H295), "")</f>
        <v>0</v>
      </c>
      <c r="J295" s="2">
        <v>0</v>
      </c>
      <c r="K295" s="2">
        <v>49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1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1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1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  <c r="DE295" s="2">
        <v>0</v>
      </c>
      <c r="DF295" s="2">
        <v>0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0</v>
      </c>
      <c r="DN295" s="2">
        <v>0</v>
      </c>
      <c r="DO295" s="2">
        <v>0</v>
      </c>
      <c r="DP295" s="2">
        <v>0</v>
      </c>
      <c r="DQ295" s="2">
        <v>0</v>
      </c>
      <c r="DR295" s="2">
        <v>0</v>
      </c>
      <c r="DS295" s="2">
        <v>0</v>
      </c>
    </row>
    <row r="296" spans="1:123">
      <c r="A296" s="2" t="s">
        <v>8</v>
      </c>
      <c r="B296" s="2" t="s">
        <v>523</v>
      </c>
      <c r="C296" s="2">
        <v>48</v>
      </c>
      <c r="D296" s="2">
        <v>16</v>
      </c>
      <c r="E296" s="2">
        <v>0.8</v>
      </c>
      <c r="F296" s="2">
        <v>3</v>
      </c>
      <c r="G296" s="2" t="s">
        <v>160</v>
      </c>
      <c r="H296">
        <f>IF(AND(OR(لوحة_القيادة!$C$4="الكل", A296=لوحة_القيادة!$C$4), IF(لوحة_القيادة!$C$5="الكل", TRUE, INDEX($V296:$AG296, 1, VALUE(لوحة_القيادة!$C$5))&gt;0)), 1, 0)</f>
        <v>0</v>
      </c>
      <c r="I296">
        <f>IF(H296=1, SUM($H$2:H296), "")</f>
        <v>0</v>
      </c>
      <c r="J296" s="2">
        <v>9</v>
      </c>
      <c r="K296" s="2">
        <v>9</v>
      </c>
      <c r="L296" s="2">
        <v>4</v>
      </c>
      <c r="M296" s="2">
        <v>8</v>
      </c>
      <c r="N296" s="2">
        <v>7</v>
      </c>
      <c r="O296" s="2">
        <v>6</v>
      </c>
      <c r="P296" s="2">
        <v>5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3</v>
      </c>
      <c r="W296" s="2">
        <v>2</v>
      </c>
      <c r="X296" s="2">
        <v>3</v>
      </c>
      <c r="Y296" s="2">
        <v>2</v>
      </c>
      <c r="Z296" s="2">
        <v>2</v>
      </c>
      <c r="AA296" s="2">
        <v>3</v>
      </c>
      <c r="AB296" s="2">
        <v>1</v>
      </c>
      <c r="AC296" s="2">
        <v>0</v>
      </c>
      <c r="AD296" s="2">
        <v>0</v>
      </c>
      <c r="AE296" s="2">
        <v>0</v>
      </c>
      <c r="AF296" s="2">
        <v>0</v>
      </c>
      <c r="AG296" s="2">
        <v>1</v>
      </c>
      <c r="AH296" s="2">
        <v>4</v>
      </c>
      <c r="AI296" s="2">
        <v>3</v>
      </c>
      <c r="AJ296" s="2">
        <v>3</v>
      </c>
      <c r="AK296" s="2">
        <v>0</v>
      </c>
      <c r="AL296" s="2">
        <v>0</v>
      </c>
      <c r="AM296" s="2">
        <v>5</v>
      </c>
      <c r="AN296" s="2">
        <v>0</v>
      </c>
      <c r="AO296" s="2">
        <v>0</v>
      </c>
      <c r="AP296" s="2">
        <v>0</v>
      </c>
      <c r="AQ296" s="2">
        <v>0</v>
      </c>
      <c r="AR296" s="2">
        <v>1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2</v>
      </c>
      <c r="BA296" s="2">
        <v>0</v>
      </c>
      <c r="BB296" s="2">
        <v>0</v>
      </c>
      <c r="BC296" s="2">
        <v>1</v>
      </c>
      <c r="BD296" s="2">
        <v>1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1</v>
      </c>
      <c r="BN296" s="2">
        <v>2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1</v>
      </c>
      <c r="BZ296" s="2">
        <v>1</v>
      </c>
      <c r="CA296" s="2">
        <v>0</v>
      </c>
      <c r="CB296" s="2">
        <v>0</v>
      </c>
      <c r="CC296" s="2">
        <v>1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  <c r="DE296" s="2">
        <v>0</v>
      </c>
      <c r="DF296" s="2">
        <v>0</v>
      </c>
      <c r="DG296" s="2">
        <v>0</v>
      </c>
      <c r="DH296" s="2">
        <v>1</v>
      </c>
      <c r="DI296" s="2">
        <v>0</v>
      </c>
      <c r="DJ296" s="2">
        <v>0</v>
      </c>
      <c r="DK296" s="2">
        <v>1</v>
      </c>
      <c r="DL296" s="2">
        <v>0</v>
      </c>
      <c r="DM296" s="2">
        <v>2</v>
      </c>
      <c r="DN296" s="2">
        <v>1</v>
      </c>
      <c r="DO296" s="2">
        <v>0</v>
      </c>
      <c r="DP296" s="2">
        <v>0</v>
      </c>
      <c r="DQ296" s="2">
        <v>0</v>
      </c>
      <c r="DR296" s="2">
        <v>0</v>
      </c>
      <c r="DS296" s="2">
        <v>0</v>
      </c>
    </row>
    <row r="297" spans="1:123">
      <c r="A297" s="2" t="s">
        <v>16</v>
      </c>
      <c r="B297" s="2" t="s">
        <v>524</v>
      </c>
      <c r="C297" s="2">
        <v>48</v>
      </c>
      <c r="D297" s="2">
        <v>4</v>
      </c>
      <c r="E297" s="2">
        <v>0.8</v>
      </c>
      <c r="F297" s="2">
        <v>12</v>
      </c>
      <c r="G297" s="2" t="s">
        <v>333</v>
      </c>
      <c r="H297">
        <f>IF(AND(OR(لوحة_القيادة!$C$4="الكل", A297=لوحة_القيادة!$C$4), IF(لوحة_القيادة!$C$5="الكل", TRUE, INDEX($V297:$AG297, 1, VALUE(لوحة_القيادة!$C$5))&gt;0)), 1, 0)</f>
        <v>0</v>
      </c>
      <c r="I297">
        <f>IF(H297=1, SUM($H$2:H297), "")</f>
        <v>0</v>
      </c>
      <c r="J297" s="2">
        <v>0</v>
      </c>
      <c r="K297" s="2">
        <v>5</v>
      </c>
      <c r="L297" s="2">
        <v>33</v>
      </c>
      <c r="M297" s="2">
        <v>10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2</v>
      </c>
      <c r="X297" s="2">
        <v>1</v>
      </c>
      <c r="Y297" s="2">
        <v>1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2</v>
      </c>
      <c r="AJ297" s="2">
        <v>2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1</v>
      </c>
      <c r="BN297" s="2">
        <v>0</v>
      </c>
      <c r="BO297" s="2">
        <v>1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1</v>
      </c>
      <c r="BZ297" s="2">
        <v>1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  <c r="DE297" s="2">
        <v>0</v>
      </c>
      <c r="DF297" s="2">
        <v>0</v>
      </c>
      <c r="DG297" s="2">
        <v>0</v>
      </c>
      <c r="DH297" s="2">
        <v>0</v>
      </c>
      <c r="DI297" s="2">
        <v>0</v>
      </c>
      <c r="DJ297" s="2">
        <v>0</v>
      </c>
      <c r="DK297" s="2">
        <v>0</v>
      </c>
      <c r="DL297" s="2">
        <v>0</v>
      </c>
      <c r="DM297" s="2">
        <v>0</v>
      </c>
      <c r="DN297" s="2">
        <v>0</v>
      </c>
      <c r="DO297" s="2">
        <v>0</v>
      </c>
      <c r="DP297" s="2">
        <v>0</v>
      </c>
      <c r="DQ297" s="2">
        <v>0</v>
      </c>
      <c r="DR297" s="2">
        <v>0</v>
      </c>
      <c r="DS297" s="2">
        <v>0</v>
      </c>
    </row>
    <row r="298" spans="1:123">
      <c r="A298" s="2" t="s">
        <v>5</v>
      </c>
      <c r="B298" s="2" t="s">
        <v>525</v>
      </c>
      <c r="C298" s="2">
        <v>47</v>
      </c>
      <c r="D298" s="2">
        <v>3</v>
      </c>
      <c r="E298" s="2">
        <v>0.78</v>
      </c>
      <c r="F298" s="2">
        <v>15.67</v>
      </c>
      <c r="G298" s="2" t="s">
        <v>465</v>
      </c>
      <c r="H298">
        <f>IF(AND(OR(لوحة_القيادة!$C$4="الكل", A298=لوحة_القيادة!$C$4), IF(لوحة_القيادة!$C$5="الكل", TRUE, INDEX($V298:$AG298, 1, VALUE(لوحة_القيادة!$C$5))&gt;0)), 1, 0)</f>
        <v>0</v>
      </c>
      <c r="I298">
        <f>IF(H298=1, SUM($H$2:H298), "")</f>
        <v>0</v>
      </c>
      <c r="J298" s="2">
        <v>0</v>
      </c>
      <c r="K298" s="2">
        <v>2</v>
      </c>
      <c r="L298" s="2">
        <v>45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1</v>
      </c>
      <c r="X298" s="2">
        <v>2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1</v>
      </c>
      <c r="AH298" s="2">
        <v>0</v>
      </c>
      <c r="AI298" s="2">
        <v>2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1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1</v>
      </c>
      <c r="BN298" s="2">
        <v>1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  <c r="DE298" s="2">
        <v>0</v>
      </c>
      <c r="DF298" s="2">
        <v>0</v>
      </c>
      <c r="DG298" s="2">
        <v>0</v>
      </c>
      <c r="DH298" s="2">
        <v>0</v>
      </c>
      <c r="DI298" s="2">
        <v>0</v>
      </c>
      <c r="DJ298" s="2">
        <v>0</v>
      </c>
      <c r="DK298" s="2">
        <v>0</v>
      </c>
      <c r="DL298" s="2">
        <v>0</v>
      </c>
      <c r="DM298" s="2">
        <v>0</v>
      </c>
      <c r="DN298" s="2">
        <v>0</v>
      </c>
      <c r="DO298" s="2">
        <v>0</v>
      </c>
      <c r="DP298" s="2">
        <v>0</v>
      </c>
      <c r="DQ298" s="2">
        <v>0</v>
      </c>
      <c r="DR298" s="2">
        <v>0</v>
      </c>
      <c r="DS298" s="2">
        <v>0</v>
      </c>
    </row>
    <row r="299" spans="1:123">
      <c r="A299" s="2" t="s">
        <v>8</v>
      </c>
      <c r="B299" s="2" t="s">
        <v>526</v>
      </c>
      <c r="C299" s="2">
        <v>47</v>
      </c>
      <c r="D299" s="2">
        <v>13</v>
      </c>
      <c r="E299" s="2">
        <v>0.78</v>
      </c>
      <c r="F299" s="2">
        <v>3.62</v>
      </c>
      <c r="G299" s="2" t="s">
        <v>176</v>
      </c>
      <c r="H299">
        <f>IF(AND(OR(لوحة_القيادة!$C$4="الكل", A299=لوحة_القيادة!$C$4), IF(لوحة_القيادة!$C$5="الكل", TRUE, INDEX($V299:$AG299, 1, VALUE(لوحة_القيادة!$C$5))&gt;0)), 1, 0)</f>
        <v>0</v>
      </c>
      <c r="I299">
        <f>IF(H299=1, SUM($H$2:H299), "")</f>
        <v>0</v>
      </c>
      <c r="J299" s="2">
        <v>3</v>
      </c>
      <c r="K299" s="2">
        <v>3</v>
      </c>
      <c r="L299" s="2">
        <v>0</v>
      </c>
      <c r="M299" s="2">
        <v>13</v>
      </c>
      <c r="N299" s="2">
        <v>16</v>
      </c>
      <c r="O299" s="2">
        <v>12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2</v>
      </c>
      <c r="W299" s="2">
        <v>2</v>
      </c>
      <c r="X299" s="2">
        <v>0</v>
      </c>
      <c r="Y299" s="2">
        <v>3</v>
      </c>
      <c r="Z299" s="2">
        <v>4</v>
      </c>
      <c r="AA299" s="2">
        <v>2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2</v>
      </c>
      <c r="AH299" s="2">
        <v>4</v>
      </c>
      <c r="AI299" s="2">
        <v>3</v>
      </c>
      <c r="AJ299" s="2">
        <v>3</v>
      </c>
      <c r="AK299" s="2">
        <v>0</v>
      </c>
      <c r="AL299" s="2">
        <v>0</v>
      </c>
      <c r="AM299" s="2">
        <v>1</v>
      </c>
      <c r="AN299" s="2">
        <v>0</v>
      </c>
      <c r="AO299" s="2">
        <v>1</v>
      </c>
      <c r="AP299" s="2">
        <v>0</v>
      </c>
      <c r="AQ299" s="2">
        <v>0</v>
      </c>
      <c r="AR299" s="2">
        <v>1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2</v>
      </c>
      <c r="BD299" s="2">
        <v>2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1</v>
      </c>
      <c r="BM299" s="2">
        <v>1</v>
      </c>
      <c r="BN299" s="2">
        <v>0</v>
      </c>
      <c r="BO299" s="2">
        <v>0</v>
      </c>
      <c r="BP299" s="2">
        <v>0</v>
      </c>
      <c r="BQ299" s="2">
        <v>1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1</v>
      </c>
      <c r="BY299" s="2">
        <v>0</v>
      </c>
      <c r="BZ299" s="2">
        <v>0</v>
      </c>
      <c r="CA299" s="2">
        <v>1</v>
      </c>
      <c r="CB299" s="2">
        <v>1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>
        <v>0</v>
      </c>
      <c r="DC299" s="2">
        <v>0</v>
      </c>
      <c r="DD299" s="2">
        <v>0</v>
      </c>
      <c r="DE299" s="2">
        <v>0</v>
      </c>
      <c r="DF299" s="2">
        <v>0</v>
      </c>
      <c r="DG299" s="2">
        <v>0</v>
      </c>
      <c r="DH299" s="2">
        <v>0</v>
      </c>
      <c r="DI299" s="2">
        <v>0</v>
      </c>
      <c r="DJ299" s="2">
        <v>0</v>
      </c>
      <c r="DK299" s="2">
        <v>0</v>
      </c>
      <c r="DL299" s="2">
        <v>0</v>
      </c>
      <c r="DM299" s="2">
        <v>1</v>
      </c>
      <c r="DN299" s="2">
        <v>0</v>
      </c>
      <c r="DO299" s="2">
        <v>0</v>
      </c>
      <c r="DP299" s="2">
        <v>0</v>
      </c>
      <c r="DQ299" s="2">
        <v>0</v>
      </c>
      <c r="DR299" s="2">
        <v>0</v>
      </c>
      <c r="DS299" s="2">
        <v>0</v>
      </c>
    </row>
    <row r="300" spans="1:123">
      <c r="A300" s="2" t="s">
        <v>16</v>
      </c>
      <c r="B300" s="2" t="s">
        <v>527</v>
      </c>
      <c r="C300" s="2">
        <v>47</v>
      </c>
      <c r="D300" s="2">
        <v>7</v>
      </c>
      <c r="E300" s="2">
        <v>0.78</v>
      </c>
      <c r="F300" s="2">
        <v>6.71</v>
      </c>
      <c r="G300" s="2" t="s">
        <v>186</v>
      </c>
      <c r="H300">
        <f>IF(AND(OR(لوحة_القيادة!$C$4="الكل", A300=لوحة_القيادة!$C$4), IF(لوحة_القيادة!$C$5="الكل", TRUE, INDEX($V300:$AG300, 1, VALUE(لوحة_القيادة!$C$5))&gt;0)), 1, 0)</f>
        <v>0</v>
      </c>
      <c r="I300">
        <f>IF(H300=1, SUM($H$2:H300), "")</f>
        <v>0</v>
      </c>
      <c r="J300" s="2">
        <v>0</v>
      </c>
      <c r="K300" s="2">
        <v>4</v>
      </c>
      <c r="L300" s="2">
        <v>2</v>
      </c>
      <c r="M300" s="2">
        <v>1</v>
      </c>
      <c r="N300" s="2">
        <v>15</v>
      </c>
      <c r="O300" s="2">
        <v>7</v>
      </c>
      <c r="P300" s="2">
        <v>18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2</v>
      </c>
      <c r="X300" s="2">
        <v>1</v>
      </c>
      <c r="Y300" s="2">
        <v>1</v>
      </c>
      <c r="Z300" s="2">
        <v>1</v>
      </c>
      <c r="AA300" s="2">
        <v>1</v>
      </c>
      <c r="AB300" s="2">
        <v>1</v>
      </c>
      <c r="AC300" s="2">
        <v>0</v>
      </c>
      <c r="AD300" s="2">
        <v>0</v>
      </c>
      <c r="AE300" s="2">
        <v>0</v>
      </c>
      <c r="AF300" s="2">
        <v>0</v>
      </c>
      <c r="AG300" s="2">
        <v>1</v>
      </c>
      <c r="AH300" s="2">
        <v>2</v>
      </c>
      <c r="AI300" s="2">
        <v>2</v>
      </c>
      <c r="AJ300" s="2">
        <v>1</v>
      </c>
      <c r="AK300" s="2">
        <v>0</v>
      </c>
      <c r="AL300" s="2">
        <v>0</v>
      </c>
      <c r="AM300" s="2">
        <v>1</v>
      </c>
      <c r="AN300" s="2">
        <v>0</v>
      </c>
      <c r="AO300" s="2">
        <v>1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1</v>
      </c>
      <c r="BC300" s="2">
        <v>1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1</v>
      </c>
      <c r="BQ300" s="2">
        <v>0</v>
      </c>
      <c r="BR300" s="2">
        <v>1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1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  <c r="DE300" s="2">
        <v>0</v>
      </c>
      <c r="DF300" s="2">
        <v>0</v>
      </c>
      <c r="DG300" s="2">
        <v>0</v>
      </c>
      <c r="DH300" s="2">
        <v>0</v>
      </c>
      <c r="DI300" s="2">
        <v>1</v>
      </c>
      <c r="DJ300" s="2">
        <v>0</v>
      </c>
      <c r="DK300" s="2">
        <v>0</v>
      </c>
      <c r="DL300" s="2">
        <v>0</v>
      </c>
      <c r="DM300" s="2">
        <v>0</v>
      </c>
      <c r="DN300" s="2">
        <v>0</v>
      </c>
      <c r="DO300" s="2">
        <v>0</v>
      </c>
      <c r="DP300" s="2">
        <v>0</v>
      </c>
      <c r="DQ300" s="2">
        <v>0</v>
      </c>
      <c r="DR300" s="2">
        <v>0</v>
      </c>
      <c r="DS300" s="2">
        <v>0</v>
      </c>
    </row>
    <row r="301" spans="1:123">
      <c r="A301" s="2" t="s">
        <v>19</v>
      </c>
      <c r="B301" s="2" t="s">
        <v>528</v>
      </c>
      <c r="C301" s="2">
        <v>47</v>
      </c>
      <c r="D301" s="2">
        <v>20</v>
      </c>
      <c r="E301" s="2">
        <v>0.78</v>
      </c>
      <c r="F301" s="2">
        <v>2.35</v>
      </c>
      <c r="G301" s="2" t="s">
        <v>176</v>
      </c>
      <c r="H301">
        <f>IF(AND(OR(لوحة_القيادة!$C$4="الكل", A301=لوحة_القيادة!$C$4), IF(لوحة_القيادة!$C$5="الكل", TRUE, INDEX($V301:$AG301, 1, VALUE(لوحة_القيادة!$C$5))&gt;0)), 1, 0)</f>
        <v>0</v>
      </c>
      <c r="I301">
        <f>IF(H301=1, SUM($H$2:H301), "")</f>
        <v>0</v>
      </c>
      <c r="J301" s="2">
        <v>9</v>
      </c>
      <c r="K301" s="2">
        <v>12</v>
      </c>
      <c r="L301" s="2">
        <v>0</v>
      </c>
      <c r="M301" s="2">
        <v>15</v>
      </c>
      <c r="N301" s="2">
        <v>7</v>
      </c>
      <c r="O301" s="2">
        <v>4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5</v>
      </c>
      <c r="W301" s="2">
        <v>6</v>
      </c>
      <c r="X301" s="2">
        <v>0</v>
      </c>
      <c r="Y301" s="2">
        <v>5</v>
      </c>
      <c r="Z301" s="2">
        <v>2</v>
      </c>
      <c r="AA301" s="2">
        <v>2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5</v>
      </c>
      <c r="AH301" s="2">
        <v>5</v>
      </c>
      <c r="AI301" s="2">
        <v>2</v>
      </c>
      <c r="AJ301" s="2">
        <v>4</v>
      </c>
      <c r="AK301" s="2">
        <v>0</v>
      </c>
      <c r="AL301" s="2">
        <v>0</v>
      </c>
      <c r="AM301" s="2">
        <v>4</v>
      </c>
      <c r="AN301" s="2">
        <v>0</v>
      </c>
      <c r="AO301" s="2">
        <v>2</v>
      </c>
      <c r="AP301" s="2">
        <v>0</v>
      </c>
      <c r="AQ301" s="2">
        <v>1</v>
      </c>
      <c r="AR301" s="2">
        <v>0</v>
      </c>
      <c r="AS301" s="2">
        <v>2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2</v>
      </c>
      <c r="BB301" s="2">
        <v>0</v>
      </c>
      <c r="BC301" s="2">
        <v>2</v>
      </c>
      <c r="BD301" s="2">
        <v>1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1</v>
      </c>
      <c r="BM301" s="2">
        <v>0</v>
      </c>
      <c r="BN301" s="2">
        <v>0</v>
      </c>
      <c r="BO301" s="2">
        <v>1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2</v>
      </c>
      <c r="BY301" s="2">
        <v>2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0</v>
      </c>
      <c r="DE301" s="2">
        <v>0</v>
      </c>
      <c r="DF301" s="2">
        <v>0</v>
      </c>
      <c r="DG301" s="2">
        <v>0</v>
      </c>
      <c r="DH301" s="2">
        <v>2</v>
      </c>
      <c r="DI301" s="2">
        <v>0</v>
      </c>
      <c r="DJ301" s="2">
        <v>0</v>
      </c>
      <c r="DK301" s="2">
        <v>1</v>
      </c>
      <c r="DL301" s="2">
        <v>1</v>
      </c>
      <c r="DM301" s="2">
        <v>0</v>
      </c>
      <c r="DN301" s="2">
        <v>0</v>
      </c>
      <c r="DO301" s="2">
        <v>0</v>
      </c>
      <c r="DP301" s="2">
        <v>0</v>
      </c>
      <c r="DQ301" s="2">
        <v>0</v>
      </c>
      <c r="DR301" s="2">
        <v>0</v>
      </c>
      <c r="DS301" s="2">
        <v>0</v>
      </c>
    </row>
    <row r="302" spans="1:123">
      <c r="A302" s="2" t="s">
        <v>8</v>
      </c>
      <c r="B302" s="2" t="s">
        <v>529</v>
      </c>
      <c r="C302" s="2">
        <v>46</v>
      </c>
      <c r="D302" s="2">
        <v>11</v>
      </c>
      <c r="E302" s="2">
        <v>0.77</v>
      </c>
      <c r="F302" s="2">
        <v>4.18</v>
      </c>
      <c r="G302" s="2" t="s">
        <v>530</v>
      </c>
      <c r="H302">
        <f>IF(AND(OR(لوحة_القيادة!$C$4="الكل", A302=لوحة_القيادة!$C$4), IF(لوحة_القيادة!$C$5="الكل", TRUE, INDEX($V302:$AG302, 1, VALUE(لوحة_القيادة!$C$5))&gt;0)), 1, 0)</f>
        <v>0</v>
      </c>
      <c r="I302">
        <f>IF(H302=1, SUM($H$2:H302), "")</f>
        <v>0</v>
      </c>
      <c r="J302" s="2">
        <v>0</v>
      </c>
      <c r="K302" s="2">
        <v>14</v>
      </c>
      <c r="L302" s="2">
        <v>3</v>
      </c>
      <c r="M302" s="2">
        <v>21</v>
      </c>
      <c r="N302" s="2">
        <v>0</v>
      </c>
      <c r="O302" s="2">
        <v>7</v>
      </c>
      <c r="P302" s="2">
        <v>1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1</v>
      </c>
      <c r="X302" s="2">
        <v>1</v>
      </c>
      <c r="Y302" s="2">
        <v>6</v>
      </c>
      <c r="Z302" s="2">
        <v>0</v>
      </c>
      <c r="AA302" s="2">
        <v>2</v>
      </c>
      <c r="AB302" s="2">
        <v>1</v>
      </c>
      <c r="AC302" s="2">
        <v>0</v>
      </c>
      <c r="AD302" s="2">
        <v>0</v>
      </c>
      <c r="AE302" s="2">
        <v>0</v>
      </c>
      <c r="AF302" s="2">
        <v>0</v>
      </c>
      <c r="AG302" s="2">
        <v>2</v>
      </c>
      <c r="AH302" s="2">
        <v>1</v>
      </c>
      <c r="AI302" s="2">
        <v>1</v>
      </c>
      <c r="AJ302" s="2">
        <v>6</v>
      </c>
      <c r="AK302" s="2">
        <v>0</v>
      </c>
      <c r="AL302" s="2">
        <v>0</v>
      </c>
      <c r="AM302" s="2">
        <v>1</v>
      </c>
      <c r="AN302" s="2">
        <v>0</v>
      </c>
      <c r="AO302" s="2">
        <v>1</v>
      </c>
      <c r="AP302" s="2">
        <v>0</v>
      </c>
      <c r="AQ302" s="2">
        <v>0</v>
      </c>
      <c r="AR302" s="2">
        <v>0</v>
      </c>
      <c r="AS302" s="2">
        <v>1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1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1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1</v>
      </c>
      <c r="CA302" s="2">
        <v>4</v>
      </c>
      <c r="CB302" s="2">
        <v>0</v>
      </c>
      <c r="CC302" s="2">
        <v>0</v>
      </c>
      <c r="CD302" s="2">
        <v>1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0</v>
      </c>
      <c r="CW302" s="2">
        <v>0</v>
      </c>
      <c r="CX302" s="2">
        <v>0</v>
      </c>
      <c r="CY302" s="2">
        <v>0</v>
      </c>
      <c r="CZ302" s="2">
        <v>0</v>
      </c>
      <c r="DA302" s="2">
        <v>0</v>
      </c>
      <c r="DB302" s="2">
        <v>0</v>
      </c>
      <c r="DC302" s="2">
        <v>0</v>
      </c>
      <c r="DD302" s="2">
        <v>0</v>
      </c>
      <c r="DE302" s="2">
        <v>0</v>
      </c>
      <c r="DF302" s="2">
        <v>0</v>
      </c>
      <c r="DG302" s="2">
        <v>0</v>
      </c>
      <c r="DH302" s="2">
        <v>0</v>
      </c>
      <c r="DI302" s="2">
        <v>0</v>
      </c>
      <c r="DJ302" s="2">
        <v>0</v>
      </c>
      <c r="DK302" s="2">
        <v>0</v>
      </c>
      <c r="DL302" s="2">
        <v>0</v>
      </c>
      <c r="DM302" s="2">
        <v>1</v>
      </c>
      <c r="DN302" s="2">
        <v>0</v>
      </c>
      <c r="DO302" s="2">
        <v>0</v>
      </c>
      <c r="DP302" s="2">
        <v>0</v>
      </c>
      <c r="DQ302" s="2">
        <v>0</v>
      </c>
      <c r="DR302" s="2">
        <v>0</v>
      </c>
      <c r="DS302" s="2">
        <v>0</v>
      </c>
    </row>
    <row r="303" spans="1:123">
      <c r="A303" s="2" t="s">
        <v>18</v>
      </c>
      <c r="B303" s="2" t="s">
        <v>531</v>
      </c>
      <c r="C303" s="2">
        <v>46</v>
      </c>
      <c r="D303" s="2">
        <v>6</v>
      </c>
      <c r="E303" s="2">
        <v>0.77</v>
      </c>
      <c r="F303" s="2">
        <v>7.67</v>
      </c>
      <c r="G303" s="2" t="s">
        <v>291</v>
      </c>
      <c r="H303">
        <f>IF(AND(OR(لوحة_القيادة!$C$4="الكل", A303=لوحة_القيادة!$C$4), IF(لوحة_القيادة!$C$5="الكل", TRUE, INDEX($V303:$AG303, 1, VALUE(لوحة_القيادة!$C$5))&gt;0)), 1, 0)</f>
        <v>0</v>
      </c>
      <c r="I303">
        <f>IF(H303=1, SUM($H$2:H303), "")</f>
        <v>0</v>
      </c>
      <c r="J303" s="2">
        <v>15</v>
      </c>
      <c r="K303" s="2">
        <v>31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2</v>
      </c>
      <c r="W303" s="2">
        <v>4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1</v>
      </c>
      <c r="AH303" s="2">
        <v>3</v>
      </c>
      <c r="AI303" s="2">
        <v>0</v>
      </c>
      <c r="AJ303" s="2">
        <v>1</v>
      </c>
      <c r="AK303" s="2">
        <v>0</v>
      </c>
      <c r="AL303" s="2">
        <v>0</v>
      </c>
      <c r="AM303" s="2">
        <v>1</v>
      </c>
      <c r="AN303" s="2">
        <v>0</v>
      </c>
      <c r="AO303" s="2">
        <v>1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2</v>
      </c>
      <c r="BA303" s="2">
        <v>1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1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0</v>
      </c>
      <c r="DB303" s="2">
        <v>0</v>
      </c>
      <c r="DC303" s="2">
        <v>0</v>
      </c>
      <c r="DD303" s="2">
        <v>0</v>
      </c>
      <c r="DE303" s="2">
        <v>0</v>
      </c>
      <c r="DF303" s="2">
        <v>0</v>
      </c>
      <c r="DG303" s="2">
        <v>0</v>
      </c>
      <c r="DH303" s="2">
        <v>0</v>
      </c>
      <c r="DI303" s="2">
        <v>1</v>
      </c>
      <c r="DJ303" s="2">
        <v>0</v>
      </c>
      <c r="DK303" s="2">
        <v>0</v>
      </c>
      <c r="DL303" s="2">
        <v>0</v>
      </c>
      <c r="DM303" s="2">
        <v>0</v>
      </c>
      <c r="DN303" s="2">
        <v>0</v>
      </c>
      <c r="DO303" s="2">
        <v>0</v>
      </c>
      <c r="DP303" s="2">
        <v>0</v>
      </c>
      <c r="DQ303" s="2">
        <v>0</v>
      </c>
      <c r="DR303" s="2">
        <v>0</v>
      </c>
      <c r="DS303" s="2">
        <v>0</v>
      </c>
    </row>
    <row r="304" spans="1:123">
      <c r="A304" s="2" t="s">
        <v>8</v>
      </c>
      <c r="B304" s="2" t="s">
        <v>532</v>
      </c>
      <c r="C304" s="2">
        <v>45</v>
      </c>
      <c r="D304" s="2">
        <v>1</v>
      </c>
      <c r="E304" s="2">
        <v>0.75</v>
      </c>
      <c r="F304" s="2">
        <v>45</v>
      </c>
      <c r="G304" s="2" t="s">
        <v>25</v>
      </c>
      <c r="H304">
        <f>IF(AND(OR(لوحة_القيادة!$C$4="الكل", A304=لوحة_القيادة!$C$4), IF(لوحة_القيادة!$C$5="الكل", TRUE, INDEX($V304:$AG304, 1, VALUE(لوحة_القيادة!$C$5))&gt;0)), 1, 0)</f>
        <v>0</v>
      </c>
      <c r="I304">
        <f>IF(H304=1, SUM($H$2:H304), "")</f>
        <v>0</v>
      </c>
      <c r="J304" s="2">
        <v>0</v>
      </c>
      <c r="K304" s="2">
        <v>0</v>
      </c>
      <c r="L304" s="2">
        <v>45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1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1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1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0</v>
      </c>
      <c r="DB304" s="2">
        <v>0</v>
      </c>
      <c r="DC304" s="2">
        <v>0</v>
      </c>
      <c r="DD304" s="2">
        <v>0</v>
      </c>
      <c r="DE304" s="2">
        <v>0</v>
      </c>
      <c r="DF304" s="2">
        <v>0</v>
      </c>
      <c r="DG304" s="2">
        <v>0</v>
      </c>
      <c r="DH304" s="2">
        <v>0</v>
      </c>
      <c r="DI304" s="2">
        <v>0</v>
      </c>
      <c r="DJ304" s="2">
        <v>0</v>
      </c>
      <c r="DK304" s="2">
        <v>0</v>
      </c>
      <c r="DL304" s="2">
        <v>0</v>
      </c>
      <c r="DM304" s="2">
        <v>0</v>
      </c>
      <c r="DN304" s="2">
        <v>0</v>
      </c>
      <c r="DO304" s="2">
        <v>0</v>
      </c>
      <c r="DP304" s="2">
        <v>0</v>
      </c>
      <c r="DQ304" s="2">
        <v>0</v>
      </c>
      <c r="DR304" s="2">
        <v>0</v>
      </c>
      <c r="DS304" s="2">
        <v>0</v>
      </c>
    </row>
    <row r="305" spans="1:123">
      <c r="A305" s="2" t="s">
        <v>13</v>
      </c>
      <c r="B305" s="2" t="s">
        <v>533</v>
      </c>
      <c r="C305" s="2">
        <v>45</v>
      </c>
      <c r="D305" s="2">
        <v>19</v>
      </c>
      <c r="E305" s="2">
        <v>0.75</v>
      </c>
      <c r="F305" s="2">
        <v>2.37</v>
      </c>
      <c r="G305" s="2" t="s">
        <v>262</v>
      </c>
      <c r="H305">
        <f>IF(AND(OR(لوحة_القيادة!$C$4="الكل", A305=لوحة_القيادة!$C$4), IF(لوحة_القيادة!$C$5="الكل", TRUE, INDEX($V305:$AG305, 1, VALUE(لوحة_القيادة!$C$5))&gt;0)), 1, 0)</f>
        <v>0</v>
      </c>
      <c r="I305">
        <f>IF(H305=1, SUM($H$2:H305), "")</f>
        <v>0</v>
      </c>
      <c r="J305" s="2">
        <v>0</v>
      </c>
      <c r="K305" s="2">
        <v>1</v>
      </c>
      <c r="L305" s="2">
        <v>14</v>
      </c>
      <c r="M305" s="2">
        <v>13</v>
      </c>
      <c r="N305" s="2">
        <v>9</v>
      </c>
      <c r="O305" s="2">
        <v>8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1</v>
      </c>
      <c r="X305" s="2">
        <v>6</v>
      </c>
      <c r="Y305" s="2">
        <v>5</v>
      </c>
      <c r="Z305" s="2">
        <v>3</v>
      </c>
      <c r="AA305" s="2">
        <v>4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7</v>
      </c>
      <c r="AI305" s="2">
        <v>2</v>
      </c>
      <c r="AJ305" s="2">
        <v>8</v>
      </c>
      <c r="AK305" s="2">
        <v>0</v>
      </c>
      <c r="AL305" s="2">
        <v>0</v>
      </c>
      <c r="AM305" s="2">
        <v>2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1</v>
      </c>
      <c r="BC305" s="2">
        <v>2</v>
      </c>
      <c r="BD305" s="2">
        <v>2</v>
      </c>
      <c r="BE305" s="2">
        <v>2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2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1</v>
      </c>
      <c r="BZ305" s="2">
        <v>4</v>
      </c>
      <c r="CA305" s="2">
        <v>2</v>
      </c>
      <c r="CB305" s="2">
        <v>1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0</v>
      </c>
      <c r="CW305" s="2">
        <v>0</v>
      </c>
      <c r="CX305" s="2">
        <v>0</v>
      </c>
      <c r="CY305" s="2">
        <v>0</v>
      </c>
      <c r="CZ305" s="2">
        <v>0</v>
      </c>
      <c r="DA305" s="2">
        <v>0</v>
      </c>
      <c r="DB305" s="2">
        <v>0</v>
      </c>
      <c r="DC305" s="2">
        <v>0</v>
      </c>
      <c r="DD305" s="2">
        <v>0</v>
      </c>
      <c r="DE305" s="2">
        <v>0</v>
      </c>
      <c r="DF305" s="2">
        <v>0</v>
      </c>
      <c r="DG305" s="2">
        <v>0</v>
      </c>
      <c r="DH305" s="2">
        <v>0</v>
      </c>
      <c r="DI305" s="2">
        <v>0</v>
      </c>
      <c r="DJ305" s="2">
        <v>1</v>
      </c>
      <c r="DK305" s="2">
        <v>1</v>
      </c>
      <c r="DL305" s="2">
        <v>0</v>
      </c>
      <c r="DM305" s="2">
        <v>0</v>
      </c>
      <c r="DN305" s="2">
        <v>0</v>
      </c>
      <c r="DO305" s="2">
        <v>0</v>
      </c>
      <c r="DP305" s="2">
        <v>0</v>
      </c>
      <c r="DQ305" s="2">
        <v>0</v>
      </c>
      <c r="DR305" s="2">
        <v>0</v>
      </c>
      <c r="DS305" s="2">
        <v>0</v>
      </c>
    </row>
    <row r="306" spans="1:123">
      <c r="A306" s="2" t="s">
        <v>16</v>
      </c>
      <c r="B306" s="2" t="s">
        <v>534</v>
      </c>
      <c r="C306" s="2">
        <v>45</v>
      </c>
      <c r="D306" s="2">
        <v>3</v>
      </c>
      <c r="E306" s="2">
        <v>0.75</v>
      </c>
      <c r="F306" s="2">
        <v>15</v>
      </c>
      <c r="G306" s="2" t="s">
        <v>276</v>
      </c>
      <c r="H306">
        <f>IF(AND(OR(لوحة_القيادة!$C$4="الكل", A306=لوحة_القيادة!$C$4), IF(لوحة_القيادة!$C$5="الكل", TRUE, INDEX($V306:$AG306, 1, VALUE(لوحة_القيادة!$C$5))&gt;0)), 1, 0)</f>
        <v>0</v>
      </c>
      <c r="I306">
        <f>IF(H306=1, SUM($H$2:H306), "")</f>
        <v>0</v>
      </c>
      <c r="J306" s="2">
        <v>4</v>
      </c>
      <c r="K306" s="2">
        <v>0</v>
      </c>
      <c r="L306" s="2">
        <v>0</v>
      </c>
      <c r="M306" s="2">
        <v>0</v>
      </c>
      <c r="N306" s="2">
        <v>0</v>
      </c>
      <c r="O306" s="2">
        <v>1</v>
      </c>
      <c r="P306" s="2">
        <v>40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1</v>
      </c>
      <c r="W306" s="2">
        <v>0</v>
      </c>
      <c r="X306" s="2">
        <v>0</v>
      </c>
      <c r="Y306" s="2">
        <v>0</v>
      </c>
      <c r="Z306" s="2">
        <v>0</v>
      </c>
      <c r="AA306" s="2">
        <v>1</v>
      </c>
      <c r="AB306" s="2">
        <v>1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2</v>
      </c>
      <c r="AK306" s="2">
        <v>0</v>
      </c>
      <c r="AL306" s="2">
        <v>0</v>
      </c>
      <c r="AM306" s="2">
        <v>1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1</v>
      </c>
      <c r="CD306" s="2">
        <v>1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0</v>
      </c>
      <c r="DB306" s="2">
        <v>0</v>
      </c>
      <c r="DC306" s="2">
        <v>0</v>
      </c>
      <c r="DD306" s="2">
        <v>0</v>
      </c>
      <c r="DE306" s="2">
        <v>0</v>
      </c>
      <c r="DF306" s="2">
        <v>0</v>
      </c>
      <c r="DG306" s="2">
        <v>0</v>
      </c>
      <c r="DH306" s="2">
        <v>1</v>
      </c>
      <c r="DI306" s="2">
        <v>0</v>
      </c>
      <c r="DJ306" s="2">
        <v>0</v>
      </c>
      <c r="DK306" s="2">
        <v>0</v>
      </c>
      <c r="DL306" s="2">
        <v>0</v>
      </c>
      <c r="DM306" s="2">
        <v>0</v>
      </c>
      <c r="DN306" s="2">
        <v>0</v>
      </c>
      <c r="DO306" s="2">
        <v>0</v>
      </c>
      <c r="DP306" s="2">
        <v>0</v>
      </c>
      <c r="DQ306" s="2">
        <v>0</v>
      </c>
      <c r="DR306" s="2">
        <v>0</v>
      </c>
      <c r="DS306" s="2">
        <v>0</v>
      </c>
    </row>
    <row r="307" spans="1:123">
      <c r="A307" s="2" t="s">
        <v>18</v>
      </c>
      <c r="B307" s="2" t="s">
        <v>535</v>
      </c>
      <c r="C307" s="2">
        <v>45</v>
      </c>
      <c r="D307" s="2">
        <v>5</v>
      </c>
      <c r="E307" s="2">
        <v>0.75</v>
      </c>
      <c r="F307" s="2">
        <v>9</v>
      </c>
      <c r="G307" s="2" t="s">
        <v>536</v>
      </c>
      <c r="H307">
        <f>IF(AND(OR(لوحة_القيادة!$C$4="الكل", A307=لوحة_القيادة!$C$4), IF(لوحة_القيادة!$C$5="الكل", TRUE, INDEX($V307:$AG307, 1, VALUE(لوحة_القيادة!$C$5))&gt;0)), 1, 0)</f>
        <v>0</v>
      </c>
      <c r="I307">
        <f>IF(H307=1, SUM($H$2:H307), "")</f>
        <v>0</v>
      </c>
      <c r="J307" s="2">
        <v>0</v>
      </c>
      <c r="K307" s="2">
        <v>5</v>
      </c>
      <c r="L307" s="2">
        <v>34</v>
      </c>
      <c r="M307" s="2">
        <v>0</v>
      </c>
      <c r="N307" s="2">
        <v>0</v>
      </c>
      <c r="O307" s="2">
        <v>6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2</v>
      </c>
      <c r="X307" s="2">
        <v>2</v>
      </c>
      <c r="Y307" s="2">
        <v>0</v>
      </c>
      <c r="Z307" s="2">
        <v>0</v>
      </c>
      <c r="AA307" s="2">
        <v>1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1</v>
      </c>
      <c r="AH307" s="2">
        <v>2</v>
      </c>
      <c r="AI307" s="2">
        <v>1</v>
      </c>
      <c r="AJ307" s="2">
        <v>0</v>
      </c>
      <c r="AK307" s="2">
        <v>0</v>
      </c>
      <c r="AL307" s="2">
        <v>0</v>
      </c>
      <c r="AM307" s="2">
        <v>1</v>
      </c>
      <c r="AN307" s="2">
        <v>0</v>
      </c>
      <c r="AO307" s="2">
        <v>1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1</v>
      </c>
      <c r="BC307" s="2">
        <v>0</v>
      </c>
      <c r="BD307" s="2">
        <v>0</v>
      </c>
      <c r="BE307" s="2">
        <v>1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1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0</v>
      </c>
      <c r="CW307" s="2">
        <v>0</v>
      </c>
      <c r="CX307" s="2">
        <v>0</v>
      </c>
      <c r="CY307" s="2">
        <v>0</v>
      </c>
      <c r="CZ307" s="2">
        <v>0</v>
      </c>
      <c r="DA307" s="2">
        <v>0</v>
      </c>
      <c r="DB307" s="2">
        <v>0</v>
      </c>
      <c r="DC307" s="2">
        <v>0</v>
      </c>
      <c r="DD307" s="2">
        <v>0</v>
      </c>
      <c r="DE307" s="2">
        <v>0</v>
      </c>
      <c r="DF307" s="2">
        <v>0</v>
      </c>
      <c r="DG307" s="2">
        <v>0</v>
      </c>
      <c r="DH307" s="2">
        <v>0</v>
      </c>
      <c r="DI307" s="2">
        <v>0</v>
      </c>
      <c r="DJ307" s="2">
        <v>1</v>
      </c>
      <c r="DK307" s="2">
        <v>0</v>
      </c>
      <c r="DL307" s="2">
        <v>0</v>
      </c>
      <c r="DM307" s="2">
        <v>0</v>
      </c>
      <c r="DN307" s="2">
        <v>0</v>
      </c>
      <c r="DO307" s="2">
        <v>0</v>
      </c>
      <c r="DP307" s="2">
        <v>0</v>
      </c>
      <c r="DQ307" s="2">
        <v>0</v>
      </c>
      <c r="DR307" s="2">
        <v>0</v>
      </c>
      <c r="DS307" s="2">
        <v>0</v>
      </c>
    </row>
    <row r="308" spans="1:123">
      <c r="A308" s="2" t="s">
        <v>18</v>
      </c>
      <c r="B308" s="2" t="s">
        <v>537</v>
      </c>
      <c r="C308" s="2">
        <v>44</v>
      </c>
      <c r="D308" s="2">
        <v>4</v>
      </c>
      <c r="E308" s="2">
        <v>0.73</v>
      </c>
      <c r="F308" s="2">
        <v>11</v>
      </c>
      <c r="G308" s="2" t="s">
        <v>504</v>
      </c>
      <c r="H308">
        <f>IF(AND(OR(لوحة_القيادة!$C$4="الكل", A308=لوحة_القيادة!$C$4), IF(لوحة_القيادة!$C$5="الكل", TRUE, INDEX($V308:$AG308, 1, VALUE(لوحة_القيادة!$C$5))&gt;0)), 1, 0)</f>
        <v>0</v>
      </c>
      <c r="I308">
        <f>IF(H308=1, SUM($H$2:H308), "")</f>
        <v>0</v>
      </c>
      <c r="J308" s="2">
        <v>4</v>
      </c>
      <c r="K308" s="2">
        <v>14</v>
      </c>
      <c r="L308" s="2">
        <v>0</v>
      </c>
      <c r="M308" s="2">
        <v>0</v>
      </c>
      <c r="N308" s="2">
        <v>26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1</v>
      </c>
      <c r="W308" s="2">
        <v>2</v>
      </c>
      <c r="X308" s="2">
        <v>0</v>
      </c>
      <c r="Y308" s="2">
        <v>0</v>
      </c>
      <c r="Z308" s="2">
        <v>1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1</v>
      </c>
      <c r="AJ308" s="2">
        <v>1</v>
      </c>
      <c r="AK308" s="2">
        <v>0</v>
      </c>
      <c r="AL308" s="2">
        <v>0</v>
      </c>
      <c r="AM308" s="2">
        <v>2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1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1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>
        <v>0</v>
      </c>
      <c r="DE308" s="2">
        <v>0</v>
      </c>
      <c r="DF308" s="2">
        <v>0</v>
      </c>
      <c r="DG308" s="2">
        <v>0</v>
      </c>
      <c r="DH308" s="2">
        <v>0</v>
      </c>
      <c r="DI308" s="2">
        <v>2</v>
      </c>
      <c r="DJ308" s="2">
        <v>0</v>
      </c>
      <c r="DK308" s="2">
        <v>0</v>
      </c>
      <c r="DL308" s="2">
        <v>0</v>
      </c>
      <c r="DM308" s="2">
        <v>0</v>
      </c>
      <c r="DN308" s="2">
        <v>0</v>
      </c>
      <c r="DO308" s="2">
        <v>0</v>
      </c>
      <c r="DP308" s="2">
        <v>0</v>
      </c>
      <c r="DQ308" s="2">
        <v>0</v>
      </c>
      <c r="DR308" s="2">
        <v>0</v>
      </c>
      <c r="DS308" s="2">
        <v>0</v>
      </c>
    </row>
    <row r="309" spans="1:123">
      <c r="A309" s="2" t="s">
        <v>13</v>
      </c>
      <c r="B309" s="2" t="s">
        <v>538</v>
      </c>
      <c r="C309" s="2">
        <v>43</v>
      </c>
      <c r="D309" s="2">
        <v>9</v>
      </c>
      <c r="E309" s="2">
        <v>0.72</v>
      </c>
      <c r="F309" s="2">
        <v>4.78</v>
      </c>
      <c r="G309" s="2" t="s">
        <v>312</v>
      </c>
      <c r="H309">
        <f>IF(AND(OR(لوحة_القيادة!$C$4="الكل", A309=لوحة_القيادة!$C$4), IF(لوحة_القيادة!$C$5="الكل", TRUE, INDEX($V309:$AG309, 1, VALUE(لوحة_القيادة!$C$5))&gt;0)), 1, 0)</f>
        <v>0</v>
      </c>
      <c r="I309">
        <f>IF(H309=1, SUM($H$2:H309), "")</f>
        <v>0</v>
      </c>
      <c r="J309" s="2">
        <v>6</v>
      </c>
      <c r="K309" s="2">
        <v>7</v>
      </c>
      <c r="L309" s="2">
        <v>9</v>
      </c>
      <c r="M309" s="2">
        <v>0</v>
      </c>
      <c r="N309" s="2">
        <v>3</v>
      </c>
      <c r="O309" s="2">
        <v>6</v>
      </c>
      <c r="P309" s="2">
        <v>12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1</v>
      </c>
      <c r="W309" s="2">
        <v>2</v>
      </c>
      <c r="X309" s="2">
        <v>2</v>
      </c>
      <c r="Y309" s="2">
        <v>0</v>
      </c>
      <c r="Z309" s="2">
        <v>1</v>
      </c>
      <c r="AA309" s="2">
        <v>2</v>
      </c>
      <c r="AB309" s="2">
        <v>1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2</v>
      </c>
      <c r="AJ309" s="2">
        <v>1</v>
      </c>
      <c r="AK309" s="2">
        <v>0</v>
      </c>
      <c r="AL309" s="2">
        <v>0</v>
      </c>
      <c r="AM309" s="2">
        <v>6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1</v>
      </c>
      <c r="BO309" s="2">
        <v>0</v>
      </c>
      <c r="BP309" s="2">
        <v>1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1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 s="2">
        <v>0</v>
      </c>
      <c r="DC309" s="2">
        <v>0</v>
      </c>
      <c r="DD309" s="2">
        <v>0</v>
      </c>
      <c r="DE309" s="2">
        <v>0</v>
      </c>
      <c r="DF309" s="2">
        <v>0</v>
      </c>
      <c r="DG309" s="2">
        <v>0</v>
      </c>
      <c r="DH309" s="2">
        <v>0</v>
      </c>
      <c r="DI309" s="2">
        <v>2</v>
      </c>
      <c r="DJ309" s="2">
        <v>1</v>
      </c>
      <c r="DK309" s="2">
        <v>0</v>
      </c>
      <c r="DL309" s="2">
        <v>0</v>
      </c>
      <c r="DM309" s="2">
        <v>2</v>
      </c>
      <c r="DN309" s="2">
        <v>1</v>
      </c>
      <c r="DO309" s="2">
        <v>0</v>
      </c>
      <c r="DP309" s="2">
        <v>0</v>
      </c>
      <c r="DQ309" s="2">
        <v>0</v>
      </c>
      <c r="DR309" s="2">
        <v>0</v>
      </c>
      <c r="DS309" s="2">
        <v>0</v>
      </c>
    </row>
    <row r="310" spans="1:123">
      <c r="A310" s="2" t="s">
        <v>18</v>
      </c>
      <c r="B310" s="2" t="s">
        <v>539</v>
      </c>
      <c r="C310" s="2">
        <v>43</v>
      </c>
      <c r="D310" s="2">
        <v>6</v>
      </c>
      <c r="E310" s="2">
        <v>0.72</v>
      </c>
      <c r="F310" s="2">
        <v>7.17</v>
      </c>
      <c r="G310" s="2" t="s">
        <v>530</v>
      </c>
      <c r="H310">
        <f>IF(AND(OR(لوحة_القيادة!$C$4="الكل", A310=لوحة_القيادة!$C$4), IF(لوحة_القيادة!$C$5="الكل", TRUE, INDEX($V310:$AG310, 1, VALUE(لوحة_القيادة!$C$5))&gt;0)), 1, 0)</f>
        <v>0</v>
      </c>
      <c r="I310">
        <f>IF(H310=1, SUM($H$2:H310), "")</f>
        <v>0</v>
      </c>
      <c r="J310" s="2">
        <v>0</v>
      </c>
      <c r="K310" s="2">
        <v>1</v>
      </c>
      <c r="L310" s="2">
        <v>8</v>
      </c>
      <c r="M310" s="2">
        <v>6</v>
      </c>
      <c r="N310" s="2">
        <v>0</v>
      </c>
      <c r="O310" s="2">
        <v>10</v>
      </c>
      <c r="P310" s="2">
        <v>18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1</v>
      </c>
      <c r="X310" s="2">
        <v>1</v>
      </c>
      <c r="Y310" s="2">
        <v>2</v>
      </c>
      <c r="Z310" s="2">
        <v>0</v>
      </c>
      <c r="AA310" s="2">
        <v>1</v>
      </c>
      <c r="AB310" s="2">
        <v>1</v>
      </c>
      <c r="AC310" s="2">
        <v>0</v>
      </c>
      <c r="AD310" s="2">
        <v>0</v>
      </c>
      <c r="AE310" s="2">
        <v>0</v>
      </c>
      <c r="AF310" s="2">
        <v>0</v>
      </c>
      <c r="AG310" s="2">
        <v>1</v>
      </c>
      <c r="AH310" s="2">
        <v>2</v>
      </c>
      <c r="AI310" s="2">
        <v>0</v>
      </c>
      <c r="AJ310" s="2">
        <v>1</v>
      </c>
      <c r="AK310" s="2">
        <v>0</v>
      </c>
      <c r="AL310" s="2">
        <v>0</v>
      </c>
      <c r="AM310" s="2">
        <v>2</v>
      </c>
      <c r="AN310" s="2">
        <v>0</v>
      </c>
      <c r="AO310" s="2">
        <v>0</v>
      </c>
      <c r="AP310" s="2">
        <v>0</v>
      </c>
      <c r="AQ310" s="2">
        <v>1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1</v>
      </c>
      <c r="BF310" s="2">
        <v>1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1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0</v>
      </c>
      <c r="DE310" s="2">
        <v>0</v>
      </c>
      <c r="DF310" s="2">
        <v>0</v>
      </c>
      <c r="DG310" s="2">
        <v>0</v>
      </c>
      <c r="DH310" s="2">
        <v>0</v>
      </c>
      <c r="DI310" s="2">
        <v>1</v>
      </c>
      <c r="DJ310" s="2">
        <v>1</v>
      </c>
      <c r="DK310" s="2">
        <v>0</v>
      </c>
      <c r="DL310" s="2">
        <v>0</v>
      </c>
      <c r="DM310" s="2">
        <v>0</v>
      </c>
      <c r="DN310" s="2">
        <v>0</v>
      </c>
      <c r="DO310" s="2">
        <v>0</v>
      </c>
      <c r="DP310" s="2">
        <v>0</v>
      </c>
      <c r="DQ310" s="2">
        <v>0</v>
      </c>
      <c r="DR310" s="2">
        <v>0</v>
      </c>
      <c r="DS310" s="2">
        <v>0</v>
      </c>
    </row>
    <row r="311" spans="1:123">
      <c r="A311" s="2" t="s">
        <v>19</v>
      </c>
      <c r="B311" s="2" t="s">
        <v>540</v>
      </c>
      <c r="C311" s="2">
        <v>43</v>
      </c>
      <c r="D311" s="2">
        <v>2</v>
      </c>
      <c r="E311" s="2">
        <v>0.72</v>
      </c>
      <c r="F311" s="2">
        <v>21.5</v>
      </c>
      <c r="G311" s="2" t="s">
        <v>541</v>
      </c>
      <c r="H311">
        <f>IF(AND(OR(لوحة_القيادة!$C$4="الكل", A311=لوحة_القيادة!$C$4), IF(لوحة_القيادة!$C$5="الكل", TRUE, INDEX($V311:$AG311, 1, VALUE(لوحة_القيادة!$C$5))&gt;0)), 1, 0)</f>
        <v>0</v>
      </c>
      <c r="I311">
        <f>IF(H311=1, SUM($H$2:H311), "")</f>
        <v>0</v>
      </c>
      <c r="J311" s="2">
        <v>3</v>
      </c>
      <c r="K311" s="2">
        <v>0</v>
      </c>
      <c r="L311" s="2">
        <v>0</v>
      </c>
      <c r="M311" s="2">
        <v>0</v>
      </c>
      <c r="N311" s="2">
        <v>0</v>
      </c>
      <c r="O311" s="2">
        <v>40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1</v>
      </c>
      <c r="W311" s="2">
        <v>0</v>
      </c>
      <c r="X311" s="2">
        <v>0</v>
      </c>
      <c r="Y311" s="2">
        <v>0</v>
      </c>
      <c r="Z311" s="2">
        <v>0</v>
      </c>
      <c r="AA311" s="2">
        <v>1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2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1</v>
      </c>
      <c r="BA311" s="2">
        <v>0</v>
      </c>
      <c r="BB311" s="2">
        <v>0</v>
      </c>
      <c r="BC311" s="2">
        <v>0</v>
      </c>
      <c r="BD311" s="2">
        <v>0</v>
      </c>
      <c r="BE311" s="2">
        <v>1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0</v>
      </c>
      <c r="CW311" s="2">
        <v>0</v>
      </c>
      <c r="CX311" s="2">
        <v>0</v>
      </c>
      <c r="CY311" s="2">
        <v>0</v>
      </c>
      <c r="CZ311" s="2">
        <v>0</v>
      </c>
      <c r="DA311" s="2">
        <v>0</v>
      </c>
      <c r="DB311" s="2">
        <v>0</v>
      </c>
      <c r="DC311" s="2">
        <v>0</v>
      </c>
      <c r="DD311" s="2">
        <v>0</v>
      </c>
      <c r="DE311" s="2">
        <v>0</v>
      </c>
      <c r="DF311" s="2">
        <v>0</v>
      </c>
      <c r="DG311" s="2">
        <v>0</v>
      </c>
      <c r="DH311" s="2">
        <v>0</v>
      </c>
      <c r="DI311" s="2">
        <v>0</v>
      </c>
      <c r="DJ311" s="2">
        <v>0</v>
      </c>
      <c r="DK311" s="2">
        <v>0</v>
      </c>
      <c r="DL311" s="2">
        <v>0</v>
      </c>
      <c r="DM311" s="2">
        <v>0</v>
      </c>
      <c r="DN311" s="2">
        <v>0</v>
      </c>
      <c r="DO311" s="2">
        <v>0</v>
      </c>
      <c r="DP311" s="2">
        <v>0</v>
      </c>
      <c r="DQ311" s="2">
        <v>0</v>
      </c>
      <c r="DR311" s="2">
        <v>0</v>
      </c>
      <c r="DS311" s="2">
        <v>0</v>
      </c>
    </row>
    <row r="312" spans="1:123">
      <c r="A312" s="2" t="s">
        <v>16</v>
      </c>
      <c r="B312" s="2" t="s">
        <v>542</v>
      </c>
      <c r="C312" s="2">
        <v>42</v>
      </c>
      <c r="D312" s="2">
        <v>1</v>
      </c>
      <c r="E312" s="2">
        <v>0.7</v>
      </c>
      <c r="F312" s="2">
        <v>42</v>
      </c>
      <c r="G312" s="2" t="s">
        <v>26</v>
      </c>
      <c r="H312">
        <f>IF(AND(OR(لوحة_القيادة!$C$4="الكل", A312=لوحة_القيادة!$C$4), IF(لوحة_القيادة!$C$5="الكل", TRUE, INDEX($V312:$AG312, 1, VALUE(لوحة_القيادة!$C$5))&gt;0)), 1, 0)</f>
        <v>0</v>
      </c>
      <c r="I312">
        <f>IF(H312=1, SUM($H$2:H312), "")</f>
        <v>0</v>
      </c>
      <c r="J312" s="2">
        <v>0</v>
      </c>
      <c r="K312" s="2">
        <v>0</v>
      </c>
      <c r="L312" s="2">
        <v>0</v>
      </c>
      <c r="M312" s="2">
        <v>42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1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1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0</v>
      </c>
      <c r="DB312" s="2">
        <v>0</v>
      </c>
      <c r="DC312" s="2">
        <v>0</v>
      </c>
      <c r="DD312" s="2">
        <v>0</v>
      </c>
      <c r="DE312" s="2">
        <v>0</v>
      </c>
      <c r="DF312" s="2">
        <v>0</v>
      </c>
      <c r="DG312" s="2">
        <v>0</v>
      </c>
      <c r="DH312" s="2">
        <v>0</v>
      </c>
      <c r="DI312" s="2">
        <v>0</v>
      </c>
      <c r="DJ312" s="2">
        <v>0</v>
      </c>
      <c r="DK312" s="2">
        <v>1</v>
      </c>
      <c r="DL312" s="2">
        <v>0</v>
      </c>
      <c r="DM312" s="2">
        <v>0</v>
      </c>
      <c r="DN312" s="2">
        <v>0</v>
      </c>
      <c r="DO312" s="2">
        <v>0</v>
      </c>
      <c r="DP312" s="2">
        <v>0</v>
      </c>
      <c r="DQ312" s="2">
        <v>0</v>
      </c>
      <c r="DR312" s="2">
        <v>0</v>
      </c>
      <c r="DS312" s="2">
        <v>0</v>
      </c>
    </row>
    <row r="313" spans="1:123">
      <c r="A313" s="2" t="s">
        <v>17</v>
      </c>
      <c r="B313" s="2" t="s">
        <v>543</v>
      </c>
      <c r="C313" s="2">
        <v>42</v>
      </c>
      <c r="D313" s="2">
        <v>7</v>
      </c>
      <c r="E313" s="2">
        <v>0.7</v>
      </c>
      <c r="F313" s="2">
        <v>6</v>
      </c>
      <c r="G313" s="2" t="s">
        <v>280</v>
      </c>
      <c r="H313">
        <f>IF(AND(OR(لوحة_القيادة!$C$4="الكل", A313=لوحة_القيادة!$C$4), IF(لوحة_القيادة!$C$5="الكل", TRUE, INDEX($V313:$AG313, 1, VALUE(لوحة_القيادة!$C$5))&gt;0)), 1, 0)</f>
        <v>0</v>
      </c>
      <c r="I313">
        <f>IF(H313=1, SUM($H$2:H313), "")</f>
        <v>0</v>
      </c>
      <c r="J313" s="2">
        <v>1</v>
      </c>
      <c r="K313" s="2">
        <v>3</v>
      </c>
      <c r="L313" s="2">
        <v>0</v>
      </c>
      <c r="M313" s="2">
        <v>5</v>
      </c>
      <c r="N313" s="2">
        <v>2</v>
      </c>
      <c r="O313" s="2">
        <v>30</v>
      </c>
      <c r="P313" s="2">
        <v>1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1</v>
      </c>
      <c r="W313" s="2">
        <v>1</v>
      </c>
      <c r="X313" s="2">
        <v>0</v>
      </c>
      <c r="Y313" s="2">
        <v>1</v>
      </c>
      <c r="Z313" s="2">
        <v>1</v>
      </c>
      <c r="AA313" s="2">
        <v>2</v>
      </c>
      <c r="AB313" s="2">
        <v>1</v>
      </c>
      <c r="AC313" s="2">
        <v>0</v>
      </c>
      <c r="AD313" s="2">
        <v>0</v>
      </c>
      <c r="AE313" s="2">
        <v>0</v>
      </c>
      <c r="AF313" s="2">
        <v>0</v>
      </c>
      <c r="AG313" s="2">
        <v>3</v>
      </c>
      <c r="AH313" s="2">
        <v>3</v>
      </c>
      <c r="AI313" s="2">
        <v>0</v>
      </c>
      <c r="AJ313" s="2">
        <v>1</v>
      </c>
      <c r="AK313" s="2">
        <v>0</v>
      </c>
      <c r="AL313" s="2">
        <v>0</v>
      </c>
      <c r="AM313" s="2">
        <v>0</v>
      </c>
      <c r="AN313" s="2">
        <v>1</v>
      </c>
      <c r="AO313" s="2">
        <v>1</v>
      </c>
      <c r="AP313" s="2">
        <v>0</v>
      </c>
      <c r="AQ313" s="2">
        <v>0</v>
      </c>
      <c r="AR313" s="2">
        <v>0</v>
      </c>
      <c r="AS313" s="2">
        <v>1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1</v>
      </c>
      <c r="BD313" s="2">
        <v>1</v>
      </c>
      <c r="BE313" s="2">
        <v>1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1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0</v>
      </c>
      <c r="DB313" s="2">
        <v>0</v>
      </c>
      <c r="DC313" s="2">
        <v>0</v>
      </c>
      <c r="DD313" s="2">
        <v>0</v>
      </c>
      <c r="DE313" s="2">
        <v>0</v>
      </c>
      <c r="DF313" s="2">
        <v>0</v>
      </c>
      <c r="DG313" s="2">
        <v>0</v>
      </c>
      <c r="DH313" s="2">
        <v>0</v>
      </c>
      <c r="DI313" s="2">
        <v>0</v>
      </c>
      <c r="DJ313" s="2">
        <v>0</v>
      </c>
      <c r="DK313" s="2">
        <v>0</v>
      </c>
      <c r="DL313" s="2">
        <v>0</v>
      </c>
      <c r="DM313" s="2">
        <v>0</v>
      </c>
      <c r="DN313" s="2">
        <v>0</v>
      </c>
      <c r="DO313" s="2">
        <v>0</v>
      </c>
      <c r="DP313" s="2">
        <v>0</v>
      </c>
      <c r="DQ313" s="2">
        <v>0</v>
      </c>
      <c r="DR313" s="2">
        <v>0</v>
      </c>
      <c r="DS313" s="2">
        <v>0</v>
      </c>
    </row>
    <row r="314" spans="1:123">
      <c r="A314" s="2" t="s">
        <v>17</v>
      </c>
      <c r="B314" s="2" t="s">
        <v>544</v>
      </c>
      <c r="C314" s="2">
        <v>42</v>
      </c>
      <c r="D314" s="2">
        <v>1</v>
      </c>
      <c r="E314" s="2">
        <v>0.7</v>
      </c>
      <c r="F314" s="2">
        <v>42</v>
      </c>
      <c r="G314" s="2" t="s">
        <v>28</v>
      </c>
      <c r="H314">
        <f>IF(AND(OR(لوحة_القيادة!$C$4="الكل", A314=لوحة_القيادة!$C$4), IF(لوحة_القيادة!$C$5="الكل", TRUE, INDEX($V314:$AG314, 1, VALUE(لوحة_القيادة!$C$5))&gt;0)), 1, 0)</f>
        <v>0</v>
      </c>
      <c r="I314">
        <f>IF(H314=1, SUM($H$2:H314), "")</f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42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1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1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1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0</v>
      </c>
      <c r="DB314" s="2">
        <v>0</v>
      </c>
      <c r="DC314" s="2">
        <v>0</v>
      </c>
      <c r="DD314" s="2">
        <v>0</v>
      </c>
      <c r="DE314" s="2">
        <v>0</v>
      </c>
      <c r="DF314" s="2">
        <v>0</v>
      </c>
      <c r="DG314" s="2">
        <v>0</v>
      </c>
      <c r="DH314" s="2">
        <v>0</v>
      </c>
      <c r="DI314" s="2">
        <v>0</v>
      </c>
      <c r="DJ314" s="2">
        <v>0</v>
      </c>
      <c r="DK314" s="2">
        <v>0</v>
      </c>
      <c r="DL314" s="2">
        <v>0</v>
      </c>
      <c r="DM314" s="2">
        <v>0</v>
      </c>
      <c r="DN314" s="2">
        <v>0</v>
      </c>
      <c r="DO314" s="2">
        <v>0</v>
      </c>
      <c r="DP314" s="2">
        <v>0</v>
      </c>
      <c r="DQ314" s="2">
        <v>0</v>
      </c>
      <c r="DR314" s="2">
        <v>0</v>
      </c>
      <c r="DS314" s="2">
        <v>0</v>
      </c>
    </row>
    <row r="315" spans="1:123">
      <c r="A315" s="2" t="s">
        <v>5</v>
      </c>
      <c r="B315" s="2" t="s">
        <v>545</v>
      </c>
      <c r="C315" s="2">
        <v>40</v>
      </c>
      <c r="D315" s="2">
        <v>4</v>
      </c>
      <c r="E315" s="2">
        <v>0.67</v>
      </c>
      <c r="F315" s="2">
        <v>10</v>
      </c>
      <c r="G315" s="2" t="s">
        <v>546</v>
      </c>
      <c r="H315">
        <f>IF(AND(OR(لوحة_القيادة!$C$4="الكل", A315=لوحة_القيادة!$C$4), IF(لوحة_القيادة!$C$5="الكل", TRUE, INDEX($V315:$AG315, 1, VALUE(لوحة_القيادة!$C$5))&gt;0)), 1, 0)</f>
        <v>0</v>
      </c>
      <c r="I315">
        <f>IF(H315=1, SUM($H$2:H315), "")</f>
        <v>0</v>
      </c>
      <c r="J315" s="2">
        <v>0</v>
      </c>
      <c r="K315" s="2">
        <v>0</v>
      </c>
      <c r="L315" s="2">
        <v>0</v>
      </c>
      <c r="M315" s="2">
        <v>25</v>
      </c>
      <c r="N315" s="2">
        <v>0</v>
      </c>
      <c r="O315" s="2">
        <v>0</v>
      </c>
      <c r="P315" s="2">
        <v>15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3</v>
      </c>
      <c r="Z315" s="2">
        <v>0</v>
      </c>
      <c r="AA315" s="2">
        <v>0</v>
      </c>
      <c r="AB315" s="2">
        <v>1</v>
      </c>
      <c r="AC315" s="2">
        <v>0</v>
      </c>
      <c r="AD315" s="2">
        <v>0</v>
      </c>
      <c r="AE315" s="2">
        <v>0</v>
      </c>
      <c r="AF315" s="2">
        <v>0</v>
      </c>
      <c r="AG315" s="2">
        <v>1</v>
      </c>
      <c r="AH315" s="2">
        <v>2</v>
      </c>
      <c r="AI315" s="2">
        <v>1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1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1</v>
      </c>
      <c r="BD315" s="2">
        <v>0</v>
      </c>
      <c r="BE315" s="2">
        <v>0</v>
      </c>
      <c r="BF315" s="2">
        <v>1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1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 s="2">
        <v>0</v>
      </c>
      <c r="DC315" s="2">
        <v>0</v>
      </c>
      <c r="DD315" s="2">
        <v>0</v>
      </c>
      <c r="DE315" s="2">
        <v>0</v>
      </c>
      <c r="DF315" s="2">
        <v>0</v>
      </c>
      <c r="DG315" s="2">
        <v>0</v>
      </c>
      <c r="DH315" s="2">
        <v>0</v>
      </c>
      <c r="DI315" s="2">
        <v>0</v>
      </c>
      <c r="DJ315" s="2">
        <v>0</v>
      </c>
      <c r="DK315" s="2">
        <v>0</v>
      </c>
      <c r="DL315" s="2">
        <v>0</v>
      </c>
      <c r="DM315" s="2">
        <v>0</v>
      </c>
      <c r="DN315" s="2">
        <v>0</v>
      </c>
      <c r="DO315" s="2">
        <v>0</v>
      </c>
      <c r="DP315" s="2">
        <v>0</v>
      </c>
      <c r="DQ315" s="2">
        <v>0</v>
      </c>
      <c r="DR315" s="2">
        <v>0</v>
      </c>
      <c r="DS315" s="2">
        <v>0</v>
      </c>
    </row>
    <row r="316" spans="1:123">
      <c r="A316" s="2" t="s">
        <v>9</v>
      </c>
      <c r="B316" s="2" t="s">
        <v>547</v>
      </c>
      <c r="C316" s="2">
        <v>40</v>
      </c>
      <c r="D316" s="2">
        <v>3</v>
      </c>
      <c r="E316" s="2">
        <v>0.67</v>
      </c>
      <c r="F316" s="2">
        <v>13.33</v>
      </c>
      <c r="G316" s="2" t="s">
        <v>541</v>
      </c>
      <c r="H316">
        <f>IF(AND(OR(لوحة_القيادة!$C$4="الكل", A316=لوحة_القيادة!$C$4), IF(لوحة_القيادة!$C$5="الكل", TRUE, INDEX($V316:$AG316, 1, VALUE(لوحة_القيادة!$C$5))&gt;0)), 1, 0)</f>
        <v>0</v>
      </c>
      <c r="I316">
        <f>IF(H316=1, SUM($H$2:H316), "")</f>
        <v>0</v>
      </c>
      <c r="J316" s="2">
        <v>12</v>
      </c>
      <c r="K316" s="2">
        <v>0</v>
      </c>
      <c r="L316" s="2">
        <v>0</v>
      </c>
      <c r="M316" s="2">
        <v>0</v>
      </c>
      <c r="N316" s="2">
        <v>0</v>
      </c>
      <c r="O316" s="2">
        <v>28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1</v>
      </c>
      <c r="W316" s="2">
        <v>0</v>
      </c>
      <c r="X316" s="2">
        <v>0</v>
      </c>
      <c r="Y316" s="2">
        <v>0</v>
      </c>
      <c r="Z316" s="2">
        <v>0</v>
      </c>
      <c r="AA316" s="2">
        <v>2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2</v>
      </c>
      <c r="AI316" s="2">
        <v>1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1</v>
      </c>
      <c r="BA316" s="2">
        <v>0</v>
      </c>
      <c r="BB316" s="2">
        <v>0</v>
      </c>
      <c r="BC316" s="2">
        <v>0</v>
      </c>
      <c r="BD316" s="2">
        <v>0</v>
      </c>
      <c r="BE316" s="2">
        <v>1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1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0</v>
      </c>
      <c r="DB316" s="2">
        <v>0</v>
      </c>
      <c r="DC316" s="2">
        <v>0</v>
      </c>
      <c r="DD316" s="2">
        <v>0</v>
      </c>
      <c r="DE316" s="2">
        <v>0</v>
      </c>
      <c r="DF316" s="2">
        <v>0</v>
      </c>
      <c r="DG316" s="2">
        <v>0</v>
      </c>
      <c r="DH316" s="2">
        <v>0</v>
      </c>
      <c r="DI316" s="2">
        <v>0</v>
      </c>
      <c r="DJ316" s="2">
        <v>0</v>
      </c>
      <c r="DK316" s="2">
        <v>0</v>
      </c>
      <c r="DL316" s="2">
        <v>0</v>
      </c>
      <c r="DM316" s="2">
        <v>0</v>
      </c>
      <c r="DN316" s="2">
        <v>0</v>
      </c>
      <c r="DO316" s="2">
        <v>0</v>
      </c>
      <c r="DP316" s="2">
        <v>0</v>
      </c>
      <c r="DQ316" s="2">
        <v>0</v>
      </c>
      <c r="DR316" s="2">
        <v>0</v>
      </c>
      <c r="DS316" s="2">
        <v>0</v>
      </c>
    </row>
    <row r="317" spans="1:123">
      <c r="A317" s="2" t="s">
        <v>13</v>
      </c>
      <c r="B317" s="2" t="s">
        <v>548</v>
      </c>
      <c r="C317" s="2">
        <v>40</v>
      </c>
      <c r="D317" s="2">
        <v>1</v>
      </c>
      <c r="E317" s="2">
        <v>0.67</v>
      </c>
      <c r="F317" s="2">
        <v>40</v>
      </c>
      <c r="G317" s="2" t="s">
        <v>25</v>
      </c>
      <c r="H317">
        <f>IF(AND(OR(لوحة_القيادة!$C$4="الكل", A317=لوحة_القيادة!$C$4), IF(لوحة_القيادة!$C$5="الكل", TRUE, INDEX($V317:$AG317, 1, VALUE(لوحة_القيادة!$C$5))&gt;0)), 1, 0)</f>
        <v>0</v>
      </c>
      <c r="I317">
        <f>IF(H317=1, SUM($H$2:H317), "")</f>
        <v>0</v>
      </c>
      <c r="J317" s="2">
        <v>0</v>
      </c>
      <c r="K317" s="2">
        <v>0</v>
      </c>
      <c r="L317" s="2">
        <v>40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1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1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0</v>
      </c>
      <c r="CW317" s="2">
        <v>0</v>
      </c>
      <c r="CX317" s="2">
        <v>0</v>
      </c>
      <c r="CY317" s="2">
        <v>0</v>
      </c>
      <c r="CZ317" s="2">
        <v>0</v>
      </c>
      <c r="DA317" s="2">
        <v>0</v>
      </c>
      <c r="DB317" s="2">
        <v>0</v>
      </c>
      <c r="DC317" s="2">
        <v>0</v>
      </c>
      <c r="DD317" s="2">
        <v>0</v>
      </c>
      <c r="DE317" s="2">
        <v>0</v>
      </c>
      <c r="DF317" s="2">
        <v>0</v>
      </c>
      <c r="DG317" s="2">
        <v>0</v>
      </c>
      <c r="DH317" s="2">
        <v>0</v>
      </c>
      <c r="DI317" s="2">
        <v>0</v>
      </c>
      <c r="DJ317" s="2">
        <v>1</v>
      </c>
      <c r="DK317" s="2">
        <v>0</v>
      </c>
      <c r="DL317" s="2">
        <v>0</v>
      </c>
      <c r="DM317" s="2">
        <v>0</v>
      </c>
      <c r="DN317" s="2">
        <v>0</v>
      </c>
      <c r="DO317" s="2">
        <v>0</v>
      </c>
      <c r="DP317" s="2">
        <v>0</v>
      </c>
      <c r="DQ317" s="2">
        <v>0</v>
      </c>
      <c r="DR317" s="2">
        <v>0</v>
      </c>
      <c r="DS317" s="2">
        <v>0</v>
      </c>
    </row>
    <row r="318" spans="1:123">
      <c r="A318" s="2" t="s">
        <v>16</v>
      </c>
      <c r="B318" s="2" t="s">
        <v>549</v>
      </c>
      <c r="C318" s="2">
        <v>40</v>
      </c>
      <c r="D318" s="2">
        <v>8</v>
      </c>
      <c r="E318" s="2">
        <v>0.67</v>
      </c>
      <c r="F318" s="2">
        <v>5</v>
      </c>
      <c r="G318" s="2" t="s">
        <v>170</v>
      </c>
      <c r="H318">
        <f>IF(AND(OR(لوحة_القيادة!$C$4="الكل", A318=لوحة_القيادة!$C$4), IF(لوحة_القيادة!$C$5="الكل", TRUE, INDEX($V318:$AG318, 1, VALUE(لوحة_القيادة!$C$5))&gt;0)), 1, 0)</f>
        <v>0</v>
      </c>
      <c r="I318">
        <f>IF(H318=1, SUM($H$2:H318), "")</f>
        <v>0</v>
      </c>
      <c r="J318" s="2">
        <v>7</v>
      </c>
      <c r="K318" s="2">
        <v>1</v>
      </c>
      <c r="L318" s="2">
        <v>1</v>
      </c>
      <c r="M318" s="2">
        <v>3</v>
      </c>
      <c r="N318" s="2">
        <v>2</v>
      </c>
      <c r="O318" s="2">
        <v>26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2</v>
      </c>
      <c r="W318" s="2">
        <v>1</v>
      </c>
      <c r="X318" s="2">
        <v>1</v>
      </c>
      <c r="Y318" s="2">
        <v>2</v>
      </c>
      <c r="Z318" s="2">
        <v>1</v>
      </c>
      <c r="AA318" s="2">
        <v>1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1</v>
      </c>
      <c r="AI318" s="2">
        <v>1</v>
      </c>
      <c r="AJ318" s="2">
        <v>3</v>
      </c>
      <c r="AK318" s="2">
        <v>0</v>
      </c>
      <c r="AL318" s="2">
        <v>0</v>
      </c>
      <c r="AM318" s="2">
        <v>3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1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1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1</v>
      </c>
      <c r="BY318" s="2">
        <v>0</v>
      </c>
      <c r="BZ318" s="2">
        <v>0</v>
      </c>
      <c r="CA318" s="2">
        <v>2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0</v>
      </c>
      <c r="DB318" s="2">
        <v>0</v>
      </c>
      <c r="DC318" s="2">
        <v>0</v>
      </c>
      <c r="DD318" s="2">
        <v>0</v>
      </c>
      <c r="DE318" s="2">
        <v>0</v>
      </c>
      <c r="DF318" s="2">
        <v>0</v>
      </c>
      <c r="DG318" s="2">
        <v>0</v>
      </c>
      <c r="DH318" s="2">
        <v>1</v>
      </c>
      <c r="DI318" s="2">
        <v>1</v>
      </c>
      <c r="DJ318" s="2">
        <v>1</v>
      </c>
      <c r="DK318" s="2">
        <v>0</v>
      </c>
      <c r="DL318" s="2">
        <v>0</v>
      </c>
      <c r="DM318" s="2">
        <v>0</v>
      </c>
      <c r="DN318" s="2">
        <v>0</v>
      </c>
      <c r="DO318" s="2">
        <v>0</v>
      </c>
      <c r="DP318" s="2">
        <v>0</v>
      </c>
      <c r="DQ318" s="2">
        <v>0</v>
      </c>
      <c r="DR318" s="2">
        <v>0</v>
      </c>
      <c r="DS318" s="2">
        <v>0</v>
      </c>
    </row>
    <row r="319" spans="1:123">
      <c r="A319" s="2" t="s">
        <v>17</v>
      </c>
      <c r="B319" s="2" t="s">
        <v>550</v>
      </c>
      <c r="C319" s="2">
        <v>40</v>
      </c>
      <c r="D319" s="2">
        <v>3</v>
      </c>
      <c r="E319" s="2">
        <v>0.67</v>
      </c>
      <c r="F319" s="2">
        <v>13.33</v>
      </c>
      <c r="G319" s="2" t="s">
        <v>551</v>
      </c>
      <c r="H319">
        <f>IF(AND(OR(لوحة_القيادة!$C$4="الكل", A319=لوحة_القيادة!$C$4), IF(لوحة_القيادة!$C$5="الكل", TRUE, INDEX($V319:$AG319, 1, VALUE(لوحة_القيادة!$C$5))&gt;0)), 1, 0)</f>
        <v>0</v>
      </c>
      <c r="I319">
        <f>IF(H319=1, SUM($H$2:H319), "")</f>
        <v>0</v>
      </c>
      <c r="J319" s="2">
        <v>20</v>
      </c>
      <c r="K319" s="2">
        <v>0</v>
      </c>
      <c r="L319" s="2">
        <v>0</v>
      </c>
      <c r="M319" s="2">
        <v>20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1</v>
      </c>
      <c r="W319" s="2">
        <v>0</v>
      </c>
      <c r="X319" s="2">
        <v>0</v>
      </c>
      <c r="Y319" s="2">
        <v>2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2</v>
      </c>
      <c r="AK319" s="2">
        <v>1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1</v>
      </c>
      <c r="BY319" s="2">
        <v>0</v>
      </c>
      <c r="BZ319" s="2">
        <v>0</v>
      </c>
      <c r="CA319" s="2">
        <v>1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1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2">
        <v>0</v>
      </c>
      <c r="CX319" s="2">
        <v>0</v>
      </c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>
        <v>0</v>
      </c>
      <c r="DE319" s="2">
        <v>0</v>
      </c>
      <c r="DF319" s="2">
        <v>0</v>
      </c>
      <c r="DG319" s="2">
        <v>0</v>
      </c>
      <c r="DH319" s="2">
        <v>0</v>
      </c>
      <c r="DI319" s="2">
        <v>0</v>
      </c>
      <c r="DJ319" s="2">
        <v>0</v>
      </c>
      <c r="DK319" s="2">
        <v>0</v>
      </c>
      <c r="DL319" s="2">
        <v>0</v>
      </c>
      <c r="DM319" s="2">
        <v>0</v>
      </c>
      <c r="DN319" s="2">
        <v>0</v>
      </c>
      <c r="DO319" s="2">
        <v>0</v>
      </c>
      <c r="DP319" s="2">
        <v>0</v>
      </c>
      <c r="DQ319" s="2">
        <v>0</v>
      </c>
      <c r="DR319" s="2">
        <v>0</v>
      </c>
      <c r="DS319" s="2">
        <v>0</v>
      </c>
    </row>
    <row r="320" spans="1:123">
      <c r="A320" s="2" t="s">
        <v>17</v>
      </c>
      <c r="B320" s="2" t="s">
        <v>552</v>
      </c>
      <c r="C320" s="2">
        <v>40</v>
      </c>
      <c r="D320" s="2">
        <v>2</v>
      </c>
      <c r="E320" s="2">
        <v>0.67</v>
      </c>
      <c r="F320" s="2">
        <v>20</v>
      </c>
      <c r="G320" s="2" t="s">
        <v>431</v>
      </c>
      <c r="H320">
        <f>IF(AND(OR(لوحة_القيادة!$C$4="الكل", A320=لوحة_القيادة!$C$4), IF(لوحة_القيادة!$C$5="الكل", TRUE, INDEX($V320:$AG320, 1, VALUE(لوحة_القيادة!$C$5))&gt;0)), 1, 0)</f>
        <v>0</v>
      </c>
      <c r="I320">
        <f>IF(H320=1, SUM($H$2:H320), "")</f>
        <v>0</v>
      </c>
      <c r="J320" s="2">
        <v>0</v>
      </c>
      <c r="K320" s="2">
        <v>0</v>
      </c>
      <c r="L320" s="2">
        <v>27</v>
      </c>
      <c r="M320" s="2">
        <v>0</v>
      </c>
      <c r="N320" s="2">
        <v>13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1</v>
      </c>
      <c r="Y320" s="2">
        <v>0</v>
      </c>
      <c r="Z320" s="2">
        <v>1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1</v>
      </c>
      <c r="AI320" s="2">
        <v>0</v>
      </c>
      <c r="AJ320" s="2">
        <v>1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1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1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0</v>
      </c>
      <c r="CW320" s="2">
        <v>0</v>
      </c>
      <c r="CX320" s="2">
        <v>0</v>
      </c>
      <c r="CY320" s="2">
        <v>0</v>
      </c>
      <c r="CZ320" s="2">
        <v>0</v>
      </c>
      <c r="DA320" s="2">
        <v>0</v>
      </c>
      <c r="DB320" s="2">
        <v>0</v>
      </c>
      <c r="DC320" s="2">
        <v>0</v>
      </c>
      <c r="DD320" s="2">
        <v>0</v>
      </c>
      <c r="DE320" s="2">
        <v>0</v>
      </c>
      <c r="DF320" s="2">
        <v>0</v>
      </c>
      <c r="DG320" s="2">
        <v>0</v>
      </c>
      <c r="DH320" s="2">
        <v>0</v>
      </c>
      <c r="DI320" s="2">
        <v>0</v>
      </c>
      <c r="DJ320" s="2">
        <v>0</v>
      </c>
      <c r="DK320" s="2">
        <v>0</v>
      </c>
      <c r="DL320" s="2">
        <v>0</v>
      </c>
      <c r="DM320" s="2">
        <v>0</v>
      </c>
      <c r="DN320" s="2">
        <v>0</v>
      </c>
      <c r="DO320" s="2">
        <v>0</v>
      </c>
      <c r="DP320" s="2">
        <v>0</v>
      </c>
      <c r="DQ320" s="2">
        <v>0</v>
      </c>
      <c r="DR320" s="2">
        <v>0</v>
      </c>
      <c r="DS320" s="2">
        <v>0</v>
      </c>
    </row>
    <row r="321" spans="1:123">
      <c r="A321" s="2" t="s">
        <v>19</v>
      </c>
      <c r="B321" s="2" t="s">
        <v>553</v>
      </c>
      <c r="C321" s="2">
        <v>40</v>
      </c>
      <c r="D321" s="2">
        <v>14</v>
      </c>
      <c r="E321" s="2">
        <v>0.67</v>
      </c>
      <c r="F321" s="2">
        <v>2.86</v>
      </c>
      <c r="G321" s="2" t="s">
        <v>170</v>
      </c>
      <c r="H321">
        <f>IF(AND(OR(لوحة_القيادة!$C$4="الكل", A321=لوحة_القيادة!$C$4), IF(لوحة_القيادة!$C$5="الكل", TRUE, INDEX($V321:$AG321, 1, VALUE(لوحة_القيادة!$C$5))&gt;0)), 1, 0)</f>
        <v>0</v>
      </c>
      <c r="I321">
        <f>IF(H321=1, SUM($H$2:H321), "")</f>
        <v>0</v>
      </c>
      <c r="J321" s="2">
        <v>19</v>
      </c>
      <c r="K321" s="2">
        <v>3</v>
      </c>
      <c r="L321" s="2">
        <v>4</v>
      </c>
      <c r="M321" s="2">
        <v>4</v>
      </c>
      <c r="N321" s="2">
        <v>3</v>
      </c>
      <c r="O321" s="2">
        <v>7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2</v>
      </c>
      <c r="W321" s="2">
        <v>2</v>
      </c>
      <c r="X321" s="2">
        <v>2</v>
      </c>
      <c r="Y321" s="2">
        <v>3</v>
      </c>
      <c r="Z321" s="2">
        <v>2</v>
      </c>
      <c r="AA321" s="2">
        <v>3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6</v>
      </c>
      <c r="AH321" s="2">
        <v>5</v>
      </c>
      <c r="AI321" s="2">
        <v>2</v>
      </c>
      <c r="AJ321" s="2">
        <v>0</v>
      </c>
      <c r="AK321" s="2">
        <v>0</v>
      </c>
      <c r="AL321" s="2">
        <v>0</v>
      </c>
      <c r="AM321" s="2">
        <v>1</v>
      </c>
      <c r="AN321" s="2">
        <v>1</v>
      </c>
      <c r="AO321" s="2">
        <v>1</v>
      </c>
      <c r="AP321" s="2">
        <v>0</v>
      </c>
      <c r="AQ321" s="2">
        <v>2</v>
      </c>
      <c r="AR321" s="2">
        <v>1</v>
      </c>
      <c r="AS321" s="2">
        <v>1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1</v>
      </c>
      <c r="BA321" s="2">
        <v>0</v>
      </c>
      <c r="BB321" s="2">
        <v>0</v>
      </c>
      <c r="BC321" s="2">
        <v>1</v>
      </c>
      <c r="BD321" s="2">
        <v>1</v>
      </c>
      <c r="BE321" s="2">
        <v>2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1</v>
      </c>
      <c r="BN321" s="2">
        <v>1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0</v>
      </c>
      <c r="DB321" s="2">
        <v>0</v>
      </c>
      <c r="DC321" s="2">
        <v>0</v>
      </c>
      <c r="DD321" s="2">
        <v>0</v>
      </c>
      <c r="DE321" s="2">
        <v>0</v>
      </c>
      <c r="DF321" s="2">
        <v>0</v>
      </c>
      <c r="DG321" s="2">
        <v>0</v>
      </c>
      <c r="DH321" s="2">
        <v>0</v>
      </c>
      <c r="DI321" s="2">
        <v>0</v>
      </c>
      <c r="DJ321" s="2">
        <v>1</v>
      </c>
      <c r="DK321" s="2">
        <v>0</v>
      </c>
      <c r="DL321" s="2">
        <v>0</v>
      </c>
      <c r="DM321" s="2">
        <v>0</v>
      </c>
      <c r="DN321" s="2">
        <v>0</v>
      </c>
      <c r="DO321" s="2">
        <v>0</v>
      </c>
      <c r="DP321" s="2">
        <v>0</v>
      </c>
      <c r="DQ321" s="2">
        <v>0</v>
      </c>
      <c r="DR321" s="2">
        <v>0</v>
      </c>
      <c r="DS321" s="2">
        <v>0</v>
      </c>
    </row>
    <row r="322" spans="1:123">
      <c r="A322" s="2" t="s">
        <v>14</v>
      </c>
      <c r="B322" s="2" t="s">
        <v>554</v>
      </c>
      <c r="C322" s="2">
        <v>39</v>
      </c>
      <c r="D322" s="2">
        <v>9</v>
      </c>
      <c r="E322" s="2">
        <v>0.65</v>
      </c>
      <c r="F322" s="2">
        <v>4.33</v>
      </c>
      <c r="G322" s="2" t="s">
        <v>417</v>
      </c>
      <c r="H322">
        <f>IF(AND(OR(لوحة_القيادة!$C$4="الكل", A322=لوحة_القيادة!$C$4), IF(لوحة_القيادة!$C$5="الكل", TRUE, INDEX($V322:$AG322, 1, VALUE(لوحة_القيادة!$C$5))&gt;0)), 1, 0)</f>
        <v>0</v>
      </c>
      <c r="I322">
        <f>IF(H322=1, SUM($H$2:H322), "")</f>
        <v>0</v>
      </c>
      <c r="J322" s="2">
        <v>12</v>
      </c>
      <c r="K322" s="2">
        <v>0</v>
      </c>
      <c r="L322" s="2">
        <v>24</v>
      </c>
      <c r="M322" s="2">
        <v>0</v>
      </c>
      <c r="N322" s="2">
        <v>3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5</v>
      </c>
      <c r="W322" s="2">
        <v>0</v>
      </c>
      <c r="X322" s="2">
        <v>3</v>
      </c>
      <c r="Y322" s="2">
        <v>0</v>
      </c>
      <c r="Z322" s="2">
        <v>1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3</v>
      </c>
      <c r="AH322" s="2">
        <v>1</v>
      </c>
      <c r="AI322" s="2">
        <v>1</v>
      </c>
      <c r="AJ322" s="2">
        <v>0</v>
      </c>
      <c r="AK322" s="2">
        <v>0</v>
      </c>
      <c r="AL322" s="2">
        <v>0</v>
      </c>
      <c r="AM322" s="2">
        <v>4</v>
      </c>
      <c r="AN322" s="2">
        <v>1</v>
      </c>
      <c r="AO322" s="2">
        <v>0</v>
      </c>
      <c r="AP322" s="2">
        <v>1</v>
      </c>
      <c r="AQ322" s="2">
        <v>0</v>
      </c>
      <c r="AR322" s="2">
        <v>1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1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1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 s="2">
        <v>0</v>
      </c>
      <c r="DC322" s="2">
        <v>0</v>
      </c>
      <c r="DD322" s="2">
        <v>0</v>
      </c>
      <c r="DE322" s="2">
        <v>0</v>
      </c>
      <c r="DF322" s="2">
        <v>0</v>
      </c>
      <c r="DG322" s="2">
        <v>0</v>
      </c>
      <c r="DH322" s="2">
        <v>2</v>
      </c>
      <c r="DI322" s="2">
        <v>0</v>
      </c>
      <c r="DJ322" s="2">
        <v>2</v>
      </c>
      <c r="DK322" s="2">
        <v>0</v>
      </c>
      <c r="DL322" s="2">
        <v>0</v>
      </c>
      <c r="DM322" s="2">
        <v>0</v>
      </c>
      <c r="DN322" s="2">
        <v>0</v>
      </c>
      <c r="DO322" s="2">
        <v>0</v>
      </c>
      <c r="DP322" s="2">
        <v>0</v>
      </c>
      <c r="DQ322" s="2">
        <v>0</v>
      </c>
      <c r="DR322" s="2">
        <v>0</v>
      </c>
      <c r="DS322" s="2">
        <v>0</v>
      </c>
    </row>
    <row r="323" spans="1:123">
      <c r="A323" s="2" t="s">
        <v>13</v>
      </c>
      <c r="B323" s="2" t="s">
        <v>555</v>
      </c>
      <c r="C323" s="2">
        <v>38</v>
      </c>
      <c r="D323" s="2">
        <v>12</v>
      </c>
      <c r="E323" s="2">
        <v>0.63</v>
      </c>
      <c r="F323" s="2">
        <v>3.17</v>
      </c>
      <c r="G323" s="2" t="s">
        <v>306</v>
      </c>
      <c r="H323">
        <f>IF(AND(OR(لوحة_القيادة!$C$4="الكل", A323=لوحة_القيادة!$C$4), IF(لوحة_القيادة!$C$5="الكل", TRUE, INDEX($V323:$AG323, 1, VALUE(لوحة_القيادة!$C$5))&gt;0)), 1, 0)</f>
        <v>0</v>
      </c>
      <c r="I323">
        <f>IF(H323=1, SUM($H$2:H323), "")</f>
        <v>0</v>
      </c>
      <c r="J323" s="2">
        <v>5</v>
      </c>
      <c r="K323" s="2">
        <v>0</v>
      </c>
      <c r="L323" s="2">
        <v>14</v>
      </c>
      <c r="M323" s="2">
        <v>7</v>
      </c>
      <c r="N323" s="2">
        <v>4</v>
      </c>
      <c r="O323" s="2">
        <v>8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3</v>
      </c>
      <c r="W323" s="2">
        <v>0</v>
      </c>
      <c r="X323" s="2">
        <v>3</v>
      </c>
      <c r="Y323" s="2">
        <v>2</v>
      </c>
      <c r="Z323" s="2">
        <v>2</v>
      </c>
      <c r="AA323" s="2">
        <v>2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1</v>
      </c>
      <c r="AH323" s="2">
        <v>3</v>
      </c>
      <c r="AI323" s="2">
        <v>1</v>
      </c>
      <c r="AJ323" s="2">
        <v>1</v>
      </c>
      <c r="AK323" s="2">
        <v>0</v>
      </c>
      <c r="AL323" s="2">
        <v>0</v>
      </c>
      <c r="AM323" s="2">
        <v>6</v>
      </c>
      <c r="AN323" s="2">
        <v>0</v>
      </c>
      <c r="AO323" s="2">
        <v>0</v>
      </c>
      <c r="AP323" s="2">
        <v>0</v>
      </c>
      <c r="AQ323" s="2">
        <v>0</v>
      </c>
      <c r="AR323" s="2">
        <v>1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1</v>
      </c>
      <c r="BC323" s="2">
        <v>2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1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1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0</v>
      </c>
      <c r="CW323" s="2">
        <v>0</v>
      </c>
      <c r="CX323" s="2">
        <v>0</v>
      </c>
      <c r="CY323" s="2">
        <v>0</v>
      </c>
      <c r="CZ323" s="2">
        <v>0</v>
      </c>
      <c r="DA323" s="2">
        <v>0</v>
      </c>
      <c r="DB323" s="2">
        <v>0</v>
      </c>
      <c r="DC323" s="2">
        <v>0</v>
      </c>
      <c r="DD323" s="2">
        <v>0</v>
      </c>
      <c r="DE323" s="2">
        <v>0</v>
      </c>
      <c r="DF323" s="2">
        <v>0</v>
      </c>
      <c r="DG323" s="2">
        <v>0</v>
      </c>
      <c r="DH323" s="2">
        <v>3</v>
      </c>
      <c r="DI323" s="2">
        <v>0</v>
      </c>
      <c r="DJ323" s="2">
        <v>0</v>
      </c>
      <c r="DK323" s="2">
        <v>0</v>
      </c>
      <c r="DL323" s="2">
        <v>1</v>
      </c>
      <c r="DM323" s="2">
        <v>2</v>
      </c>
      <c r="DN323" s="2">
        <v>0</v>
      </c>
      <c r="DO323" s="2">
        <v>0</v>
      </c>
      <c r="DP323" s="2">
        <v>0</v>
      </c>
      <c r="DQ323" s="2">
        <v>0</v>
      </c>
      <c r="DR323" s="2">
        <v>0</v>
      </c>
      <c r="DS323" s="2">
        <v>0</v>
      </c>
    </row>
    <row r="324" spans="1:123">
      <c r="A324" s="2" t="s">
        <v>18</v>
      </c>
      <c r="B324" s="2" t="s">
        <v>556</v>
      </c>
      <c r="C324" s="2">
        <v>38</v>
      </c>
      <c r="D324" s="2">
        <v>3</v>
      </c>
      <c r="E324" s="2">
        <v>0.63</v>
      </c>
      <c r="F324" s="2">
        <v>12.67</v>
      </c>
      <c r="G324" s="2" t="s">
        <v>493</v>
      </c>
      <c r="H324">
        <f>IF(AND(OR(لوحة_القيادة!$C$4="الكل", A324=لوحة_القيادة!$C$4), IF(لوحة_القيادة!$C$5="الكل", TRUE, INDEX($V324:$AG324, 1, VALUE(لوحة_القيادة!$C$5))&gt;0)), 1, 0)</f>
        <v>0</v>
      </c>
      <c r="I324">
        <f>IF(H324=1, SUM($H$2:H324), "")</f>
        <v>0</v>
      </c>
      <c r="J324" s="2">
        <v>0</v>
      </c>
      <c r="K324" s="2">
        <v>4</v>
      </c>
      <c r="L324" s="2">
        <v>0</v>
      </c>
      <c r="M324" s="2">
        <v>0</v>
      </c>
      <c r="N324" s="2">
        <v>1</v>
      </c>
      <c r="O324" s="2">
        <v>33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1</v>
      </c>
      <c r="X324" s="2">
        <v>0</v>
      </c>
      <c r="Y324" s="2">
        <v>0</v>
      </c>
      <c r="Z324" s="2">
        <v>1</v>
      </c>
      <c r="AA324" s="2">
        <v>1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1</v>
      </c>
      <c r="AH324" s="2">
        <v>0</v>
      </c>
      <c r="AI324" s="2">
        <v>0</v>
      </c>
      <c r="AJ324" s="2">
        <v>1</v>
      </c>
      <c r="AK324" s="2">
        <v>0</v>
      </c>
      <c r="AL324" s="2">
        <v>0</v>
      </c>
      <c r="AM324" s="2">
        <v>1</v>
      </c>
      <c r="AN324" s="2">
        <v>0</v>
      </c>
      <c r="AO324" s="2">
        <v>0</v>
      </c>
      <c r="AP324" s="2">
        <v>0</v>
      </c>
      <c r="AQ324" s="2">
        <v>0</v>
      </c>
      <c r="AR324" s="2">
        <v>1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1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0</v>
      </c>
      <c r="CX324" s="2">
        <v>0</v>
      </c>
      <c r="CY324" s="2">
        <v>0</v>
      </c>
      <c r="CZ324" s="2">
        <v>0</v>
      </c>
      <c r="DA324" s="2">
        <v>0</v>
      </c>
      <c r="DB324" s="2">
        <v>0</v>
      </c>
      <c r="DC324" s="2">
        <v>0</v>
      </c>
      <c r="DD324" s="2">
        <v>0</v>
      </c>
      <c r="DE324" s="2">
        <v>0</v>
      </c>
      <c r="DF324" s="2">
        <v>0</v>
      </c>
      <c r="DG324" s="2">
        <v>0</v>
      </c>
      <c r="DH324" s="2">
        <v>0</v>
      </c>
      <c r="DI324" s="2">
        <v>1</v>
      </c>
      <c r="DJ324" s="2">
        <v>0</v>
      </c>
      <c r="DK324" s="2">
        <v>0</v>
      </c>
      <c r="DL324" s="2">
        <v>0</v>
      </c>
      <c r="DM324" s="2">
        <v>0</v>
      </c>
      <c r="DN324" s="2">
        <v>0</v>
      </c>
      <c r="DO324" s="2">
        <v>0</v>
      </c>
      <c r="DP324" s="2">
        <v>0</v>
      </c>
      <c r="DQ324" s="2">
        <v>0</v>
      </c>
      <c r="DR324" s="2">
        <v>0</v>
      </c>
      <c r="DS324" s="2">
        <v>0</v>
      </c>
    </row>
    <row r="325" spans="1:123">
      <c r="A325" s="2" t="s">
        <v>22</v>
      </c>
      <c r="B325" s="2" t="s">
        <v>557</v>
      </c>
      <c r="C325" s="2">
        <v>37</v>
      </c>
      <c r="D325" s="2">
        <v>10</v>
      </c>
      <c r="E325" s="2">
        <v>0.62</v>
      </c>
      <c r="F325" s="2">
        <v>3.7</v>
      </c>
      <c r="G325" s="2" t="s">
        <v>436</v>
      </c>
      <c r="H325">
        <f>IF(AND(OR(لوحة_القيادة!$C$4="الكل", A325=لوحة_القيادة!$C$4), IF(لوحة_القيادة!$C$5="الكل", TRUE, INDEX($V325:$AG325, 1, VALUE(لوحة_القيادة!$C$5))&gt;0)), 1, 0)</f>
        <v>0</v>
      </c>
      <c r="I325">
        <f>IF(H325=1, SUM($H$2:H325), "")</f>
        <v>0</v>
      </c>
      <c r="J325" s="2">
        <v>0</v>
      </c>
      <c r="K325" s="2">
        <v>4</v>
      </c>
      <c r="L325" s="2">
        <v>26</v>
      </c>
      <c r="M325" s="2">
        <v>3</v>
      </c>
      <c r="N325" s="2">
        <v>0</v>
      </c>
      <c r="O325" s="2">
        <v>4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3</v>
      </c>
      <c r="X325" s="2">
        <v>3</v>
      </c>
      <c r="Y325" s="2">
        <v>2</v>
      </c>
      <c r="Z325" s="2">
        <v>0</v>
      </c>
      <c r="AA325" s="2">
        <v>2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1</v>
      </c>
      <c r="AH325" s="2">
        <v>5</v>
      </c>
      <c r="AI325" s="2">
        <v>3</v>
      </c>
      <c r="AJ325" s="2">
        <v>1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1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2</v>
      </c>
      <c r="BB325" s="2">
        <v>2</v>
      </c>
      <c r="BC325" s="2">
        <v>1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1</v>
      </c>
      <c r="BN325" s="2">
        <v>1</v>
      </c>
      <c r="BO325" s="2">
        <v>0</v>
      </c>
      <c r="BP325" s="2">
        <v>0</v>
      </c>
      <c r="BQ325" s="2">
        <v>1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1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2">
        <v>0</v>
      </c>
      <c r="CX325" s="2">
        <v>0</v>
      </c>
      <c r="CY325" s="2">
        <v>0</v>
      </c>
      <c r="CZ325" s="2">
        <v>0</v>
      </c>
      <c r="DA325" s="2">
        <v>0</v>
      </c>
      <c r="DB325" s="2">
        <v>0</v>
      </c>
      <c r="DC325" s="2">
        <v>0</v>
      </c>
      <c r="DD325" s="2">
        <v>0</v>
      </c>
      <c r="DE325" s="2">
        <v>0</v>
      </c>
      <c r="DF325" s="2">
        <v>0</v>
      </c>
      <c r="DG325" s="2">
        <v>0</v>
      </c>
      <c r="DH325" s="2">
        <v>0</v>
      </c>
      <c r="DI325" s="2">
        <v>0</v>
      </c>
      <c r="DJ325" s="2">
        <v>0</v>
      </c>
      <c r="DK325" s="2">
        <v>0</v>
      </c>
      <c r="DL325" s="2">
        <v>0</v>
      </c>
      <c r="DM325" s="2">
        <v>0</v>
      </c>
      <c r="DN325" s="2">
        <v>0</v>
      </c>
      <c r="DO325" s="2">
        <v>0</v>
      </c>
      <c r="DP325" s="2">
        <v>0</v>
      </c>
      <c r="DQ325" s="2">
        <v>0</v>
      </c>
      <c r="DR325" s="2">
        <v>0</v>
      </c>
      <c r="DS325" s="2">
        <v>0</v>
      </c>
    </row>
    <row r="326" spans="1:123">
      <c r="A326" s="2" t="s">
        <v>8</v>
      </c>
      <c r="B326" s="2" t="s">
        <v>558</v>
      </c>
      <c r="C326" s="2">
        <v>36</v>
      </c>
      <c r="D326" s="2">
        <v>9</v>
      </c>
      <c r="E326" s="2">
        <v>0.6</v>
      </c>
      <c r="F326" s="2">
        <v>4</v>
      </c>
      <c r="G326" s="2" t="s">
        <v>160</v>
      </c>
      <c r="H326">
        <f>IF(AND(OR(لوحة_القيادة!$C$4="الكل", A326=لوحة_القيادة!$C$4), IF(لوحة_القيادة!$C$5="الكل", TRUE, INDEX($V326:$AG326, 1, VALUE(لوحة_القيادة!$C$5))&gt;0)), 1, 0)</f>
        <v>0</v>
      </c>
      <c r="I326">
        <f>IF(H326=1, SUM($H$2:H326), "")</f>
        <v>0</v>
      </c>
      <c r="J326" s="2">
        <v>6</v>
      </c>
      <c r="K326" s="2">
        <v>14</v>
      </c>
      <c r="L326" s="2">
        <v>1</v>
      </c>
      <c r="M326" s="2">
        <v>3</v>
      </c>
      <c r="N326" s="2">
        <v>10</v>
      </c>
      <c r="O326" s="2">
        <v>1</v>
      </c>
      <c r="P326" s="2">
        <v>1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1</v>
      </c>
      <c r="W326" s="2">
        <v>3</v>
      </c>
      <c r="X326" s="2">
        <v>1</v>
      </c>
      <c r="Y326" s="2">
        <v>1</v>
      </c>
      <c r="Z326" s="2">
        <v>1</v>
      </c>
      <c r="AA326" s="2">
        <v>1</v>
      </c>
      <c r="AB326" s="2">
        <v>1</v>
      </c>
      <c r="AC326" s="2">
        <v>0</v>
      </c>
      <c r="AD326" s="2">
        <v>0</v>
      </c>
      <c r="AE326" s="2">
        <v>0</v>
      </c>
      <c r="AF326" s="2">
        <v>0</v>
      </c>
      <c r="AG326" s="2">
        <v>1</v>
      </c>
      <c r="AH326" s="2">
        <v>0</v>
      </c>
      <c r="AI326" s="2">
        <v>1</v>
      </c>
      <c r="AJ326" s="2">
        <v>3</v>
      </c>
      <c r="AK326" s="2">
        <v>0</v>
      </c>
      <c r="AL326" s="2">
        <v>0</v>
      </c>
      <c r="AM326" s="2">
        <v>4</v>
      </c>
      <c r="AN326" s="2">
        <v>0</v>
      </c>
      <c r="AO326" s="2">
        <v>0</v>
      </c>
      <c r="AP326" s="2">
        <v>1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1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1</v>
      </c>
      <c r="BZ326" s="2">
        <v>0</v>
      </c>
      <c r="CA326" s="2">
        <v>0</v>
      </c>
      <c r="CB326" s="2">
        <v>0</v>
      </c>
      <c r="CC326" s="2">
        <v>1</v>
      </c>
      <c r="CD326" s="2">
        <v>1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>
        <v>0</v>
      </c>
      <c r="DC326" s="2">
        <v>0</v>
      </c>
      <c r="DD326" s="2">
        <v>0</v>
      </c>
      <c r="DE326" s="2">
        <v>0</v>
      </c>
      <c r="DF326" s="2">
        <v>0</v>
      </c>
      <c r="DG326" s="2">
        <v>0</v>
      </c>
      <c r="DH326" s="2">
        <v>0</v>
      </c>
      <c r="DI326" s="2">
        <v>2</v>
      </c>
      <c r="DJ326" s="2">
        <v>0</v>
      </c>
      <c r="DK326" s="2">
        <v>1</v>
      </c>
      <c r="DL326" s="2">
        <v>1</v>
      </c>
      <c r="DM326" s="2">
        <v>0</v>
      </c>
      <c r="DN326" s="2">
        <v>0</v>
      </c>
      <c r="DO326" s="2">
        <v>0</v>
      </c>
      <c r="DP326" s="2">
        <v>0</v>
      </c>
      <c r="DQ326" s="2">
        <v>0</v>
      </c>
      <c r="DR326" s="2">
        <v>0</v>
      </c>
      <c r="DS326" s="2">
        <v>0</v>
      </c>
    </row>
    <row r="327" spans="1:123">
      <c r="A327" s="2" t="s">
        <v>11</v>
      </c>
      <c r="B327" s="2" t="s">
        <v>559</v>
      </c>
      <c r="C327" s="2">
        <v>36</v>
      </c>
      <c r="D327" s="2">
        <v>4</v>
      </c>
      <c r="E327" s="2">
        <v>0.6</v>
      </c>
      <c r="F327" s="2">
        <v>9</v>
      </c>
      <c r="G327" s="2" t="s">
        <v>465</v>
      </c>
      <c r="H327">
        <f>IF(AND(OR(لوحة_القيادة!$C$4="الكل", A327=لوحة_القيادة!$C$4), IF(لوحة_القيادة!$C$5="الكل", TRUE, INDEX($V327:$AG327, 1, VALUE(لوحة_القيادة!$C$5))&gt;0)), 1, 0)</f>
        <v>0</v>
      </c>
      <c r="I327">
        <f>IF(H327=1, SUM($H$2:H327), "")</f>
        <v>0</v>
      </c>
      <c r="J327" s="2">
        <v>0</v>
      </c>
      <c r="K327" s="2">
        <v>7</v>
      </c>
      <c r="L327" s="2">
        <v>29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1</v>
      </c>
      <c r="X327" s="2">
        <v>3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1</v>
      </c>
      <c r="AH327" s="2">
        <v>0</v>
      </c>
      <c r="AI327" s="2">
        <v>0</v>
      </c>
      <c r="AJ327" s="2">
        <v>2</v>
      </c>
      <c r="AK327" s="2">
        <v>1</v>
      </c>
      <c r="AL327" s="2">
        <v>0</v>
      </c>
      <c r="AM327" s="2">
        <v>0</v>
      </c>
      <c r="AN327" s="2">
        <v>0</v>
      </c>
      <c r="AO327" s="2">
        <v>0</v>
      </c>
      <c r="AP327" s="2">
        <v>1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1</v>
      </c>
      <c r="BZ327" s="2">
        <v>1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1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  <c r="CV327" s="2">
        <v>0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  <c r="DE327" s="2">
        <v>0</v>
      </c>
      <c r="DF327" s="2">
        <v>0</v>
      </c>
      <c r="DG327" s="2">
        <v>0</v>
      </c>
      <c r="DH327" s="2">
        <v>0</v>
      </c>
      <c r="DI327" s="2">
        <v>0</v>
      </c>
      <c r="DJ327" s="2">
        <v>0</v>
      </c>
      <c r="DK327" s="2">
        <v>0</v>
      </c>
      <c r="DL327" s="2">
        <v>0</v>
      </c>
      <c r="DM327" s="2">
        <v>0</v>
      </c>
      <c r="DN327" s="2">
        <v>0</v>
      </c>
      <c r="DO327" s="2">
        <v>0</v>
      </c>
      <c r="DP327" s="2">
        <v>0</v>
      </c>
      <c r="DQ327" s="2">
        <v>0</v>
      </c>
      <c r="DR327" s="2">
        <v>0</v>
      </c>
      <c r="DS327" s="2">
        <v>0</v>
      </c>
    </row>
    <row r="328" spans="1:123">
      <c r="A328" s="2" t="s">
        <v>14</v>
      </c>
      <c r="B328" s="2" t="s">
        <v>560</v>
      </c>
      <c r="C328" s="2">
        <v>36</v>
      </c>
      <c r="D328" s="2">
        <v>5</v>
      </c>
      <c r="E328" s="2">
        <v>0.6</v>
      </c>
      <c r="F328" s="2">
        <v>7.2</v>
      </c>
      <c r="G328" s="2" t="s">
        <v>436</v>
      </c>
      <c r="H328">
        <f>IF(AND(OR(لوحة_القيادة!$C$4="الكل", A328=لوحة_القيادة!$C$4), IF(لوحة_القيادة!$C$5="الكل", TRUE, INDEX($V328:$AG328, 1, VALUE(لوحة_القيادة!$C$5))&gt;0)), 1, 0)</f>
        <v>0</v>
      </c>
      <c r="I328">
        <f>IF(H328=1, SUM($H$2:H328), "")</f>
        <v>0</v>
      </c>
      <c r="J328" s="2">
        <v>0</v>
      </c>
      <c r="K328" s="2">
        <v>8</v>
      </c>
      <c r="L328" s="2">
        <v>3</v>
      </c>
      <c r="M328" s="2">
        <v>18</v>
      </c>
      <c r="N328" s="2">
        <v>0</v>
      </c>
      <c r="O328" s="2">
        <v>7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2</v>
      </c>
      <c r="X328" s="2">
        <v>1</v>
      </c>
      <c r="Y328" s="2">
        <v>1</v>
      </c>
      <c r="Z328" s="2">
        <v>0</v>
      </c>
      <c r="AA328" s="2">
        <v>1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1</v>
      </c>
      <c r="AH328" s="2">
        <v>0</v>
      </c>
      <c r="AI328" s="2">
        <v>1</v>
      </c>
      <c r="AJ328" s="2">
        <v>1</v>
      </c>
      <c r="AK328" s="2">
        <v>0</v>
      </c>
      <c r="AL328" s="2">
        <v>0</v>
      </c>
      <c r="AM328" s="2">
        <v>2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1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1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1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0</v>
      </c>
      <c r="CW328" s="2">
        <v>0</v>
      </c>
      <c r="CX328" s="2">
        <v>0</v>
      </c>
      <c r="CY328" s="2">
        <v>0</v>
      </c>
      <c r="CZ328" s="2">
        <v>0</v>
      </c>
      <c r="DA328" s="2">
        <v>0</v>
      </c>
      <c r="DB328" s="2">
        <v>0</v>
      </c>
      <c r="DC328" s="2">
        <v>0</v>
      </c>
      <c r="DD328" s="2">
        <v>0</v>
      </c>
      <c r="DE328" s="2">
        <v>0</v>
      </c>
      <c r="DF328" s="2">
        <v>0</v>
      </c>
      <c r="DG328" s="2">
        <v>0</v>
      </c>
      <c r="DH328" s="2">
        <v>0</v>
      </c>
      <c r="DI328" s="2">
        <v>1</v>
      </c>
      <c r="DJ328" s="2">
        <v>0</v>
      </c>
      <c r="DK328" s="2">
        <v>1</v>
      </c>
      <c r="DL328" s="2">
        <v>0</v>
      </c>
      <c r="DM328" s="2">
        <v>0</v>
      </c>
      <c r="DN328" s="2">
        <v>0</v>
      </c>
      <c r="DO328" s="2">
        <v>0</v>
      </c>
      <c r="DP328" s="2">
        <v>0</v>
      </c>
      <c r="DQ328" s="2">
        <v>0</v>
      </c>
      <c r="DR328" s="2">
        <v>0</v>
      </c>
      <c r="DS328" s="2">
        <v>0</v>
      </c>
    </row>
    <row r="329" spans="1:123">
      <c r="A329" s="2" t="s">
        <v>16</v>
      </c>
      <c r="B329" s="2" t="s">
        <v>561</v>
      </c>
      <c r="C329" s="2">
        <v>36</v>
      </c>
      <c r="D329" s="2">
        <v>11</v>
      </c>
      <c r="E329" s="2">
        <v>0.6</v>
      </c>
      <c r="F329" s="2">
        <v>3.27</v>
      </c>
      <c r="G329" s="2" t="s">
        <v>306</v>
      </c>
      <c r="H329">
        <f>IF(AND(OR(لوحة_القيادة!$C$4="الكل", A329=لوحة_القيادة!$C$4), IF(لوحة_القيادة!$C$5="الكل", TRUE, INDEX($V329:$AG329, 1, VALUE(لوحة_القيادة!$C$5))&gt;0)), 1, 0)</f>
        <v>0</v>
      </c>
      <c r="I329">
        <f>IF(H329=1, SUM($H$2:H329), "")</f>
        <v>0</v>
      </c>
      <c r="J329" s="2">
        <v>8</v>
      </c>
      <c r="K329" s="2">
        <v>0</v>
      </c>
      <c r="L329" s="2">
        <v>18</v>
      </c>
      <c r="M329" s="2">
        <v>4</v>
      </c>
      <c r="N329" s="2">
        <v>5</v>
      </c>
      <c r="O329" s="2">
        <v>1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1</v>
      </c>
      <c r="W329" s="2">
        <v>0</v>
      </c>
      <c r="X329" s="2">
        <v>6</v>
      </c>
      <c r="Y329" s="2">
        <v>1</v>
      </c>
      <c r="Z329" s="2">
        <v>2</v>
      </c>
      <c r="AA329" s="2">
        <v>1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5</v>
      </c>
      <c r="AH329" s="2">
        <v>1</v>
      </c>
      <c r="AI329" s="2">
        <v>1</v>
      </c>
      <c r="AJ329" s="2">
        <v>3</v>
      </c>
      <c r="AK329" s="2">
        <v>0</v>
      </c>
      <c r="AL329" s="2">
        <v>0</v>
      </c>
      <c r="AM329" s="2">
        <v>1</v>
      </c>
      <c r="AN329" s="2">
        <v>0</v>
      </c>
      <c r="AO329" s="2">
        <v>0</v>
      </c>
      <c r="AP329" s="2">
        <v>3</v>
      </c>
      <c r="AQ329" s="2">
        <v>0</v>
      </c>
      <c r="AR329" s="2">
        <v>1</v>
      </c>
      <c r="AS329" s="2">
        <v>1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1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1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1</v>
      </c>
      <c r="BY329" s="2">
        <v>0</v>
      </c>
      <c r="BZ329" s="2">
        <v>1</v>
      </c>
      <c r="CA329" s="2">
        <v>0</v>
      </c>
      <c r="CB329" s="2">
        <v>1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0</v>
      </c>
      <c r="CW329" s="2">
        <v>0</v>
      </c>
      <c r="CX329" s="2">
        <v>0</v>
      </c>
      <c r="CY329" s="2">
        <v>0</v>
      </c>
      <c r="CZ329" s="2">
        <v>0</v>
      </c>
      <c r="DA329" s="2">
        <v>0</v>
      </c>
      <c r="DB329" s="2">
        <v>0</v>
      </c>
      <c r="DC329" s="2">
        <v>0</v>
      </c>
      <c r="DD329" s="2">
        <v>0</v>
      </c>
      <c r="DE329" s="2">
        <v>0</v>
      </c>
      <c r="DF329" s="2">
        <v>0</v>
      </c>
      <c r="DG329" s="2">
        <v>0</v>
      </c>
      <c r="DH329" s="2">
        <v>0</v>
      </c>
      <c r="DI329" s="2">
        <v>0</v>
      </c>
      <c r="DJ329" s="2">
        <v>1</v>
      </c>
      <c r="DK329" s="2">
        <v>0</v>
      </c>
      <c r="DL329" s="2">
        <v>0</v>
      </c>
      <c r="DM329" s="2">
        <v>0</v>
      </c>
      <c r="DN329" s="2">
        <v>0</v>
      </c>
      <c r="DO329" s="2">
        <v>0</v>
      </c>
      <c r="DP329" s="2">
        <v>0</v>
      </c>
      <c r="DQ329" s="2">
        <v>0</v>
      </c>
      <c r="DR329" s="2">
        <v>0</v>
      </c>
      <c r="DS329" s="2">
        <v>0</v>
      </c>
    </row>
    <row r="330" spans="1:123">
      <c r="A330" s="2" t="s">
        <v>22</v>
      </c>
      <c r="B330" s="2" t="s">
        <v>562</v>
      </c>
      <c r="C330" s="2">
        <v>36</v>
      </c>
      <c r="D330" s="2">
        <v>8</v>
      </c>
      <c r="E330" s="2">
        <v>0.6</v>
      </c>
      <c r="F330" s="2">
        <v>4.5</v>
      </c>
      <c r="G330" s="2" t="s">
        <v>563</v>
      </c>
      <c r="H330">
        <f>IF(AND(OR(لوحة_القيادة!$C$4="الكل", A330=لوحة_القيادة!$C$4), IF(لوحة_القيادة!$C$5="الكل", TRUE, INDEX($V330:$AG330, 1, VALUE(لوحة_القيادة!$C$5))&gt;0)), 1, 0)</f>
        <v>0</v>
      </c>
      <c r="I330">
        <f>IF(H330=1, SUM($H$2:H330), "")</f>
        <v>0</v>
      </c>
      <c r="J330" s="2">
        <v>6</v>
      </c>
      <c r="K330" s="2">
        <v>0</v>
      </c>
      <c r="L330" s="2">
        <v>0</v>
      </c>
      <c r="M330" s="2">
        <v>16</v>
      </c>
      <c r="N330" s="2">
        <v>5</v>
      </c>
      <c r="O330" s="2">
        <v>9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1</v>
      </c>
      <c r="W330" s="2">
        <v>0</v>
      </c>
      <c r="X330" s="2">
        <v>0</v>
      </c>
      <c r="Y330" s="2">
        <v>4</v>
      </c>
      <c r="Z330" s="2">
        <v>1</v>
      </c>
      <c r="AA330" s="2">
        <v>2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1</v>
      </c>
      <c r="AH330" s="2">
        <v>3</v>
      </c>
      <c r="AI330" s="2">
        <v>1</v>
      </c>
      <c r="AJ330" s="2">
        <v>1</v>
      </c>
      <c r="AK330" s="2">
        <v>0</v>
      </c>
      <c r="AL330" s="2">
        <v>0</v>
      </c>
      <c r="AM330" s="2">
        <v>2</v>
      </c>
      <c r="AN330" s="2">
        <v>1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2</v>
      </c>
      <c r="BD330" s="2">
        <v>1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1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1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0</v>
      </c>
      <c r="CW330" s="2">
        <v>0</v>
      </c>
      <c r="CX330" s="2">
        <v>0</v>
      </c>
      <c r="CY330" s="2">
        <v>0</v>
      </c>
      <c r="CZ330" s="2">
        <v>0</v>
      </c>
      <c r="DA330" s="2">
        <v>0</v>
      </c>
      <c r="DB330" s="2">
        <v>0</v>
      </c>
      <c r="DC330" s="2">
        <v>0</v>
      </c>
      <c r="DD330" s="2">
        <v>0</v>
      </c>
      <c r="DE330" s="2">
        <v>0</v>
      </c>
      <c r="DF330" s="2">
        <v>0</v>
      </c>
      <c r="DG330" s="2">
        <v>0</v>
      </c>
      <c r="DH330" s="2">
        <v>0</v>
      </c>
      <c r="DI330" s="2">
        <v>0</v>
      </c>
      <c r="DJ330" s="2">
        <v>0</v>
      </c>
      <c r="DK330" s="2">
        <v>1</v>
      </c>
      <c r="DL330" s="2">
        <v>0</v>
      </c>
      <c r="DM330" s="2">
        <v>1</v>
      </c>
      <c r="DN330" s="2">
        <v>0</v>
      </c>
      <c r="DO330" s="2">
        <v>0</v>
      </c>
      <c r="DP330" s="2">
        <v>0</v>
      </c>
      <c r="DQ330" s="2">
        <v>0</v>
      </c>
      <c r="DR330" s="2">
        <v>0</v>
      </c>
      <c r="DS330" s="2">
        <v>0</v>
      </c>
    </row>
    <row r="331" spans="1:123">
      <c r="A331" s="2" t="s">
        <v>16</v>
      </c>
      <c r="B331" s="2" t="s">
        <v>564</v>
      </c>
      <c r="C331" s="2">
        <v>35</v>
      </c>
      <c r="D331" s="2">
        <v>3</v>
      </c>
      <c r="E331" s="2">
        <v>0.58</v>
      </c>
      <c r="F331" s="2">
        <v>11.67</v>
      </c>
      <c r="G331" s="2" t="s">
        <v>465</v>
      </c>
      <c r="H331">
        <f>IF(AND(OR(لوحة_القيادة!$C$4="الكل", A331=لوحة_القيادة!$C$4), IF(لوحة_القيادة!$C$5="الكل", TRUE, INDEX($V331:$AG331, 1, VALUE(لوحة_القيادة!$C$5))&gt;0)), 1, 0)</f>
        <v>0</v>
      </c>
      <c r="I331">
        <f>IF(H331=1, SUM($H$2:H331), "")</f>
        <v>0</v>
      </c>
      <c r="J331" s="2">
        <v>0</v>
      </c>
      <c r="K331" s="2">
        <v>4</v>
      </c>
      <c r="L331" s="2">
        <v>31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1</v>
      </c>
      <c r="X331" s="2">
        <v>2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2</v>
      </c>
      <c r="AI331" s="2">
        <v>1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2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1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0</v>
      </c>
      <c r="DB331" s="2">
        <v>0</v>
      </c>
      <c r="DC331" s="2">
        <v>0</v>
      </c>
      <c r="DD331" s="2">
        <v>0</v>
      </c>
      <c r="DE331" s="2">
        <v>0</v>
      </c>
      <c r="DF331" s="2">
        <v>0</v>
      </c>
      <c r="DG331" s="2">
        <v>0</v>
      </c>
      <c r="DH331" s="2">
        <v>0</v>
      </c>
      <c r="DI331" s="2">
        <v>0</v>
      </c>
      <c r="DJ331" s="2">
        <v>0</v>
      </c>
      <c r="DK331" s="2">
        <v>0</v>
      </c>
      <c r="DL331" s="2">
        <v>0</v>
      </c>
      <c r="DM331" s="2">
        <v>0</v>
      </c>
      <c r="DN331" s="2">
        <v>0</v>
      </c>
      <c r="DO331" s="2">
        <v>0</v>
      </c>
      <c r="DP331" s="2">
        <v>0</v>
      </c>
      <c r="DQ331" s="2">
        <v>0</v>
      </c>
      <c r="DR331" s="2">
        <v>0</v>
      </c>
      <c r="DS331" s="2">
        <v>0</v>
      </c>
    </row>
    <row r="332" spans="1:123">
      <c r="A332" s="2" t="s">
        <v>19</v>
      </c>
      <c r="B332" s="2" t="s">
        <v>565</v>
      </c>
      <c r="C332" s="2">
        <v>35</v>
      </c>
      <c r="D332" s="2">
        <v>2</v>
      </c>
      <c r="E332" s="2">
        <v>0.58</v>
      </c>
      <c r="F332" s="2">
        <v>17.5</v>
      </c>
      <c r="G332" s="2" t="s">
        <v>566</v>
      </c>
      <c r="H332">
        <f>IF(AND(OR(لوحة_القيادة!$C$4="الكل", A332=لوحة_القيادة!$C$4), IF(لوحة_القيادة!$C$5="الكل", TRUE, INDEX($V332:$AG332, 1, VALUE(لوحة_القيادة!$C$5))&gt;0)), 1, 0)</f>
        <v>0</v>
      </c>
      <c r="I332">
        <f>IF(H332=1, SUM($H$2:H332), "")</f>
        <v>0</v>
      </c>
      <c r="J332" s="2">
        <v>33</v>
      </c>
      <c r="K332" s="2">
        <v>0</v>
      </c>
      <c r="L332" s="2">
        <v>2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1</v>
      </c>
      <c r="W332" s="2">
        <v>0</v>
      </c>
      <c r="X332" s="2">
        <v>1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1</v>
      </c>
      <c r="AK332" s="2">
        <v>0</v>
      </c>
      <c r="AL332" s="2">
        <v>0</v>
      </c>
      <c r="AM332" s="2">
        <v>1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1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0</v>
      </c>
      <c r="DB332" s="2">
        <v>0</v>
      </c>
      <c r="DC332" s="2">
        <v>0</v>
      </c>
      <c r="DD332" s="2">
        <v>0</v>
      </c>
      <c r="DE332" s="2">
        <v>0</v>
      </c>
      <c r="DF332" s="2">
        <v>0</v>
      </c>
      <c r="DG332" s="2">
        <v>0</v>
      </c>
      <c r="DH332" s="2">
        <v>0</v>
      </c>
      <c r="DI332" s="2">
        <v>0</v>
      </c>
      <c r="DJ332" s="2">
        <v>1</v>
      </c>
      <c r="DK332" s="2">
        <v>0</v>
      </c>
      <c r="DL332" s="2">
        <v>0</v>
      </c>
      <c r="DM332" s="2">
        <v>0</v>
      </c>
      <c r="DN332" s="2">
        <v>0</v>
      </c>
      <c r="DO332" s="2">
        <v>0</v>
      </c>
      <c r="DP332" s="2">
        <v>0</v>
      </c>
      <c r="DQ332" s="2">
        <v>0</v>
      </c>
      <c r="DR332" s="2">
        <v>0</v>
      </c>
      <c r="DS332" s="2">
        <v>0</v>
      </c>
    </row>
    <row r="333" spans="1:123">
      <c r="A333" s="2" t="s">
        <v>16</v>
      </c>
      <c r="B333" s="2" t="s">
        <v>567</v>
      </c>
      <c r="C333" s="2">
        <v>34</v>
      </c>
      <c r="D333" s="2">
        <v>2</v>
      </c>
      <c r="E333" s="2">
        <v>0.57</v>
      </c>
      <c r="F333" s="2">
        <v>17</v>
      </c>
      <c r="G333" s="2" t="s">
        <v>463</v>
      </c>
      <c r="H333">
        <f>IF(AND(OR(لوحة_القيادة!$C$4="الكل", A333=لوحة_القيادة!$C$4), IF(لوحة_القيادة!$C$5="الكل", TRUE, INDEX($V333:$AG333, 1, VALUE(لوحة_القيادة!$C$5))&gt;0)), 1, 0)</f>
        <v>0</v>
      </c>
      <c r="I333">
        <f>IF(H333=1, SUM($H$2:H333), "")</f>
        <v>0</v>
      </c>
      <c r="J333" s="2">
        <v>0</v>
      </c>
      <c r="K333" s="2">
        <v>0</v>
      </c>
      <c r="L333" s="2">
        <v>0</v>
      </c>
      <c r="M333" s="2">
        <v>3</v>
      </c>
      <c r="N333" s="2">
        <v>0</v>
      </c>
      <c r="O333" s="2">
        <v>31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1</v>
      </c>
      <c r="Z333" s="2">
        <v>0</v>
      </c>
      <c r="AA333" s="2">
        <v>1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1</v>
      </c>
      <c r="AI333" s="2">
        <v>0</v>
      </c>
      <c r="AJ333" s="2">
        <v>0</v>
      </c>
      <c r="AK333" s="2">
        <v>0</v>
      </c>
      <c r="AL333" s="2">
        <v>0</v>
      </c>
      <c r="AM333" s="2">
        <v>1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1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0</v>
      </c>
      <c r="DB333" s="2">
        <v>0</v>
      </c>
      <c r="DC333" s="2">
        <v>0</v>
      </c>
      <c r="DD333" s="2">
        <v>0</v>
      </c>
      <c r="DE333" s="2">
        <v>0</v>
      </c>
      <c r="DF333" s="2">
        <v>0</v>
      </c>
      <c r="DG333" s="2">
        <v>0</v>
      </c>
      <c r="DH333" s="2">
        <v>0</v>
      </c>
      <c r="DI333" s="2">
        <v>0</v>
      </c>
      <c r="DJ333" s="2">
        <v>0</v>
      </c>
      <c r="DK333" s="2">
        <v>1</v>
      </c>
      <c r="DL333" s="2">
        <v>0</v>
      </c>
      <c r="DM333" s="2">
        <v>0</v>
      </c>
      <c r="DN333" s="2">
        <v>0</v>
      </c>
      <c r="DO333" s="2">
        <v>0</v>
      </c>
      <c r="DP333" s="2">
        <v>0</v>
      </c>
      <c r="DQ333" s="2">
        <v>0</v>
      </c>
      <c r="DR333" s="2">
        <v>0</v>
      </c>
      <c r="DS333" s="2">
        <v>0</v>
      </c>
    </row>
    <row r="334" spans="1:123">
      <c r="A334" s="2" t="s">
        <v>17</v>
      </c>
      <c r="B334" s="2" t="s">
        <v>568</v>
      </c>
      <c r="C334" s="2">
        <v>34</v>
      </c>
      <c r="D334" s="2">
        <v>2</v>
      </c>
      <c r="E334" s="2">
        <v>0.57</v>
      </c>
      <c r="F334" s="2">
        <v>17</v>
      </c>
      <c r="G334" s="2" t="s">
        <v>481</v>
      </c>
      <c r="H334">
        <f>IF(AND(OR(لوحة_القيادة!$C$4="الكل", A334=لوحة_القيادة!$C$4), IF(لوحة_القيادة!$C$5="الكل", TRUE, INDEX($V334:$AG334, 1, VALUE(لوحة_القيادة!$C$5))&gt;0)), 1, 0)</f>
        <v>0</v>
      </c>
      <c r="I334">
        <f>IF(H334=1, SUM($H$2:H334), "")</f>
        <v>0</v>
      </c>
      <c r="J334" s="2">
        <v>0</v>
      </c>
      <c r="K334" s="2">
        <v>0</v>
      </c>
      <c r="L334" s="2">
        <v>27</v>
      </c>
      <c r="M334" s="2">
        <v>0</v>
      </c>
      <c r="N334" s="2">
        <v>0</v>
      </c>
      <c r="O334" s="2">
        <v>0</v>
      </c>
      <c r="P334" s="2">
        <v>7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1</v>
      </c>
      <c r="Y334" s="2">
        <v>0</v>
      </c>
      <c r="Z334" s="2">
        <v>0</v>
      </c>
      <c r="AA334" s="2">
        <v>0</v>
      </c>
      <c r="AB334" s="2">
        <v>1</v>
      </c>
      <c r="AC334" s="2">
        <v>0</v>
      </c>
      <c r="AD334" s="2">
        <v>0</v>
      </c>
      <c r="AE334" s="2">
        <v>0</v>
      </c>
      <c r="AF334" s="2">
        <v>0</v>
      </c>
      <c r="AG334" s="2">
        <v>1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1</v>
      </c>
      <c r="AN334" s="2">
        <v>0</v>
      </c>
      <c r="AO334" s="2">
        <v>0</v>
      </c>
      <c r="AP334" s="2">
        <v>1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0</v>
      </c>
      <c r="DB334" s="2">
        <v>0</v>
      </c>
      <c r="DC334" s="2">
        <v>0</v>
      </c>
      <c r="DD334" s="2">
        <v>0</v>
      </c>
      <c r="DE334" s="2">
        <v>0</v>
      </c>
      <c r="DF334" s="2">
        <v>0</v>
      </c>
      <c r="DG334" s="2">
        <v>0</v>
      </c>
      <c r="DH334" s="2">
        <v>0</v>
      </c>
      <c r="DI334" s="2">
        <v>0</v>
      </c>
      <c r="DJ334" s="2">
        <v>0</v>
      </c>
      <c r="DK334" s="2">
        <v>0</v>
      </c>
      <c r="DL334" s="2">
        <v>0</v>
      </c>
      <c r="DM334" s="2">
        <v>0</v>
      </c>
      <c r="DN334" s="2">
        <v>1</v>
      </c>
      <c r="DO334" s="2">
        <v>0</v>
      </c>
      <c r="DP334" s="2">
        <v>0</v>
      </c>
      <c r="DQ334" s="2">
        <v>0</v>
      </c>
      <c r="DR334" s="2">
        <v>0</v>
      </c>
      <c r="DS334" s="2">
        <v>0</v>
      </c>
    </row>
    <row r="335" spans="1:123">
      <c r="A335" s="2" t="s">
        <v>16</v>
      </c>
      <c r="B335" s="2" t="s">
        <v>569</v>
      </c>
      <c r="C335" s="2">
        <v>33</v>
      </c>
      <c r="D335" s="2">
        <v>1</v>
      </c>
      <c r="E335" s="2">
        <v>0.55</v>
      </c>
      <c r="F335" s="2">
        <v>33</v>
      </c>
      <c r="G335" s="2" t="s">
        <v>28</v>
      </c>
      <c r="H335">
        <f>IF(AND(OR(لوحة_القيادة!$C$4="الكل", A335=لوحة_القيادة!$C$4), IF(لوحة_القيادة!$C$5="الكل", TRUE, INDEX($V335:$AG335, 1, VALUE(لوحة_القيادة!$C$5))&gt;0)), 1, 0)</f>
        <v>0</v>
      </c>
      <c r="I335">
        <f>IF(H335=1, SUM($H$2:H335), "")</f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33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1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1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1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0</v>
      </c>
      <c r="DB335" s="2">
        <v>0</v>
      </c>
      <c r="DC335" s="2">
        <v>0</v>
      </c>
      <c r="DD335" s="2">
        <v>0</v>
      </c>
      <c r="DE335" s="2">
        <v>0</v>
      </c>
      <c r="DF335" s="2">
        <v>0</v>
      </c>
      <c r="DG335" s="2">
        <v>0</v>
      </c>
      <c r="DH335" s="2">
        <v>0</v>
      </c>
      <c r="DI335" s="2">
        <v>0</v>
      </c>
      <c r="DJ335" s="2">
        <v>0</v>
      </c>
      <c r="DK335" s="2">
        <v>0</v>
      </c>
      <c r="DL335" s="2">
        <v>0</v>
      </c>
      <c r="DM335" s="2">
        <v>0</v>
      </c>
      <c r="DN335" s="2">
        <v>0</v>
      </c>
      <c r="DO335" s="2">
        <v>0</v>
      </c>
      <c r="DP335" s="2">
        <v>0</v>
      </c>
      <c r="DQ335" s="2">
        <v>0</v>
      </c>
      <c r="DR335" s="2">
        <v>0</v>
      </c>
      <c r="DS335" s="2">
        <v>0</v>
      </c>
    </row>
    <row r="336" spans="1:123">
      <c r="A336" s="2" t="s">
        <v>6</v>
      </c>
      <c r="B336" s="2" t="s">
        <v>570</v>
      </c>
      <c r="C336" s="2">
        <v>31</v>
      </c>
      <c r="D336" s="2">
        <v>5</v>
      </c>
      <c r="E336" s="2">
        <v>0.52</v>
      </c>
      <c r="F336" s="2">
        <v>6.2</v>
      </c>
      <c r="G336" s="2" t="s">
        <v>571</v>
      </c>
      <c r="H336">
        <f>IF(AND(OR(لوحة_القيادة!$C$4="الكل", A336=لوحة_القيادة!$C$4), IF(لوحة_القيادة!$C$5="الكل", TRUE, INDEX($V336:$AG336, 1, VALUE(لوحة_القيادة!$C$5))&gt;0)), 1, 0)</f>
        <v>0</v>
      </c>
      <c r="I336">
        <f>IF(H336=1, SUM($H$2:H336), "")</f>
        <v>0</v>
      </c>
      <c r="J336" s="2">
        <v>3</v>
      </c>
      <c r="K336" s="2">
        <v>0</v>
      </c>
      <c r="L336" s="2">
        <v>4</v>
      </c>
      <c r="M336" s="2">
        <v>13</v>
      </c>
      <c r="N336" s="2">
        <v>0</v>
      </c>
      <c r="O336" s="2">
        <v>0</v>
      </c>
      <c r="P336" s="2">
        <v>11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1</v>
      </c>
      <c r="W336" s="2">
        <v>0</v>
      </c>
      <c r="X336" s="2">
        <v>1</v>
      </c>
      <c r="Y336" s="2">
        <v>2</v>
      </c>
      <c r="Z336" s="2">
        <v>0</v>
      </c>
      <c r="AA336" s="2">
        <v>0</v>
      </c>
      <c r="AB336" s="2">
        <v>1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2</v>
      </c>
      <c r="AI336" s="2">
        <v>3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2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1</v>
      </c>
      <c r="BM336" s="2">
        <v>0</v>
      </c>
      <c r="BN336" s="2">
        <v>1</v>
      </c>
      <c r="BO336" s="2">
        <v>0</v>
      </c>
      <c r="BP336" s="2">
        <v>0</v>
      </c>
      <c r="BQ336" s="2">
        <v>0</v>
      </c>
      <c r="BR336" s="2">
        <v>1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0</v>
      </c>
      <c r="DB336" s="2">
        <v>0</v>
      </c>
      <c r="DC336" s="2">
        <v>0</v>
      </c>
      <c r="DD336" s="2">
        <v>0</v>
      </c>
      <c r="DE336" s="2">
        <v>0</v>
      </c>
      <c r="DF336" s="2">
        <v>0</v>
      </c>
      <c r="DG336" s="2">
        <v>0</v>
      </c>
      <c r="DH336" s="2">
        <v>0</v>
      </c>
      <c r="DI336" s="2">
        <v>0</v>
      </c>
      <c r="DJ336" s="2">
        <v>0</v>
      </c>
      <c r="DK336" s="2">
        <v>0</v>
      </c>
      <c r="DL336" s="2">
        <v>0</v>
      </c>
      <c r="DM336" s="2">
        <v>0</v>
      </c>
      <c r="DN336" s="2">
        <v>0</v>
      </c>
      <c r="DO336" s="2">
        <v>0</v>
      </c>
      <c r="DP336" s="2">
        <v>0</v>
      </c>
      <c r="DQ336" s="2">
        <v>0</v>
      </c>
      <c r="DR336" s="2">
        <v>0</v>
      </c>
      <c r="DS336" s="2">
        <v>0</v>
      </c>
    </row>
    <row r="337" spans="1:123">
      <c r="A337" s="2" t="s">
        <v>10</v>
      </c>
      <c r="B337" s="2" t="s">
        <v>572</v>
      </c>
      <c r="C337" s="2">
        <v>31</v>
      </c>
      <c r="D337" s="2">
        <v>1</v>
      </c>
      <c r="E337" s="2">
        <v>0.52</v>
      </c>
      <c r="F337" s="2">
        <v>31</v>
      </c>
      <c r="G337" s="2" t="s">
        <v>28</v>
      </c>
      <c r="H337">
        <f>IF(AND(OR(لوحة_القيادة!$C$4="الكل", A337=لوحة_القيادة!$C$4), IF(لوحة_القيادة!$C$5="الكل", TRUE, INDEX($V337:$AG337, 1, VALUE(لوحة_القيادة!$C$5))&gt;0)), 1, 0)</f>
        <v>0</v>
      </c>
      <c r="I337">
        <f>IF(H337=1, SUM($H$2:H337), "")</f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31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1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1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1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0</v>
      </c>
      <c r="DB337" s="2">
        <v>0</v>
      </c>
      <c r="DC337" s="2">
        <v>0</v>
      </c>
      <c r="DD337" s="2">
        <v>0</v>
      </c>
      <c r="DE337" s="2">
        <v>0</v>
      </c>
      <c r="DF337" s="2">
        <v>0</v>
      </c>
      <c r="DG337" s="2">
        <v>0</v>
      </c>
      <c r="DH337" s="2">
        <v>0</v>
      </c>
      <c r="DI337" s="2">
        <v>0</v>
      </c>
      <c r="DJ337" s="2">
        <v>0</v>
      </c>
      <c r="DK337" s="2">
        <v>0</v>
      </c>
      <c r="DL337" s="2">
        <v>0</v>
      </c>
      <c r="DM337" s="2">
        <v>0</v>
      </c>
      <c r="DN337" s="2">
        <v>0</v>
      </c>
      <c r="DO337" s="2">
        <v>0</v>
      </c>
      <c r="DP337" s="2">
        <v>0</v>
      </c>
      <c r="DQ337" s="2">
        <v>0</v>
      </c>
      <c r="DR337" s="2">
        <v>0</v>
      </c>
      <c r="DS337" s="2">
        <v>0</v>
      </c>
    </row>
    <row r="338" spans="1:123">
      <c r="A338" s="2" t="s">
        <v>8</v>
      </c>
      <c r="B338" s="2" t="s">
        <v>573</v>
      </c>
      <c r="C338" s="2">
        <v>30</v>
      </c>
      <c r="D338" s="2">
        <v>5</v>
      </c>
      <c r="E338" s="2">
        <v>0.5</v>
      </c>
      <c r="F338" s="2">
        <v>6</v>
      </c>
      <c r="G338" s="2" t="s">
        <v>513</v>
      </c>
      <c r="H338">
        <f>IF(AND(OR(لوحة_القيادة!$C$4="الكل", A338=لوحة_القيادة!$C$4), IF(لوحة_القيادة!$C$5="الكل", TRUE, INDEX($V338:$AG338, 1, VALUE(لوحة_القيادة!$C$5))&gt;0)), 1, 0)</f>
        <v>0</v>
      </c>
      <c r="I338">
        <f>IF(H338=1, SUM($H$2:H338), "")</f>
        <v>0</v>
      </c>
      <c r="J338" s="2">
        <v>0</v>
      </c>
      <c r="K338" s="2">
        <v>8</v>
      </c>
      <c r="L338" s="2">
        <v>4</v>
      </c>
      <c r="M338" s="2">
        <v>3</v>
      </c>
      <c r="N338" s="2">
        <v>15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2</v>
      </c>
      <c r="X338" s="2">
        <v>1</v>
      </c>
      <c r="Y338" s="2">
        <v>1</v>
      </c>
      <c r="Z338" s="2">
        <v>1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1</v>
      </c>
      <c r="AH338" s="2">
        <v>2</v>
      </c>
      <c r="AI338" s="2">
        <v>1</v>
      </c>
      <c r="AJ338" s="2">
        <v>0</v>
      </c>
      <c r="AK338" s="2">
        <v>0</v>
      </c>
      <c r="AL338" s="2">
        <v>0</v>
      </c>
      <c r="AM338" s="2">
        <v>1</v>
      </c>
      <c r="AN338" s="2">
        <v>0</v>
      </c>
      <c r="AO338" s="2">
        <v>0</v>
      </c>
      <c r="AP338" s="2">
        <v>0</v>
      </c>
      <c r="AQ338" s="2">
        <v>0</v>
      </c>
      <c r="AR338" s="2">
        <v>1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1</v>
      </c>
      <c r="BB338" s="2">
        <v>0</v>
      </c>
      <c r="BC338" s="2">
        <v>1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1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0</v>
      </c>
      <c r="DB338" s="2">
        <v>0</v>
      </c>
      <c r="DC338" s="2">
        <v>0</v>
      </c>
      <c r="DD338" s="2">
        <v>0</v>
      </c>
      <c r="DE338" s="2">
        <v>0</v>
      </c>
      <c r="DF338" s="2">
        <v>0</v>
      </c>
      <c r="DG338" s="2">
        <v>0</v>
      </c>
      <c r="DH338" s="2">
        <v>0</v>
      </c>
      <c r="DI338" s="2">
        <v>0</v>
      </c>
      <c r="DJ338" s="2">
        <v>1</v>
      </c>
      <c r="DK338" s="2">
        <v>0</v>
      </c>
      <c r="DL338" s="2">
        <v>0</v>
      </c>
      <c r="DM338" s="2">
        <v>0</v>
      </c>
      <c r="DN338" s="2">
        <v>0</v>
      </c>
      <c r="DO338" s="2">
        <v>0</v>
      </c>
      <c r="DP338" s="2">
        <v>0</v>
      </c>
      <c r="DQ338" s="2">
        <v>0</v>
      </c>
      <c r="DR338" s="2">
        <v>0</v>
      </c>
      <c r="DS338" s="2">
        <v>0</v>
      </c>
    </row>
    <row r="339" spans="1:123">
      <c r="A339" s="2" t="s">
        <v>16</v>
      </c>
      <c r="B339" s="2" t="s">
        <v>574</v>
      </c>
      <c r="C339" s="2">
        <v>30</v>
      </c>
      <c r="D339" s="2">
        <v>9</v>
      </c>
      <c r="E339" s="2">
        <v>0.5</v>
      </c>
      <c r="F339" s="2">
        <v>3.33</v>
      </c>
      <c r="G339" s="2" t="s">
        <v>252</v>
      </c>
      <c r="H339">
        <f>IF(AND(OR(لوحة_القيادة!$C$4="الكل", A339=لوحة_القيادة!$C$4), IF(لوحة_القيادة!$C$5="الكل", TRUE, INDEX($V339:$AG339, 1, VALUE(لوحة_القيادة!$C$5))&gt;0)), 1, 0)</f>
        <v>0</v>
      </c>
      <c r="I339">
        <f>IF(H339=1, SUM($H$2:H339), "")</f>
        <v>0</v>
      </c>
      <c r="J339" s="2">
        <v>11</v>
      </c>
      <c r="K339" s="2">
        <v>2</v>
      </c>
      <c r="L339" s="2">
        <v>7</v>
      </c>
      <c r="M339" s="2">
        <v>1</v>
      </c>
      <c r="N339" s="2">
        <v>2</v>
      </c>
      <c r="O339" s="2">
        <v>0</v>
      </c>
      <c r="P339" s="2">
        <v>7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3</v>
      </c>
      <c r="W339" s="2">
        <v>1</v>
      </c>
      <c r="X339" s="2">
        <v>1</v>
      </c>
      <c r="Y339" s="2">
        <v>1</v>
      </c>
      <c r="Z339" s="2">
        <v>1</v>
      </c>
      <c r="AA339" s="2">
        <v>0</v>
      </c>
      <c r="AB339" s="2">
        <v>2</v>
      </c>
      <c r="AC339" s="2">
        <v>0</v>
      </c>
      <c r="AD339" s="2">
        <v>0</v>
      </c>
      <c r="AE339" s="2">
        <v>0</v>
      </c>
      <c r="AF339" s="2">
        <v>0</v>
      </c>
      <c r="AG339" s="2">
        <v>1</v>
      </c>
      <c r="AH339" s="2">
        <v>1</v>
      </c>
      <c r="AI339" s="2">
        <v>0</v>
      </c>
      <c r="AJ339" s="2">
        <v>3</v>
      </c>
      <c r="AK339" s="2">
        <v>0</v>
      </c>
      <c r="AL339" s="2">
        <v>0</v>
      </c>
      <c r="AM339" s="2">
        <v>4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1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1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1</v>
      </c>
      <c r="BY339" s="2">
        <v>0</v>
      </c>
      <c r="BZ339" s="2">
        <v>1</v>
      </c>
      <c r="CA339" s="2">
        <v>1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0</v>
      </c>
      <c r="DB339" s="2">
        <v>0</v>
      </c>
      <c r="DC339" s="2">
        <v>0</v>
      </c>
      <c r="DD339" s="2">
        <v>0</v>
      </c>
      <c r="DE339" s="2">
        <v>0</v>
      </c>
      <c r="DF339" s="2">
        <v>0</v>
      </c>
      <c r="DG339" s="2">
        <v>0</v>
      </c>
      <c r="DH339" s="2">
        <v>2</v>
      </c>
      <c r="DI339" s="2">
        <v>1</v>
      </c>
      <c r="DJ339" s="2">
        <v>0</v>
      </c>
      <c r="DK339" s="2">
        <v>0</v>
      </c>
      <c r="DL339" s="2">
        <v>1</v>
      </c>
      <c r="DM339" s="2">
        <v>0</v>
      </c>
      <c r="DN339" s="2">
        <v>0</v>
      </c>
      <c r="DO339" s="2">
        <v>0</v>
      </c>
      <c r="DP339" s="2">
        <v>0</v>
      </c>
      <c r="DQ339" s="2">
        <v>0</v>
      </c>
      <c r="DR339" s="2">
        <v>0</v>
      </c>
      <c r="DS339" s="2">
        <v>0</v>
      </c>
    </row>
    <row r="340" spans="1:123">
      <c r="A340" s="2" t="s">
        <v>5</v>
      </c>
      <c r="B340" s="2" t="s">
        <v>575</v>
      </c>
      <c r="C340" s="2">
        <v>29</v>
      </c>
      <c r="D340" s="2">
        <v>8</v>
      </c>
      <c r="E340" s="2">
        <v>0.48</v>
      </c>
      <c r="F340" s="2">
        <v>3.62</v>
      </c>
      <c r="G340" s="2" t="s">
        <v>170</v>
      </c>
      <c r="H340">
        <f>IF(AND(OR(لوحة_القيادة!$C$4="الكل", A340=لوحة_القيادة!$C$4), IF(لوحة_القيادة!$C$5="الكل", TRUE, INDEX($V340:$AG340, 1, VALUE(لوحة_القيادة!$C$5))&gt;0)), 1, 0)</f>
        <v>0</v>
      </c>
      <c r="I340">
        <f>IF(H340=1, SUM($H$2:H340), "")</f>
        <v>0</v>
      </c>
      <c r="J340" s="2">
        <v>6</v>
      </c>
      <c r="K340" s="2">
        <v>1</v>
      </c>
      <c r="L340" s="2">
        <v>8</v>
      </c>
      <c r="M340" s="2">
        <v>1</v>
      </c>
      <c r="N340" s="2">
        <v>7</v>
      </c>
      <c r="O340" s="2">
        <v>6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1</v>
      </c>
      <c r="W340" s="2">
        <v>1</v>
      </c>
      <c r="X340" s="2">
        <v>2</v>
      </c>
      <c r="Y340" s="2">
        <v>1</v>
      </c>
      <c r="Z340" s="2">
        <v>1</v>
      </c>
      <c r="AA340" s="2">
        <v>2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2</v>
      </c>
      <c r="AI340" s="2">
        <v>4</v>
      </c>
      <c r="AJ340" s="2">
        <v>0</v>
      </c>
      <c r="AK340" s="2">
        <v>0</v>
      </c>
      <c r="AL340" s="2">
        <v>0</v>
      </c>
      <c r="AM340" s="2">
        <v>2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1</v>
      </c>
      <c r="BB340" s="2">
        <v>1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1</v>
      </c>
      <c r="BM340" s="2">
        <v>0</v>
      </c>
      <c r="BN340" s="2">
        <v>1</v>
      </c>
      <c r="BO340" s="2">
        <v>0</v>
      </c>
      <c r="BP340" s="2">
        <v>1</v>
      </c>
      <c r="BQ340" s="2">
        <v>1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 s="2">
        <v>0</v>
      </c>
      <c r="DC340" s="2">
        <v>0</v>
      </c>
      <c r="DD340" s="2">
        <v>0</v>
      </c>
      <c r="DE340" s="2">
        <v>0</v>
      </c>
      <c r="DF340" s="2">
        <v>0</v>
      </c>
      <c r="DG340" s="2">
        <v>0</v>
      </c>
      <c r="DH340" s="2">
        <v>0</v>
      </c>
      <c r="DI340" s="2">
        <v>0</v>
      </c>
      <c r="DJ340" s="2">
        <v>0</v>
      </c>
      <c r="DK340" s="2">
        <v>1</v>
      </c>
      <c r="DL340" s="2">
        <v>0</v>
      </c>
      <c r="DM340" s="2">
        <v>1</v>
      </c>
      <c r="DN340" s="2">
        <v>0</v>
      </c>
      <c r="DO340" s="2">
        <v>0</v>
      </c>
      <c r="DP340" s="2">
        <v>0</v>
      </c>
      <c r="DQ340" s="2">
        <v>0</v>
      </c>
      <c r="DR340" s="2">
        <v>0</v>
      </c>
      <c r="DS340" s="2">
        <v>0</v>
      </c>
    </row>
    <row r="341" spans="1:123">
      <c r="A341" s="2" t="s">
        <v>11</v>
      </c>
      <c r="B341" s="2" t="s">
        <v>576</v>
      </c>
      <c r="C341" s="2">
        <v>29</v>
      </c>
      <c r="D341" s="2">
        <v>4</v>
      </c>
      <c r="E341" s="2">
        <v>0.48</v>
      </c>
      <c r="F341" s="2">
        <v>7.25</v>
      </c>
      <c r="G341" s="2" t="s">
        <v>577</v>
      </c>
      <c r="H341">
        <f>IF(AND(OR(لوحة_القيادة!$C$4="الكل", A341=لوحة_القيادة!$C$4), IF(لوحة_القيادة!$C$5="الكل", TRUE, INDEX($V341:$AG341, 1, VALUE(لوحة_القيادة!$C$5))&gt;0)), 1, 0)</f>
        <v>0</v>
      </c>
      <c r="I341">
        <f>IF(H341=1, SUM($H$2:H341), "")</f>
        <v>0</v>
      </c>
      <c r="J341" s="2">
        <v>0</v>
      </c>
      <c r="K341" s="2">
        <v>27</v>
      </c>
      <c r="L341" s="2">
        <v>0</v>
      </c>
      <c r="M341" s="2">
        <v>0</v>
      </c>
      <c r="N341" s="2">
        <v>0</v>
      </c>
      <c r="O341" s="2">
        <v>2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3</v>
      </c>
      <c r="X341" s="2">
        <v>0</v>
      </c>
      <c r="Y341" s="2">
        <v>0</v>
      </c>
      <c r="Z341" s="2">
        <v>0</v>
      </c>
      <c r="AA341" s="2">
        <v>1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1</v>
      </c>
      <c r="AH341" s="2">
        <v>0</v>
      </c>
      <c r="AI341" s="2">
        <v>0</v>
      </c>
      <c r="AJ341" s="2">
        <v>1</v>
      </c>
      <c r="AK341" s="2">
        <v>0</v>
      </c>
      <c r="AL341" s="2">
        <v>0</v>
      </c>
      <c r="AM341" s="2">
        <v>2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1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1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0</v>
      </c>
      <c r="CY341" s="2">
        <v>0</v>
      </c>
      <c r="CZ341" s="2">
        <v>0</v>
      </c>
      <c r="DA341" s="2">
        <v>0</v>
      </c>
      <c r="DB341" s="2">
        <v>0</v>
      </c>
      <c r="DC341" s="2">
        <v>0</v>
      </c>
      <c r="DD341" s="2">
        <v>0</v>
      </c>
      <c r="DE341" s="2">
        <v>0</v>
      </c>
      <c r="DF341" s="2">
        <v>0</v>
      </c>
      <c r="DG341" s="2">
        <v>0</v>
      </c>
      <c r="DH341" s="2">
        <v>0</v>
      </c>
      <c r="DI341" s="2">
        <v>2</v>
      </c>
      <c r="DJ341" s="2">
        <v>0</v>
      </c>
      <c r="DK341" s="2">
        <v>0</v>
      </c>
      <c r="DL341" s="2">
        <v>0</v>
      </c>
      <c r="DM341" s="2">
        <v>0</v>
      </c>
      <c r="DN341" s="2">
        <v>0</v>
      </c>
      <c r="DO341" s="2">
        <v>0</v>
      </c>
      <c r="DP341" s="2">
        <v>0</v>
      </c>
      <c r="DQ341" s="2">
        <v>0</v>
      </c>
      <c r="DR341" s="2">
        <v>0</v>
      </c>
      <c r="DS341" s="2">
        <v>0</v>
      </c>
    </row>
    <row r="342" spans="1:123">
      <c r="A342" s="2" t="s">
        <v>13</v>
      </c>
      <c r="B342" s="2" t="s">
        <v>578</v>
      </c>
      <c r="C342" s="2">
        <v>29</v>
      </c>
      <c r="D342" s="2">
        <v>6</v>
      </c>
      <c r="E342" s="2">
        <v>0.48</v>
      </c>
      <c r="F342" s="2">
        <v>4.83</v>
      </c>
      <c r="G342" s="2" t="s">
        <v>447</v>
      </c>
      <c r="H342">
        <f>IF(AND(OR(لوحة_القيادة!$C$4="الكل", A342=لوحة_القيادة!$C$4), IF(لوحة_القيادة!$C$5="الكل", TRUE, INDEX($V342:$AG342, 1, VALUE(لوحة_القيادة!$C$5))&gt;0)), 1, 0)</f>
        <v>0</v>
      </c>
      <c r="I342">
        <f>IF(H342=1, SUM($H$2:H342), "")</f>
        <v>0</v>
      </c>
      <c r="J342" s="2">
        <v>9</v>
      </c>
      <c r="K342" s="2">
        <v>14</v>
      </c>
      <c r="L342" s="2">
        <v>1</v>
      </c>
      <c r="M342" s="2">
        <v>0</v>
      </c>
      <c r="N342" s="2">
        <v>5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2</v>
      </c>
      <c r="W342" s="2">
        <v>2</v>
      </c>
      <c r="X342" s="2">
        <v>1</v>
      </c>
      <c r="Y342" s="2">
        <v>0</v>
      </c>
      <c r="Z342" s="2">
        <v>1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1</v>
      </c>
      <c r="AH342" s="2">
        <v>0</v>
      </c>
      <c r="AI342" s="2">
        <v>2</v>
      </c>
      <c r="AJ342" s="2">
        <v>1</v>
      </c>
      <c r="AK342" s="2">
        <v>0</v>
      </c>
      <c r="AL342" s="2">
        <v>0</v>
      </c>
      <c r="AM342" s="2">
        <v>2</v>
      </c>
      <c r="AN342" s="2">
        <v>1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1</v>
      </c>
      <c r="BM342" s="2">
        <v>1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1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2">
        <v>0</v>
      </c>
      <c r="CW342" s="2">
        <v>0</v>
      </c>
      <c r="CX342" s="2">
        <v>0</v>
      </c>
      <c r="CY342" s="2">
        <v>0</v>
      </c>
      <c r="CZ342" s="2">
        <v>0</v>
      </c>
      <c r="DA342" s="2">
        <v>0</v>
      </c>
      <c r="DB342" s="2">
        <v>0</v>
      </c>
      <c r="DC342" s="2">
        <v>0</v>
      </c>
      <c r="DD342" s="2">
        <v>0</v>
      </c>
      <c r="DE342" s="2">
        <v>0</v>
      </c>
      <c r="DF342" s="2">
        <v>0</v>
      </c>
      <c r="DG342" s="2">
        <v>0</v>
      </c>
      <c r="DH342" s="2">
        <v>0</v>
      </c>
      <c r="DI342" s="2">
        <v>0</v>
      </c>
      <c r="DJ342" s="2">
        <v>1</v>
      </c>
      <c r="DK342" s="2">
        <v>0</v>
      </c>
      <c r="DL342" s="2">
        <v>1</v>
      </c>
      <c r="DM342" s="2">
        <v>0</v>
      </c>
      <c r="DN342" s="2">
        <v>0</v>
      </c>
      <c r="DO342" s="2">
        <v>0</v>
      </c>
      <c r="DP342" s="2">
        <v>0</v>
      </c>
      <c r="DQ342" s="2">
        <v>0</v>
      </c>
      <c r="DR342" s="2">
        <v>0</v>
      </c>
      <c r="DS342" s="2">
        <v>0</v>
      </c>
    </row>
    <row r="343" spans="1:123">
      <c r="A343" s="2" t="s">
        <v>14</v>
      </c>
      <c r="B343" s="2" t="s">
        <v>579</v>
      </c>
      <c r="C343" s="2">
        <v>29</v>
      </c>
      <c r="D343" s="2">
        <v>7</v>
      </c>
      <c r="E343" s="2">
        <v>0.48</v>
      </c>
      <c r="F343" s="2">
        <v>4.14</v>
      </c>
      <c r="G343" s="2" t="s">
        <v>563</v>
      </c>
      <c r="H343">
        <f>IF(AND(OR(لوحة_القيادة!$C$4="الكل", A343=لوحة_القيادة!$C$4), IF(لوحة_القيادة!$C$5="الكل", TRUE, INDEX($V343:$AG343, 1, VALUE(لوحة_القيادة!$C$5))&gt;0)), 1, 0)</f>
        <v>0</v>
      </c>
      <c r="I343">
        <f>IF(H343=1, SUM($H$2:H343), "")</f>
        <v>0</v>
      </c>
      <c r="J343" s="2">
        <v>11</v>
      </c>
      <c r="K343" s="2">
        <v>0</v>
      </c>
      <c r="L343" s="2">
        <v>0</v>
      </c>
      <c r="M343" s="2">
        <v>5</v>
      </c>
      <c r="N343" s="2">
        <v>1</v>
      </c>
      <c r="O343" s="2">
        <v>12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3</v>
      </c>
      <c r="W343" s="2">
        <v>0</v>
      </c>
      <c r="X343" s="2">
        <v>0</v>
      </c>
      <c r="Y343" s="2">
        <v>1</v>
      </c>
      <c r="Z343" s="2">
        <v>1</v>
      </c>
      <c r="AA343" s="2">
        <v>2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1</v>
      </c>
      <c r="AH343" s="2">
        <v>2</v>
      </c>
      <c r="AI343" s="2">
        <v>3</v>
      </c>
      <c r="AJ343" s="2">
        <v>0</v>
      </c>
      <c r="AK343" s="2">
        <v>0</v>
      </c>
      <c r="AL343" s="2">
        <v>0</v>
      </c>
      <c r="AM343" s="2">
        <v>1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1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1</v>
      </c>
      <c r="BA343" s="2">
        <v>0</v>
      </c>
      <c r="BB343" s="2">
        <v>0</v>
      </c>
      <c r="BC343" s="2">
        <v>0</v>
      </c>
      <c r="BD343" s="2">
        <v>0</v>
      </c>
      <c r="BE343" s="2">
        <v>1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2</v>
      </c>
      <c r="BM343" s="2">
        <v>0</v>
      </c>
      <c r="BN343" s="2">
        <v>0</v>
      </c>
      <c r="BO343" s="2">
        <v>0</v>
      </c>
      <c r="BP343" s="2">
        <v>1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0</v>
      </c>
      <c r="DB343" s="2">
        <v>0</v>
      </c>
      <c r="DC343" s="2">
        <v>0</v>
      </c>
      <c r="DD343" s="2">
        <v>0</v>
      </c>
      <c r="DE343" s="2">
        <v>0</v>
      </c>
      <c r="DF343" s="2">
        <v>0</v>
      </c>
      <c r="DG343" s="2">
        <v>0</v>
      </c>
      <c r="DH343" s="2">
        <v>0</v>
      </c>
      <c r="DI343" s="2">
        <v>0</v>
      </c>
      <c r="DJ343" s="2">
        <v>0</v>
      </c>
      <c r="DK343" s="2">
        <v>1</v>
      </c>
      <c r="DL343" s="2">
        <v>0</v>
      </c>
      <c r="DM343" s="2">
        <v>0</v>
      </c>
      <c r="DN343" s="2">
        <v>0</v>
      </c>
      <c r="DO343" s="2">
        <v>0</v>
      </c>
      <c r="DP343" s="2">
        <v>0</v>
      </c>
      <c r="DQ343" s="2">
        <v>0</v>
      </c>
      <c r="DR343" s="2">
        <v>0</v>
      </c>
      <c r="DS343" s="2">
        <v>0</v>
      </c>
    </row>
    <row r="344" spans="1:123">
      <c r="A344" s="2" t="s">
        <v>16</v>
      </c>
      <c r="B344" s="2" t="s">
        <v>580</v>
      </c>
      <c r="C344" s="2">
        <v>28</v>
      </c>
      <c r="D344" s="2">
        <v>5</v>
      </c>
      <c r="E344" s="2">
        <v>0.47</v>
      </c>
      <c r="F344" s="2">
        <v>5.6</v>
      </c>
      <c r="G344" s="2" t="s">
        <v>571</v>
      </c>
      <c r="H344">
        <f>IF(AND(OR(لوحة_القيادة!$C$4="الكل", A344=لوحة_القيادة!$C$4), IF(لوحة_القيادة!$C$5="الكل", TRUE, INDEX($V344:$AG344, 1, VALUE(لوحة_القيادة!$C$5))&gt;0)), 1, 0)</f>
        <v>0</v>
      </c>
      <c r="I344">
        <f>IF(H344=1, SUM($H$2:H344), "")</f>
        <v>0</v>
      </c>
      <c r="J344" s="2">
        <v>4</v>
      </c>
      <c r="K344" s="2">
        <v>0</v>
      </c>
      <c r="L344" s="2">
        <v>2</v>
      </c>
      <c r="M344" s="2">
        <v>14</v>
      </c>
      <c r="N344" s="2">
        <v>0</v>
      </c>
      <c r="O344" s="2">
        <v>0</v>
      </c>
      <c r="P344" s="2">
        <v>8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1</v>
      </c>
      <c r="W344" s="2">
        <v>0</v>
      </c>
      <c r="X344" s="2">
        <v>1</v>
      </c>
      <c r="Y344" s="2">
        <v>2</v>
      </c>
      <c r="Z344" s="2">
        <v>0</v>
      </c>
      <c r="AA344" s="2">
        <v>0</v>
      </c>
      <c r="AB344" s="2">
        <v>1</v>
      </c>
      <c r="AC344" s="2">
        <v>0</v>
      </c>
      <c r="AD344" s="2">
        <v>0</v>
      </c>
      <c r="AE344" s="2">
        <v>0</v>
      </c>
      <c r="AF344" s="2">
        <v>0</v>
      </c>
      <c r="AG344" s="2">
        <v>1</v>
      </c>
      <c r="AH344" s="2">
        <v>2</v>
      </c>
      <c r="AI344" s="2">
        <v>1</v>
      </c>
      <c r="AJ344" s="2">
        <v>0</v>
      </c>
      <c r="AK344" s="2">
        <v>0</v>
      </c>
      <c r="AL344" s="2">
        <v>0</v>
      </c>
      <c r="AM344" s="2">
        <v>1</v>
      </c>
      <c r="AN344" s="2">
        <v>0</v>
      </c>
      <c r="AO344" s="2">
        <v>0</v>
      </c>
      <c r="AP344" s="2">
        <v>1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1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1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1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0</v>
      </c>
      <c r="DB344" s="2">
        <v>0</v>
      </c>
      <c r="DC344" s="2">
        <v>0</v>
      </c>
      <c r="DD344" s="2">
        <v>0</v>
      </c>
      <c r="DE344" s="2">
        <v>0</v>
      </c>
      <c r="DF344" s="2">
        <v>0</v>
      </c>
      <c r="DG344" s="2">
        <v>0</v>
      </c>
      <c r="DH344" s="2">
        <v>0</v>
      </c>
      <c r="DI344" s="2">
        <v>0</v>
      </c>
      <c r="DJ344" s="2">
        <v>0</v>
      </c>
      <c r="DK344" s="2">
        <v>1</v>
      </c>
      <c r="DL344" s="2">
        <v>0</v>
      </c>
      <c r="DM344" s="2">
        <v>0</v>
      </c>
      <c r="DN344" s="2">
        <v>0</v>
      </c>
      <c r="DO344" s="2">
        <v>0</v>
      </c>
      <c r="DP344" s="2">
        <v>0</v>
      </c>
      <c r="DQ344" s="2">
        <v>0</v>
      </c>
      <c r="DR344" s="2">
        <v>0</v>
      </c>
      <c r="DS344" s="2">
        <v>0</v>
      </c>
    </row>
    <row r="345" spans="1:123">
      <c r="A345" s="2" t="s">
        <v>17</v>
      </c>
      <c r="B345" s="2" t="s">
        <v>581</v>
      </c>
      <c r="C345" s="2">
        <v>28</v>
      </c>
      <c r="D345" s="2">
        <v>2</v>
      </c>
      <c r="E345" s="2">
        <v>0.47</v>
      </c>
      <c r="F345" s="2">
        <v>14</v>
      </c>
      <c r="G345" s="2" t="s">
        <v>541</v>
      </c>
      <c r="H345">
        <f>IF(AND(OR(لوحة_القيادة!$C$4="الكل", A345=لوحة_القيادة!$C$4), IF(لوحة_القيادة!$C$5="الكل", TRUE, INDEX($V345:$AG345, 1, VALUE(لوحة_القيادة!$C$5))&gt;0)), 1, 0)</f>
        <v>0</v>
      </c>
      <c r="I345">
        <f>IF(H345=1, SUM($H$2:H345), "")</f>
        <v>0</v>
      </c>
      <c r="J345" s="2">
        <v>1</v>
      </c>
      <c r="K345" s="2">
        <v>0</v>
      </c>
      <c r="L345" s="2">
        <v>0</v>
      </c>
      <c r="M345" s="2">
        <v>0</v>
      </c>
      <c r="N345" s="2">
        <v>0</v>
      </c>
      <c r="O345" s="2">
        <v>27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1</v>
      </c>
      <c r="W345" s="2">
        <v>0</v>
      </c>
      <c r="X345" s="2">
        <v>0</v>
      </c>
      <c r="Y345" s="2">
        <v>0</v>
      </c>
      <c r="Z345" s="2">
        <v>0</v>
      </c>
      <c r="AA345" s="2">
        <v>1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1</v>
      </c>
      <c r="AJ345" s="2">
        <v>0</v>
      </c>
      <c r="AK345" s="2">
        <v>0</v>
      </c>
      <c r="AL345" s="2">
        <v>0</v>
      </c>
      <c r="AM345" s="2">
        <v>1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1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0</v>
      </c>
      <c r="DB345" s="2">
        <v>0</v>
      </c>
      <c r="DC345" s="2">
        <v>0</v>
      </c>
      <c r="DD345" s="2">
        <v>0</v>
      </c>
      <c r="DE345" s="2">
        <v>0</v>
      </c>
      <c r="DF345" s="2">
        <v>0</v>
      </c>
      <c r="DG345" s="2">
        <v>0</v>
      </c>
      <c r="DH345" s="2">
        <v>1</v>
      </c>
      <c r="DI345" s="2">
        <v>0</v>
      </c>
      <c r="DJ345" s="2">
        <v>0</v>
      </c>
      <c r="DK345" s="2">
        <v>0</v>
      </c>
      <c r="DL345" s="2">
        <v>0</v>
      </c>
      <c r="DM345" s="2">
        <v>0</v>
      </c>
      <c r="DN345" s="2">
        <v>0</v>
      </c>
      <c r="DO345" s="2">
        <v>0</v>
      </c>
      <c r="DP345" s="2">
        <v>0</v>
      </c>
      <c r="DQ345" s="2">
        <v>0</v>
      </c>
      <c r="DR345" s="2">
        <v>0</v>
      </c>
      <c r="DS345" s="2">
        <v>0</v>
      </c>
    </row>
    <row r="346" spans="1:123">
      <c r="A346" s="2" t="s">
        <v>1</v>
      </c>
      <c r="B346" s="2" t="s">
        <v>582</v>
      </c>
      <c r="C346" s="2">
        <v>27</v>
      </c>
      <c r="D346" s="2">
        <v>8</v>
      </c>
      <c r="E346" s="2">
        <v>0.45</v>
      </c>
      <c r="F346" s="2">
        <v>3.38</v>
      </c>
      <c r="G346" s="2" t="s">
        <v>186</v>
      </c>
      <c r="H346">
        <f>IF(AND(OR(لوحة_القيادة!$C$4="الكل", A346=لوحة_القيادة!$C$4), IF(لوحة_القيادة!$C$5="الكل", TRUE, INDEX($V346:$AG346, 1, VALUE(لوحة_القيادة!$C$5))&gt;0)), 1, 0)</f>
        <v>0</v>
      </c>
      <c r="I346">
        <f>IF(H346=1, SUM($H$2:H346), "")</f>
        <v>0</v>
      </c>
      <c r="J346" s="2">
        <v>0</v>
      </c>
      <c r="K346" s="2">
        <v>10</v>
      </c>
      <c r="L346" s="2">
        <v>5</v>
      </c>
      <c r="M346" s="2">
        <v>5</v>
      </c>
      <c r="N346" s="2">
        <v>1</v>
      </c>
      <c r="O346" s="2">
        <v>2</v>
      </c>
      <c r="P346" s="2">
        <v>4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2</v>
      </c>
      <c r="X346" s="2">
        <v>1</v>
      </c>
      <c r="Y346" s="2">
        <v>1</v>
      </c>
      <c r="Z346" s="2">
        <v>1</v>
      </c>
      <c r="AA346" s="2">
        <v>1</v>
      </c>
      <c r="AB346" s="2">
        <v>2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1</v>
      </c>
      <c r="AI346" s="2">
        <v>4</v>
      </c>
      <c r="AJ346" s="2">
        <v>2</v>
      </c>
      <c r="AK346" s="2">
        <v>0</v>
      </c>
      <c r="AL346" s="2">
        <v>0</v>
      </c>
      <c r="AM346" s="2">
        <v>1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1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1</v>
      </c>
      <c r="BN346" s="2">
        <v>1</v>
      </c>
      <c r="BO346" s="2">
        <v>1</v>
      </c>
      <c r="BP346" s="2">
        <v>0</v>
      </c>
      <c r="BQ346" s="2">
        <v>1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1</v>
      </c>
      <c r="BZ346" s="2">
        <v>0</v>
      </c>
      <c r="CA346" s="2">
        <v>0</v>
      </c>
      <c r="CB346" s="2">
        <v>0</v>
      </c>
      <c r="CC346" s="2">
        <v>0</v>
      </c>
      <c r="CD346" s="2">
        <v>1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2">
        <v>0</v>
      </c>
      <c r="CX346" s="2">
        <v>0</v>
      </c>
      <c r="CY346" s="2">
        <v>0</v>
      </c>
      <c r="CZ346" s="2">
        <v>0</v>
      </c>
      <c r="DA346" s="2">
        <v>0</v>
      </c>
      <c r="DB346" s="2">
        <v>0</v>
      </c>
      <c r="DC346" s="2">
        <v>0</v>
      </c>
      <c r="DD346" s="2">
        <v>0</v>
      </c>
      <c r="DE346" s="2">
        <v>0</v>
      </c>
      <c r="DF346" s="2">
        <v>0</v>
      </c>
      <c r="DG346" s="2">
        <v>0</v>
      </c>
      <c r="DH346" s="2">
        <v>0</v>
      </c>
      <c r="DI346" s="2">
        <v>0</v>
      </c>
      <c r="DJ346" s="2">
        <v>0</v>
      </c>
      <c r="DK346" s="2">
        <v>0</v>
      </c>
      <c r="DL346" s="2">
        <v>1</v>
      </c>
      <c r="DM346" s="2">
        <v>0</v>
      </c>
      <c r="DN346" s="2">
        <v>0</v>
      </c>
      <c r="DO346" s="2">
        <v>0</v>
      </c>
      <c r="DP346" s="2">
        <v>0</v>
      </c>
      <c r="DQ346" s="2">
        <v>0</v>
      </c>
      <c r="DR346" s="2">
        <v>0</v>
      </c>
      <c r="DS346" s="2">
        <v>0</v>
      </c>
    </row>
    <row r="347" spans="1:123">
      <c r="A347" s="2" t="s">
        <v>14</v>
      </c>
      <c r="B347" s="2" t="s">
        <v>583</v>
      </c>
      <c r="C347" s="2">
        <v>27</v>
      </c>
      <c r="D347" s="2">
        <v>5</v>
      </c>
      <c r="E347" s="2">
        <v>0.45</v>
      </c>
      <c r="F347" s="2">
        <v>5.4</v>
      </c>
      <c r="G347" s="2" t="s">
        <v>536</v>
      </c>
      <c r="H347">
        <f>IF(AND(OR(لوحة_القيادة!$C$4="الكل", A347=لوحة_القيادة!$C$4), IF(لوحة_القيادة!$C$5="الكل", TRUE, INDEX($V347:$AG347, 1, VALUE(لوحة_القيادة!$C$5))&gt;0)), 1, 0)</f>
        <v>0</v>
      </c>
      <c r="I347">
        <f>IF(H347=1, SUM($H$2:H347), "")</f>
        <v>0</v>
      </c>
      <c r="J347" s="2">
        <v>0</v>
      </c>
      <c r="K347" s="2">
        <v>2</v>
      </c>
      <c r="L347" s="2">
        <v>23</v>
      </c>
      <c r="M347" s="2">
        <v>0</v>
      </c>
      <c r="N347" s="2">
        <v>0</v>
      </c>
      <c r="O347" s="2">
        <v>2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1</v>
      </c>
      <c r="X347" s="2">
        <v>3</v>
      </c>
      <c r="Y347" s="2">
        <v>0</v>
      </c>
      <c r="Z347" s="2">
        <v>0</v>
      </c>
      <c r="AA347" s="2">
        <v>1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2</v>
      </c>
      <c r="AI347" s="2">
        <v>1</v>
      </c>
      <c r="AJ347" s="2">
        <v>2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1</v>
      </c>
      <c r="BB347" s="2">
        <v>1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1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1</v>
      </c>
      <c r="CA347" s="2">
        <v>0</v>
      </c>
      <c r="CB347" s="2">
        <v>0</v>
      </c>
      <c r="CC347" s="2">
        <v>1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0</v>
      </c>
      <c r="CW347" s="2">
        <v>0</v>
      </c>
      <c r="CX347" s="2">
        <v>0</v>
      </c>
      <c r="CY347" s="2">
        <v>0</v>
      </c>
      <c r="CZ347" s="2">
        <v>0</v>
      </c>
      <c r="DA347" s="2">
        <v>0</v>
      </c>
      <c r="DB347" s="2">
        <v>0</v>
      </c>
      <c r="DC347" s="2">
        <v>0</v>
      </c>
      <c r="DD347" s="2">
        <v>0</v>
      </c>
      <c r="DE347" s="2">
        <v>0</v>
      </c>
      <c r="DF347" s="2">
        <v>0</v>
      </c>
      <c r="DG347" s="2">
        <v>0</v>
      </c>
      <c r="DH347" s="2">
        <v>0</v>
      </c>
      <c r="DI347" s="2">
        <v>0</v>
      </c>
      <c r="DJ347" s="2">
        <v>0</v>
      </c>
      <c r="DK347" s="2">
        <v>0</v>
      </c>
      <c r="DL347" s="2">
        <v>0</v>
      </c>
      <c r="DM347" s="2">
        <v>0</v>
      </c>
      <c r="DN347" s="2">
        <v>0</v>
      </c>
      <c r="DO347" s="2">
        <v>0</v>
      </c>
      <c r="DP347" s="2">
        <v>0</v>
      </c>
      <c r="DQ347" s="2">
        <v>0</v>
      </c>
      <c r="DR347" s="2">
        <v>0</v>
      </c>
      <c r="DS347" s="2">
        <v>0</v>
      </c>
    </row>
    <row r="348" spans="1:123">
      <c r="A348" s="2" t="s">
        <v>15</v>
      </c>
      <c r="B348" s="2" t="s">
        <v>584</v>
      </c>
      <c r="C348" s="2">
        <v>27</v>
      </c>
      <c r="D348" s="2">
        <v>1</v>
      </c>
      <c r="E348" s="2">
        <v>0.45</v>
      </c>
      <c r="F348" s="2">
        <v>27</v>
      </c>
      <c r="G348" s="2" t="s">
        <v>27</v>
      </c>
      <c r="H348">
        <f>IF(AND(OR(لوحة_القيادة!$C$4="الكل", A348=لوحة_القيادة!$C$4), IF(لوحة_القيادة!$C$5="الكل", TRUE, INDEX($V348:$AG348, 1, VALUE(لوحة_القيادة!$C$5))&gt;0)), 1, 0)</f>
        <v>0</v>
      </c>
      <c r="I348">
        <f>IF(H348=1, SUM($H$2:H348), "")</f>
        <v>0</v>
      </c>
      <c r="J348" s="2">
        <v>0</v>
      </c>
      <c r="K348" s="2">
        <v>0</v>
      </c>
      <c r="L348" s="2">
        <v>0</v>
      </c>
      <c r="M348" s="2">
        <v>0</v>
      </c>
      <c r="N348" s="2">
        <v>27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1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1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1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0</v>
      </c>
      <c r="DB348" s="2">
        <v>0</v>
      </c>
      <c r="DC348" s="2">
        <v>0</v>
      </c>
      <c r="DD348" s="2">
        <v>0</v>
      </c>
      <c r="DE348" s="2">
        <v>0</v>
      </c>
      <c r="DF348" s="2">
        <v>0</v>
      </c>
      <c r="DG348" s="2">
        <v>0</v>
      </c>
      <c r="DH348" s="2">
        <v>0</v>
      </c>
      <c r="DI348" s="2">
        <v>0</v>
      </c>
      <c r="DJ348" s="2">
        <v>0</v>
      </c>
      <c r="DK348" s="2">
        <v>0</v>
      </c>
      <c r="DL348" s="2">
        <v>0</v>
      </c>
      <c r="DM348" s="2">
        <v>0</v>
      </c>
      <c r="DN348" s="2">
        <v>0</v>
      </c>
      <c r="DO348" s="2">
        <v>0</v>
      </c>
      <c r="DP348" s="2">
        <v>0</v>
      </c>
      <c r="DQ348" s="2">
        <v>0</v>
      </c>
      <c r="DR348" s="2">
        <v>0</v>
      </c>
      <c r="DS348" s="2">
        <v>0</v>
      </c>
    </row>
    <row r="349" spans="1:123">
      <c r="A349" s="2" t="s">
        <v>16</v>
      </c>
      <c r="B349" s="2" t="s">
        <v>585</v>
      </c>
      <c r="C349" s="2">
        <v>27</v>
      </c>
      <c r="D349" s="2">
        <v>1</v>
      </c>
      <c r="E349" s="2">
        <v>0.45</v>
      </c>
      <c r="F349" s="2">
        <v>27</v>
      </c>
      <c r="G349" s="2" t="s">
        <v>29</v>
      </c>
      <c r="H349">
        <f>IF(AND(OR(لوحة_القيادة!$C$4="الكل", A349=لوحة_القيادة!$C$4), IF(لوحة_القيادة!$C$5="الكل", TRUE, INDEX($V349:$AG349, 1, VALUE(لوحة_القيادة!$C$5))&gt;0)), 1, 0)</f>
        <v>0</v>
      </c>
      <c r="I349">
        <f>IF(H349=1, SUM($H$2:H349), "")</f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27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1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1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1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0</v>
      </c>
      <c r="DB349" s="2">
        <v>0</v>
      </c>
      <c r="DC349" s="2">
        <v>0</v>
      </c>
      <c r="DD349" s="2">
        <v>0</v>
      </c>
      <c r="DE349" s="2">
        <v>0</v>
      </c>
      <c r="DF349" s="2">
        <v>0</v>
      </c>
      <c r="DG349" s="2">
        <v>0</v>
      </c>
      <c r="DH349" s="2">
        <v>0</v>
      </c>
      <c r="DI349" s="2">
        <v>0</v>
      </c>
      <c r="DJ349" s="2">
        <v>0</v>
      </c>
      <c r="DK349" s="2">
        <v>0</v>
      </c>
      <c r="DL349" s="2">
        <v>0</v>
      </c>
      <c r="DM349" s="2">
        <v>0</v>
      </c>
      <c r="DN349" s="2">
        <v>0</v>
      </c>
      <c r="DO349" s="2">
        <v>0</v>
      </c>
      <c r="DP349" s="2">
        <v>0</v>
      </c>
      <c r="DQ349" s="2">
        <v>0</v>
      </c>
      <c r="DR349" s="2">
        <v>0</v>
      </c>
      <c r="DS349" s="2">
        <v>0</v>
      </c>
    </row>
    <row r="350" spans="1:123">
      <c r="A350" s="2" t="s">
        <v>18</v>
      </c>
      <c r="B350" s="2" t="s">
        <v>586</v>
      </c>
      <c r="C350" s="2">
        <v>27</v>
      </c>
      <c r="D350" s="2">
        <v>4</v>
      </c>
      <c r="E350" s="2">
        <v>0.45</v>
      </c>
      <c r="F350" s="2">
        <v>6.75</v>
      </c>
      <c r="G350" s="2" t="s">
        <v>308</v>
      </c>
      <c r="H350">
        <f>IF(AND(OR(لوحة_القيادة!$C$4="الكل", A350=لوحة_القيادة!$C$4), IF(لوحة_القيادة!$C$5="الكل", TRUE, INDEX($V350:$AG350, 1, VALUE(لوحة_القيادة!$C$5))&gt;0)), 1, 0)</f>
        <v>0</v>
      </c>
      <c r="I350">
        <f>IF(H350=1, SUM($H$2:H350), "")</f>
        <v>0</v>
      </c>
      <c r="J350" s="2">
        <v>12</v>
      </c>
      <c r="K350" s="2">
        <v>7</v>
      </c>
      <c r="L350" s="2">
        <v>8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2</v>
      </c>
      <c r="W350" s="2">
        <v>1</v>
      </c>
      <c r="X350" s="2">
        <v>1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2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2</v>
      </c>
      <c r="AN350" s="2">
        <v>1</v>
      </c>
      <c r="AO350" s="2">
        <v>0</v>
      </c>
      <c r="AP350" s="2">
        <v>1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0</v>
      </c>
      <c r="DB350" s="2">
        <v>0</v>
      </c>
      <c r="DC350" s="2">
        <v>0</v>
      </c>
      <c r="DD350" s="2">
        <v>0</v>
      </c>
      <c r="DE350" s="2">
        <v>0</v>
      </c>
      <c r="DF350" s="2">
        <v>0</v>
      </c>
      <c r="DG350" s="2">
        <v>0</v>
      </c>
      <c r="DH350" s="2">
        <v>1</v>
      </c>
      <c r="DI350" s="2">
        <v>1</v>
      </c>
      <c r="DJ350" s="2">
        <v>0</v>
      </c>
      <c r="DK350" s="2">
        <v>0</v>
      </c>
      <c r="DL350" s="2">
        <v>0</v>
      </c>
      <c r="DM350" s="2">
        <v>0</v>
      </c>
      <c r="DN350" s="2">
        <v>0</v>
      </c>
      <c r="DO350" s="2">
        <v>0</v>
      </c>
      <c r="DP350" s="2">
        <v>0</v>
      </c>
      <c r="DQ350" s="2">
        <v>0</v>
      </c>
      <c r="DR350" s="2">
        <v>0</v>
      </c>
      <c r="DS350" s="2">
        <v>0</v>
      </c>
    </row>
    <row r="351" spans="1:123">
      <c r="A351" s="2" t="s">
        <v>20</v>
      </c>
      <c r="B351" s="2" t="s">
        <v>587</v>
      </c>
      <c r="C351" s="2">
        <v>27</v>
      </c>
      <c r="D351" s="2">
        <v>6</v>
      </c>
      <c r="E351" s="2">
        <v>0.45</v>
      </c>
      <c r="F351" s="2">
        <v>4.5</v>
      </c>
      <c r="G351" s="2" t="s">
        <v>588</v>
      </c>
      <c r="H351">
        <f>IF(AND(OR(لوحة_القيادة!$C$4="الكل", A351=لوحة_القيادة!$C$4), IF(لوحة_القيادة!$C$5="الكل", TRUE, INDEX($V351:$AG351, 1, VALUE(لوحة_القيادة!$C$5))&gt;0)), 1, 0)</f>
        <v>0</v>
      </c>
      <c r="I351">
        <f>IF(H351=1, SUM($H$2:H351), "")</f>
        <v>0</v>
      </c>
      <c r="J351" s="2">
        <v>5</v>
      </c>
      <c r="K351" s="2">
        <v>9</v>
      </c>
      <c r="L351" s="2">
        <v>5</v>
      </c>
      <c r="M351" s="2">
        <v>0</v>
      </c>
      <c r="N351" s="2">
        <v>0</v>
      </c>
      <c r="O351" s="2">
        <v>8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1</v>
      </c>
      <c r="W351" s="2">
        <v>2</v>
      </c>
      <c r="X351" s="2">
        <v>1</v>
      </c>
      <c r="Y351" s="2">
        <v>0</v>
      </c>
      <c r="Z351" s="2">
        <v>0</v>
      </c>
      <c r="AA351" s="2">
        <v>2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2</v>
      </c>
      <c r="AH351" s="2">
        <v>2</v>
      </c>
      <c r="AI351" s="2">
        <v>1</v>
      </c>
      <c r="AJ351" s="2">
        <v>1</v>
      </c>
      <c r="AK351" s="2">
        <v>0</v>
      </c>
      <c r="AL351" s="2">
        <v>0</v>
      </c>
      <c r="AM351" s="2">
        <v>0</v>
      </c>
      <c r="AN351" s="2">
        <v>1</v>
      </c>
      <c r="AO351" s="2">
        <v>1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2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1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1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0</v>
      </c>
      <c r="CX351" s="2">
        <v>0</v>
      </c>
      <c r="CY351" s="2">
        <v>0</v>
      </c>
      <c r="CZ351" s="2">
        <v>0</v>
      </c>
      <c r="DA351" s="2">
        <v>0</v>
      </c>
      <c r="DB351" s="2">
        <v>0</v>
      </c>
      <c r="DC351" s="2">
        <v>0</v>
      </c>
      <c r="DD351" s="2">
        <v>0</v>
      </c>
      <c r="DE351" s="2">
        <v>0</v>
      </c>
      <c r="DF351" s="2">
        <v>0</v>
      </c>
      <c r="DG351" s="2">
        <v>0</v>
      </c>
      <c r="DH351" s="2">
        <v>0</v>
      </c>
      <c r="DI351" s="2">
        <v>0</v>
      </c>
      <c r="DJ351" s="2">
        <v>0</v>
      </c>
      <c r="DK351" s="2">
        <v>0</v>
      </c>
      <c r="DL351" s="2">
        <v>0</v>
      </c>
      <c r="DM351" s="2">
        <v>0</v>
      </c>
      <c r="DN351" s="2">
        <v>0</v>
      </c>
      <c r="DO351" s="2">
        <v>0</v>
      </c>
      <c r="DP351" s="2">
        <v>0</v>
      </c>
      <c r="DQ351" s="2">
        <v>0</v>
      </c>
      <c r="DR351" s="2">
        <v>0</v>
      </c>
      <c r="DS351" s="2">
        <v>0</v>
      </c>
    </row>
    <row r="352" spans="1:123">
      <c r="A352" s="2" t="s">
        <v>10</v>
      </c>
      <c r="B352" s="2" t="s">
        <v>589</v>
      </c>
      <c r="C352" s="2">
        <v>26</v>
      </c>
      <c r="D352" s="2">
        <v>1</v>
      </c>
      <c r="E352" s="2">
        <v>0.43</v>
      </c>
      <c r="F352" s="2">
        <v>26</v>
      </c>
      <c r="G352" s="2" t="s">
        <v>25</v>
      </c>
      <c r="H352">
        <f>IF(AND(OR(لوحة_القيادة!$C$4="الكل", A352=لوحة_القيادة!$C$4), IF(لوحة_القيادة!$C$5="الكل", TRUE, INDEX($V352:$AG352, 1, VALUE(لوحة_القيادة!$C$5))&gt;0)), 1, 0)</f>
        <v>0</v>
      </c>
      <c r="I352">
        <f>IF(H352=1, SUM($H$2:H352), "")</f>
        <v>0</v>
      </c>
      <c r="J352" s="2">
        <v>0</v>
      </c>
      <c r="K352" s="2">
        <v>0</v>
      </c>
      <c r="L352" s="2">
        <v>26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1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1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0</v>
      </c>
      <c r="DB352" s="2">
        <v>0</v>
      </c>
      <c r="DC352" s="2">
        <v>0</v>
      </c>
      <c r="DD352" s="2">
        <v>0</v>
      </c>
      <c r="DE352" s="2">
        <v>0</v>
      </c>
      <c r="DF352" s="2">
        <v>0</v>
      </c>
      <c r="DG352" s="2">
        <v>0</v>
      </c>
      <c r="DH352" s="2">
        <v>0</v>
      </c>
      <c r="DI352" s="2">
        <v>0</v>
      </c>
      <c r="DJ352" s="2">
        <v>1</v>
      </c>
      <c r="DK352" s="2">
        <v>0</v>
      </c>
      <c r="DL352" s="2">
        <v>0</v>
      </c>
      <c r="DM352" s="2">
        <v>0</v>
      </c>
      <c r="DN352" s="2">
        <v>0</v>
      </c>
      <c r="DO352" s="2">
        <v>0</v>
      </c>
      <c r="DP352" s="2">
        <v>0</v>
      </c>
      <c r="DQ352" s="2">
        <v>0</v>
      </c>
      <c r="DR352" s="2">
        <v>0</v>
      </c>
      <c r="DS352" s="2">
        <v>0</v>
      </c>
    </row>
    <row r="353" spans="1:123">
      <c r="A353" s="2" t="s">
        <v>15</v>
      </c>
      <c r="B353" s="2" t="s">
        <v>590</v>
      </c>
      <c r="C353" s="2">
        <v>26</v>
      </c>
      <c r="D353" s="2">
        <v>11</v>
      </c>
      <c r="E353" s="2">
        <v>0.43</v>
      </c>
      <c r="F353" s="2">
        <v>2.36</v>
      </c>
      <c r="G353" s="2" t="s">
        <v>210</v>
      </c>
      <c r="H353">
        <f>IF(AND(OR(لوحة_القيادة!$C$4="الكل", A353=لوحة_القيادة!$C$4), IF(لوحة_القيادة!$C$5="الكل", TRUE, INDEX($V353:$AG353, 1, VALUE(لوحة_القيادة!$C$5))&gt;0)), 1, 0)</f>
        <v>0</v>
      </c>
      <c r="I353">
        <f>IF(H353=1, SUM($H$2:H353), "")</f>
        <v>0</v>
      </c>
      <c r="J353" s="2">
        <v>5</v>
      </c>
      <c r="K353" s="2">
        <v>7</v>
      </c>
      <c r="L353" s="2">
        <v>5</v>
      </c>
      <c r="M353" s="2">
        <v>7</v>
      </c>
      <c r="N353" s="2">
        <v>2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3</v>
      </c>
      <c r="W353" s="2">
        <v>2</v>
      </c>
      <c r="X353" s="2">
        <v>2</v>
      </c>
      <c r="Y353" s="2">
        <v>2</v>
      </c>
      <c r="Z353" s="2">
        <v>2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2</v>
      </c>
      <c r="AH353" s="2">
        <v>3</v>
      </c>
      <c r="AI353" s="2">
        <v>4</v>
      </c>
      <c r="AJ353" s="2">
        <v>1</v>
      </c>
      <c r="AK353" s="2">
        <v>0</v>
      </c>
      <c r="AL353" s="2">
        <v>0</v>
      </c>
      <c r="AM353" s="2">
        <v>1</v>
      </c>
      <c r="AN353" s="2">
        <v>0</v>
      </c>
      <c r="AO353" s="2">
        <v>0</v>
      </c>
      <c r="AP353" s="2">
        <v>0</v>
      </c>
      <c r="AQ353" s="2">
        <v>1</v>
      </c>
      <c r="AR353" s="2">
        <v>1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1</v>
      </c>
      <c r="BA353" s="2">
        <v>0</v>
      </c>
      <c r="BB353" s="2">
        <v>1</v>
      </c>
      <c r="BC353" s="2">
        <v>0</v>
      </c>
      <c r="BD353" s="2">
        <v>1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2</v>
      </c>
      <c r="BM353" s="2">
        <v>1</v>
      </c>
      <c r="BN353" s="2">
        <v>1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1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0</v>
      </c>
      <c r="DB353" s="2">
        <v>0</v>
      </c>
      <c r="DC353" s="2">
        <v>0</v>
      </c>
      <c r="DD353" s="2">
        <v>0</v>
      </c>
      <c r="DE353" s="2">
        <v>0</v>
      </c>
      <c r="DF353" s="2">
        <v>0</v>
      </c>
      <c r="DG353" s="2">
        <v>0</v>
      </c>
      <c r="DH353" s="2">
        <v>0</v>
      </c>
      <c r="DI353" s="2">
        <v>1</v>
      </c>
      <c r="DJ353" s="2">
        <v>0</v>
      </c>
      <c r="DK353" s="2">
        <v>0</v>
      </c>
      <c r="DL353" s="2">
        <v>0</v>
      </c>
      <c r="DM353" s="2">
        <v>0</v>
      </c>
      <c r="DN353" s="2">
        <v>0</v>
      </c>
      <c r="DO353" s="2">
        <v>0</v>
      </c>
      <c r="DP353" s="2">
        <v>0</v>
      </c>
      <c r="DQ353" s="2">
        <v>0</v>
      </c>
      <c r="DR353" s="2">
        <v>0</v>
      </c>
      <c r="DS353" s="2">
        <v>0</v>
      </c>
    </row>
    <row r="354" spans="1:123">
      <c r="A354" s="2" t="s">
        <v>9</v>
      </c>
      <c r="B354" s="2" t="s">
        <v>591</v>
      </c>
      <c r="C354" s="2">
        <v>25</v>
      </c>
      <c r="D354" s="2">
        <v>6</v>
      </c>
      <c r="E354" s="2">
        <v>0.42</v>
      </c>
      <c r="F354" s="2">
        <v>4.17</v>
      </c>
      <c r="G354" s="2" t="s">
        <v>563</v>
      </c>
      <c r="H354">
        <f>IF(AND(OR(لوحة_القيادة!$C$4="الكل", A354=لوحة_القيادة!$C$4), IF(لوحة_القيادة!$C$5="الكل", TRUE, INDEX($V354:$AG354, 1, VALUE(لوحة_القيادة!$C$5))&gt;0)), 1, 0)</f>
        <v>0</v>
      </c>
      <c r="I354">
        <f>IF(H354=1, SUM($H$2:H354), "")</f>
        <v>0</v>
      </c>
      <c r="J354" s="2">
        <v>1</v>
      </c>
      <c r="K354" s="2">
        <v>0</v>
      </c>
      <c r="L354" s="2">
        <v>0</v>
      </c>
      <c r="M354" s="2">
        <v>5</v>
      </c>
      <c r="N354" s="2">
        <v>4</v>
      </c>
      <c r="O354" s="2">
        <v>15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1</v>
      </c>
      <c r="W354" s="2">
        <v>0</v>
      </c>
      <c r="X354" s="2">
        <v>0</v>
      </c>
      <c r="Y354" s="2">
        <v>1</v>
      </c>
      <c r="Z354" s="2">
        <v>1</v>
      </c>
      <c r="AA354" s="2">
        <v>3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1</v>
      </c>
      <c r="AH354" s="2">
        <v>2</v>
      </c>
      <c r="AI354" s="2">
        <v>0</v>
      </c>
      <c r="AJ354" s="2">
        <v>3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1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2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1</v>
      </c>
      <c r="BY354" s="2">
        <v>0</v>
      </c>
      <c r="BZ354" s="2">
        <v>0</v>
      </c>
      <c r="CA354" s="2">
        <v>1</v>
      </c>
      <c r="CB354" s="2">
        <v>1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0</v>
      </c>
      <c r="CX354" s="2">
        <v>0</v>
      </c>
      <c r="CY354" s="2">
        <v>0</v>
      </c>
      <c r="CZ354" s="2">
        <v>0</v>
      </c>
      <c r="DA354" s="2">
        <v>0</v>
      </c>
      <c r="DB354" s="2">
        <v>0</v>
      </c>
      <c r="DC354" s="2">
        <v>0</v>
      </c>
      <c r="DD354" s="2">
        <v>0</v>
      </c>
      <c r="DE354" s="2">
        <v>0</v>
      </c>
      <c r="DF354" s="2">
        <v>0</v>
      </c>
      <c r="DG354" s="2">
        <v>0</v>
      </c>
      <c r="DH354" s="2">
        <v>0</v>
      </c>
      <c r="DI354" s="2">
        <v>0</v>
      </c>
      <c r="DJ354" s="2">
        <v>0</v>
      </c>
      <c r="DK354" s="2">
        <v>0</v>
      </c>
      <c r="DL354" s="2">
        <v>0</v>
      </c>
      <c r="DM354" s="2">
        <v>0</v>
      </c>
      <c r="DN354" s="2">
        <v>0</v>
      </c>
      <c r="DO354" s="2">
        <v>0</v>
      </c>
      <c r="DP354" s="2">
        <v>0</v>
      </c>
      <c r="DQ354" s="2">
        <v>0</v>
      </c>
      <c r="DR354" s="2">
        <v>0</v>
      </c>
      <c r="DS354" s="2">
        <v>0</v>
      </c>
    </row>
    <row r="355" spans="1:123">
      <c r="A355" s="2" t="s">
        <v>11</v>
      </c>
      <c r="B355" s="2" t="s">
        <v>592</v>
      </c>
      <c r="C355" s="2">
        <v>24</v>
      </c>
      <c r="D355" s="2">
        <v>1</v>
      </c>
      <c r="E355" s="2">
        <v>0.4</v>
      </c>
      <c r="F355" s="2">
        <v>24</v>
      </c>
      <c r="G355" s="2" t="s">
        <v>25</v>
      </c>
      <c r="H355">
        <f>IF(AND(OR(لوحة_القيادة!$C$4="الكل", A355=لوحة_القيادة!$C$4), IF(لوحة_القيادة!$C$5="الكل", TRUE, INDEX($V355:$AG355, 1, VALUE(لوحة_القيادة!$C$5))&gt;0)), 1, 0)</f>
        <v>0</v>
      </c>
      <c r="I355">
        <f>IF(H355=1, SUM($H$2:H355), "")</f>
        <v>0</v>
      </c>
      <c r="J355" s="2">
        <v>0</v>
      </c>
      <c r="K355" s="2">
        <v>0</v>
      </c>
      <c r="L355" s="2">
        <v>24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1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1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1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0</v>
      </c>
      <c r="CW355" s="2">
        <v>0</v>
      </c>
      <c r="CX355" s="2">
        <v>0</v>
      </c>
      <c r="CY355" s="2">
        <v>0</v>
      </c>
      <c r="CZ355" s="2">
        <v>0</v>
      </c>
      <c r="DA355" s="2">
        <v>0</v>
      </c>
      <c r="DB355" s="2">
        <v>0</v>
      </c>
      <c r="DC355" s="2">
        <v>0</v>
      </c>
      <c r="DD355" s="2">
        <v>0</v>
      </c>
      <c r="DE355" s="2">
        <v>0</v>
      </c>
      <c r="DF355" s="2">
        <v>0</v>
      </c>
      <c r="DG355" s="2">
        <v>0</v>
      </c>
      <c r="DH355" s="2">
        <v>0</v>
      </c>
      <c r="DI355" s="2">
        <v>0</v>
      </c>
      <c r="DJ355" s="2">
        <v>0</v>
      </c>
      <c r="DK355" s="2">
        <v>0</v>
      </c>
      <c r="DL355" s="2">
        <v>0</v>
      </c>
      <c r="DM355" s="2">
        <v>0</v>
      </c>
      <c r="DN355" s="2">
        <v>0</v>
      </c>
      <c r="DO355" s="2">
        <v>0</v>
      </c>
      <c r="DP355" s="2">
        <v>0</v>
      </c>
      <c r="DQ355" s="2">
        <v>0</v>
      </c>
      <c r="DR355" s="2">
        <v>0</v>
      </c>
      <c r="DS355" s="2">
        <v>0</v>
      </c>
    </row>
    <row r="356" spans="1:123">
      <c r="A356" s="2" t="s">
        <v>13</v>
      </c>
      <c r="B356" s="2" t="s">
        <v>593</v>
      </c>
      <c r="C356" s="2">
        <v>24</v>
      </c>
      <c r="D356" s="2">
        <v>2</v>
      </c>
      <c r="E356" s="2">
        <v>0.4</v>
      </c>
      <c r="F356" s="2">
        <v>12</v>
      </c>
      <c r="G356" s="2" t="s">
        <v>594</v>
      </c>
      <c r="H356">
        <f>IF(AND(OR(لوحة_القيادة!$C$4="الكل", A356=لوحة_القيادة!$C$4), IF(لوحة_القيادة!$C$5="الكل", TRUE, INDEX($V356:$AG356, 1, VALUE(لوحة_القيادة!$C$5))&gt;0)), 1, 0)</f>
        <v>0</v>
      </c>
      <c r="I356">
        <f>IF(H356=1, SUM($H$2:H356), "")</f>
        <v>0</v>
      </c>
      <c r="J356" s="2">
        <v>0</v>
      </c>
      <c r="K356" s="2">
        <v>0</v>
      </c>
      <c r="L356" s="2">
        <v>11</v>
      </c>
      <c r="M356" s="2">
        <v>13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1</v>
      </c>
      <c r="Y356" s="2">
        <v>1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2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0</v>
      </c>
      <c r="CW356" s="2">
        <v>0</v>
      </c>
      <c r="CX356" s="2">
        <v>0</v>
      </c>
      <c r="CY356" s="2">
        <v>0</v>
      </c>
      <c r="CZ356" s="2">
        <v>0</v>
      </c>
      <c r="DA356" s="2">
        <v>0</v>
      </c>
      <c r="DB356" s="2">
        <v>0</v>
      </c>
      <c r="DC356" s="2">
        <v>0</v>
      </c>
      <c r="DD356" s="2">
        <v>0</v>
      </c>
      <c r="DE356" s="2">
        <v>0</v>
      </c>
      <c r="DF356" s="2">
        <v>0</v>
      </c>
      <c r="DG356" s="2">
        <v>0</v>
      </c>
      <c r="DH356" s="2">
        <v>0</v>
      </c>
      <c r="DI356" s="2">
        <v>0</v>
      </c>
      <c r="DJ356" s="2">
        <v>1</v>
      </c>
      <c r="DK356" s="2">
        <v>1</v>
      </c>
      <c r="DL356" s="2">
        <v>0</v>
      </c>
      <c r="DM356" s="2">
        <v>0</v>
      </c>
      <c r="DN356" s="2">
        <v>0</v>
      </c>
      <c r="DO356" s="2">
        <v>0</v>
      </c>
      <c r="DP356" s="2">
        <v>0</v>
      </c>
      <c r="DQ356" s="2">
        <v>0</v>
      </c>
      <c r="DR356" s="2">
        <v>0</v>
      </c>
      <c r="DS356" s="2">
        <v>0</v>
      </c>
    </row>
    <row r="357" spans="1:123">
      <c r="A357" s="2" t="s">
        <v>18</v>
      </c>
      <c r="B357" s="2" t="s">
        <v>595</v>
      </c>
      <c r="C357" s="2">
        <v>23</v>
      </c>
      <c r="D357" s="2">
        <v>5</v>
      </c>
      <c r="E357" s="2">
        <v>0.38</v>
      </c>
      <c r="F357" s="2">
        <v>4.6</v>
      </c>
      <c r="G357" s="2" t="s">
        <v>541</v>
      </c>
      <c r="H357">
        <f>IF(AND(OR(لوحة_القيادة!$C$4="الكل", A357=لوحة_القيادة!$C$4), IF(لوحة_القيادة!$C$5="الكل", TRUE, INDEX($V357:$AG357, 1, VALUE(لوحة_القيادة!$C$5))&gt;0)), 1, 0)</f>
        <v>0</v>
      </c>
      <c r="I357">
        <f>IF(H357=1, SUM($H$2:H357), "")</f>
        <v>0</v>
      </c>
      <c r="J357" s="2">
        <v>1</v>
      </c>
      <c r="K357" s="2">
        <v>0</v>
      </c>
      <c r="L357" s="2">
        <v>0</v>
      </c>
      <c r="M357" s="2">
        <v>0</v>
      </c>
      <c r="N357" s="2">
        <v>0</v>
      </c>
      <c r="O357" s="2">
        <v>22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1</v>
      </c>
      <c r="W357" s="2">
        <v>0</v>
      </c>
      <c r="X357" s="2">
        <v>0</v>
      </c>
      <c r="Y357" s="2">
        <v>0</v>
      </c>
      <c r="Z357" s="2">
        <v>0</v>
      </c>
      <c r="AA357" s="2">
        <v>4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1</v>
      </c>
      <c r="AH357" s="2">
        <v>1</v>
      </c>
      <c r="AI357" s="2">
        <v>2</v>
      </c>
      <c r="AJ357" s="2">
        <v>1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1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1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2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1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0</v>
      </c>
      <c r="CW357" s="2">
        <v>0</v>
      </c>
      <c r="CX357" s="2">
        <v>0</v>
      </c>
      <c r="CY357" s="2">
        <v>0</v>
      </c>
      <c r="CZ357" s="2">
        <v>0</v>
      </c>
      <c r="DA357" s="2">
        <v>0</v>
      </c>
      <c r="DB357" s="2">
        <v>0</v>
      </c>
      <c r="DC357" s="2">
        <v>0</v>
      </c>
      <c r="DD357" s="2">
        <v>0</v>
      </c>
      <c r="DE357" s="2">
        <v>0</v>
      </c>
      <c r="DF357" s="2">
        <v>0</v>
      </c>
      <c r="DG357" s="2">
        <v>0</v>
      </c>
      <c r="DH357" s="2">
        <v>0</v>
      </c>
      <c r="DI357" s="2">
        <v>0</v>
      </c>
      <c r="DJ357" s="2">
        <v>0</v>
      </c>
      <c r="DK357" s="2">
        <v>0</v>
      </c>
      <c r="DL357" s="2">
        <v>0</v>
      </c>
      <c r="DM357" s="2">
        <v>0</v>
      </c>
      <c r="DN357" s="2">
        <v>0</v>
      </c>
      <c r="DO357" s="2">
        <v>0</v>
      </c>
      <c r="DP357" s="2">
        <v>0</v>
      </c>
      <c r="DQ357" s="2">
        <v>0</v>
      </c>
      <c r="DR357" s="2">
        <v>0</v>
      </c>
      <c r="DS357" s="2">
        <v>0</v>
      </c>
    </row>
    <row r="358" spans="1:123">
      <c r="A358" s="2" t="s">
        <v>14</v>
      </c>
      <c r="B358" s="2" t="s">
        <v>596</v>
      </c>
      <c r="C358" s="2">
        <v>22</v>
      </c>
      <c r="D358" s="2">
        <v>3</v>
      </c>
      <c r="E358" s="2">
        <v>0.37</v>
      </c>
      <c r="F358" s="2">
        <v>7.33</v>
      </c>
      <c r="G358" s="2" t="s">
        <v>597</v>
      </c>
      <c r="H358">
        <f>IF(AND(OR(لوحة_القيادة!$C$4="الكل", A358=لوحة_القيادة!$C$4), IF(لوحة_القيادة!$C$5="الكل", TRUE, INDEX($V358:$AG358, 1, VALUE(لوحة_القيادة!$C$5))&gt;0)), 1, 0)</f>
        <v>0</v>
      </c>
      <c r="I358">
        <f>IF(H358=1, SUM($H$2:H358), "")</f>
        <v>0</v>
      </c>
      <c r="J358" s="2">
        <v>0</v>
      </c>
      <c r="K358" s="2">
        <v>0</v>
      </c>
      <c r="L358" s="2">
        <v>0</v>
      </c>
      <c r="M358" s="2">
        <v>0</v>
      </c>
      <c r="N358" s="2">
        <v>4</v>
      </c>
      <c r="O358" s="2">
        <v>0</v>
      </c>
      <c r="P358" s="2">
        <v>18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1</v>
      </c>
      <c r="AA358" s="2">
        <v>0</v>
      </c>
      <c r="AB358" s="2">
        <v>2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2</v>
      </c>
      <c r="AJ358" s="2">
        <v>1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1</v>
      </c>
      <c r="BQ358" s="2">
        <v>0</v>
      </c>
      <c r="BR358" s="2">
        <v>1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1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0</v>
      </c>
      <c r="CW358" s="2">
        <v>0</v>
      </c>
      <c r="CX358" s="2">
        <v>0</v>
      </c>
      <c r="CY358" s="2">
        <v>0</v>
      </c>
      <c r="CZ358" s="2">
        <v>0</v>
      </c>
      <c r="DA358" s="2">
        <v>0</v>
      </c>
      <c r="DB358" s="2">
        <v>0</v>
      </c>
      <c r="DC358" s="2">
        <v>0</v>
      </c>
      <c r="DD358" s="2">
        <v>0</v>
      </c>
      <c r="DE358" s="2">
        <v>0</v>
      </c>
      <c r="DF358" s="2">
        <v>0</v>
      </c>
      <c r="DG358" s="2">
        <v>0</v>
      </c>
      <c r="DH358" s="2">
        <v>0</v>
      </c>
      <c r="DI358" s="2">
        <v>0</v>
      </c>
      <c r="DJ358" s="2">
        <v>0</v>
      </c>
      <c r="DK358" s="2">
        <v>0</v>
      </c>
      <c r="DL358" s="2">
        <v>0</v>
      </c>
      <c r="DM358" s="2">
        <v>0</v>
      </c>
      <c r="DN358" s="2">
        <v>0</v>
      </c>
      <c r="DO358" s="2">
        <v>0</v>
      </c>
      <c r="DP358" s="2">
        <v>0</v>
      </c>
      <c r="DQ358" s="2">
        <v>0</v>
      </c>
      <c r="DR358" s="2">
        <v>0</v>
      </c>
      <c r="DS358" s="2">
        <v>0</v>
      </c>
    </row>
    <row r="359" spans="1:123">
      <c r="A359" s="2" t="s">
        <v>15</v>
      </c>
      <c r="B359" s="2" t="s">
        <v>598</v>
      </c>
      <c r="C359" s="2">
        <v>22</v>
      </c>
      <c r="D359" s="2">
        <v>6</v>
      </c>
      <c r="E359" s="2">
        <v>0.37</v>
      </c>
      <c r="F359" s="2">
        <v>3.67</v>
      </c>
      <c r="G359" s="2" t="s">
        <v>599</v>
      </c>
      <c r="H359">
        <f>IF(AND(OR(لوحة_القيادة!$C$4="الكل", A359=لوحة_القيادة!$C$4), IF(لوحة_القيادة!$C$5="الكل", TRUE, INDEX($V359:$AG359, 1, VALUE(لوحة_القيادة!$C$5))&gt;0)), 1, 0)</f>
        <v>0</v>
      </c>
      <c r="I359">
        <f>IF(H359=1, SUM($H$2:H359), "")</f>
        <v>0</v>
      </c>
      <c r="J359" s="2">
        <v>0</v>
      </c>
      <c r="K359" s="2">
        <v>2</v>
      </c>
      <c r="L359" s="2">
        <v>0</v>
      </c>
      <c r="M359" s="2">
        <v>10</v>
      </c>
      <c r="N359" s="2">
        <v>9</v>
      </c>
      <c r="O359" s="2">
        <v>0</v>
      </c>
      <c r="P359" s="2">
        <v>1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1</v>
      </c>
      <c r="X359" s="2">
        <v>0</v>
      </c>
      <c r="Y359" s="2">
        <v>3</v>
      </c>
      <c r="Z359" s="2">
        <v>1</v>
      </c>
      <c r="AA359" s="2">
        <v>0</v>
      </c>
      <c r="AB359" s="2">
        <v>1</v>
      </c>
      <c r="AC359" s="2">
        <v>0</v>
      </c>
      <c r="AD359" s="2">
        <v>0</v>
      </c>
      <c r="AE359" s="2">
        <v>0</v>
      </c>
      <c r="AF359" s="2">
        <v>0</v>
      </c>
      <c r="AG359" s="2">
        <v>1</v>
      </c>
      <c r="AH359" s="2">
        <v>1</v>
      </c>
      <c r="AI359" s="2">
        <v>4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1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1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1</v>
      </c>
      <c r="BN359" s="2">
        <v>0</v>
      </c>
      <c r="BO359" s="2">
        <v>1</v>
      </c>
      <c r="BP359" s="2">
        <v>1</v>
      </c>
      <c r="BQ359" s="2">
        <v>0</v>
      </c>
      <c r="BR359" s="2">
        <v>1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0</v>
      </c>
      <c r="DB359" s="2">
        <v>0</v>
      </c>
      <c r="DC359" s="2">
        <v>0</v>
      </c>
      <c r="DD359" s="2">
        <v>0</v>
      </c>
      <c r="DE359" s="2">
        <v>0</v>
      </c>
      <c r="DF359" s="2">
        <v>0</v>
      </c>
      <c r="DG359" s="2">
        <v>0</v>
      </c>
      <c r="DH359" s="2">
        <v>0</v>
      </c>
      <c r="DI359" s="2">
        <v>0</v>
      </c>
      <c r="DJ359" s="2">
        <v>0</v>
      </c>
      <c r="DK359" s="2">
        <v>0</v>
      </c>
      <c r="DL359" s="2">
        <v>0</v>
      </c>
      <c r="DM359" s="2">
        <v>0</v>
      </c>
      <c r="DN359" s="2">
        <v>0</v>
      </c>
      <c r="DO359" s="2">
        <v>0</v>
      </c>
      <c r="DP359" s="2">
        <v>0</v>
      </c>
      <c r="DQ359" s="2">
        <v>0</v>
      </c>
      <c r="DR359" s="2">
        <v>0</v>
      </c>
      <c r="DS359" s="2">
        <v>0</v>
      </c>
    </row>
    <row r="360" spans="1:123">
      <c r="A360" s="2" t="s">
        <v>16</v>
      </c>
      <c r="B360" s="2" t="s">
        <v>600</v>
      </c>
      <c r="C360" s="2">
        <v>22</v>
      </c>
      <c r="D360" s="2">
        <v>1</v>
      </c>
      <c r="E360" s="2">
        <v>0.37</v>
      </c>
      <c r="F360" s="2">
        <v>22</v>
      </c>
      <c r="G360" s="2" t="s">
        <v>24</v>
      </c>
      <c r="H360">
        <f>IF(AND(OR(لوحة_القيادة!$C$4="الكل", A360=لوحة_القيادة!$C$4), IF(لوحة_القيادة!$C$5="الكل", TRUE, INDEX($V360:$AG360, 1, VALUE(لوحة_القيادة!$C$5))&gt;0)), 1, 0)</f>
        <v>0</v>
      </c>
      <c r="I360">
        <f>IF(H360=1, SUM($H$2:H360), "")</f>
        <v>0</v>
      </c>
      <c r="J360" s="2">
        <v>0</v>
      </c>
      <c r="K360" s="2">
        <v>22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1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1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0</v>
      </c>
      <c r="DB360" s="2">
        <v>0</v>
      </c>
      <c r="DC360" s="2">
        <v>0</v>
      </c>
      <c r="DD360" s="2">
        <v>0</v>
      </c>
      <c r="DE360" s="2">
        <v>0</v>
      </c>
      <c r="DF360" s="2">
        <v>0</v>
      </c>
      <c r="DG360" s="2">
        <v>0</v>
      </c>
      <c r="DH360" s="2">
        <v>0</v>
      </c>
      <c r="DI360" s="2">
        <v>1</v>
      </c>
      <c r="DJ360" s="2">
        <v>0</v>
      </c>
      <c r="DK360" s="2">
        <v>0</v>
      </c>
      <c r="DL360" s="2">
        <v>0</v>
      </c>
      <c r="DM360" s="2">
        <v>0</v>
      </c>
      <c r="DN360" s="2">
        <v>0</v>
      </c>
      <c r="DO360" s="2">
        <v>0</v>
      </c>
      <c r="DP360" s="2">
        <v>0</v>
      </c>
      <c r="DQ360" s="2">
        <v>0</v>
      </c>
      <c r="DR360" s="2">
        <v>0</v>
      </c>
      <c r="DS360" s="2">
        <v>0</v>
      </c>
    </row>
    <row r="361" spans="1:123">
      <c r="A361" s="2" t="s">
        <v>17</v>
      </c>
      <c r="B361" s="2" t="s">
        <v>601</v>
      </c>
      <c r="C361" s="2">
        <v>22</v>
      </c>
      <c r="D361" s="2">
        <v>3</v>
      </c>
      <c r="E361" s="2">
        <v>0.37</v>
      </c>
      <c r="F361" s="2">
        <v>7.33</v>
      </c>
      <c r="G361" s="2" t="s">
        <v>594</v>
      </c>
      <c r="H361">
        <f>IF(AND(OR(لوحة_القيادة!$C$4="الكل", A361=لوحة_القيادة!$C$4), IF(لوحة_القيادة!$C$5="الكل", TRUE, INDEX($V361:$AG361, 1, VALUE(لوحة_القيادة!$C$5))&gt;0)), 1, 0)</f>
        <v>0</v>
      </c>
      <c r="I361">
        <f>IF(H361=1, SUM($H$2:H361), "")</f>
        <v>0</v>
      </c>
      <c r="J361" s="2">
        <v>0</v>
      </c>
      <c r="K361" s="2">
        <v>0</v>
      </c>
      <c r="L361" s="2">
        <v>20</v>
      </c>
      <c r="M361" s="2">
        <v>2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1</v>
      </c>
      <c r="Y361" s="2">
        <v>2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1</v>
      </c>
      <c r="AH361" s="2">
        <v>0</v>
      </c>
      <c r="AI361" s="2">
        <v>1</v>
      </c>
      <c r="AJ361" s="2">
        <v>0</v>
      </c>
      <c r="AK361" s="2">
        <v>0</v>
      </c>
      <c r="AL361" s="2">
        <v>0</v>
      </c>
      <c r="AM361" s="2">
        <v>1</v>
      </c>
      <c r="AN361" s="2">
        <v>0</v>
      </c>
      <c r="AO361" s="2">
        <v>0</v>
      </c>
      <c r="AP361" s="2">
        <v>0</v>
      </c>
      <c r="AQ361" s="2">
        <v>1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1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 s="2">
        <v>0</v>
      </c>
      <c r="DC361" s="2">
        <v>0</v>
      </c>
      <c r="DD361" s="2">
        <v>0</v>
      </c>
      <c r="DE361" s="2">
        <v>0</v>
      </c>
      <c r="DF361" s="2">
        <v>0</v>
      </c>
      <c r="DG361" s="2">
        <v>0</v>
      </c>
      <c r="DH361" s="2">
        <v>0</v>
      </c>
      <c r="DI361" s="2">
        <v>0</v>
      </c>
      <c r="DJ361" s="2">
        <v>1</v>
      </c>
      <c r="DK361" s="2">
        <v>0</v>
      </c>
      <c r="DL361" s="2">
        <v>0</v>
      </c>
      <c r="DM361" s="2">
        <v>0</v>
      </c>
      <c r="DN361" s="2">
        <v>0</v>
      </c>
      <c r="DO361" s="2">
        <v>0</v>
      </c>
      <c r="DP361" s="2">
        <v>0</v>
      </c>
      <c r="DQ361" s="2">
        <v>0</v>
      </c>
      <c r="DR361" s="2">
        <v>0</v>
      </c>
      <c r="DS361" s="2">
        <v>0</v>
      </c>
    </row>
    <row r="362" spans="1:123">
      <c r="A362" s="2" t="s">
        <v>10</v>
      </c>
      <c r="B362" s="2" t="s">
        <v>602</v>
      </c>
      <c r="C362" s="2">
        <v>21</v>
      </c>
      <c r="D362" s="2">
        <v>2</v>
      </c>
      <c r="E362" s="2">
        <v>0.35</v>
      </c>
      <c r="F362" s="2">
        <v>10.5</v>
      </c>
      <c r="G362" s="2" t="s">
        <v>25</v>
      </c>
      <c r="H362">
        <f>IF(AND(OR(لوحة_القيادة!$C$4="الكل", A362=لوحة_القيادة!$C$4), IF(لوحة_القيادة!$C$5="الكل", TRUE, INDEX($V362:$AG362, 1, VALUE(لوحة_القيادة!$C$5))&gt;0)), 1, 0)</f>
        <v>0</v>
      </c>
      <c r="I362">
        <f>IF(H362=1, SUM($H$2:H362), "")</f>
        <v>0</v>
      </c>
      <c r="J362" s="2">
        <v>0</v>
      </c>
      <c r="K362" s="2">
        <v>0</v>
      </c>
      <c r="L362" s="2">
        <v>21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2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1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1</v>
      </c>
      <c r="AN362" s="2">
        <v>0</v>
      </c>
      <c r="AO362" s="2">
        <v>0</v>
      </c>
      <c r="AP362" s="2">
        <v>1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0</v>
      </c>
      <c r="CX362" s="2">
        <v>0</v>
      </c>
      <c r="CY362" s="2">
        <v>0</v>
      </c>
      <c r="CZ362" s="2">
        <v>0</v>
      </c>
      <c r="DA362" s="2">
        <v>0</v>
      </c>
      <c r="DB362" s="2">
        <v>0</v>
      </c>
      <c r="DC362" s="2">
        <v>0</v>
      </c>
      <c r="DD362" s="2">
        <v>0</v>
      </c>
      <c r="DE362" s="2">
        <v>0</v>
      </c>
      <c r="DF362" s="2">
        <v>0</v>
      </c>
      <c r="DG362" s="2">
        <v>0</v>
      </c>
      <c r="DH362" s="2">
        <v>0</v>
      </c>
      <c r="DI362" s="2">
        <v>0</v>
      </c>
      <c r="DJ362" s="2">
        <v>1</v>
      </c>
      <c r="DK362" s="2">
        <v>0</v>
      </c>
      <c r="DL362" s="2">
        <v>0</v>
      </c>
      <c r="DM362" s="2">
        <v>0</v>
      </c>
      <c r="DN362" s="2">
        <v>0</v>
      </c>
      <c r="DO362" s="2">
        <v>0</v>
      </c>
      <c r="DP362" s="2">
        <v>0</v>
      </c>
      <c r="DQ362" s="2">
        <v>0</v>
      </c>
      <c r="DR362" s="2">
        <v>0</v>
      </c>
      <c r="DS362" s="2">
        <v>0</v>
      </c>
    </row>
    <row r="363" spans="1:123">
      <c r="A363" s="2" t="s">
        <v>11</v>
      </c>
      <c r="B363" s="2" t="s">
        <v>603</v>
      </c>
      <c r="C363" s="2">
        <v>20</v>
      </c>
      <c r="D363" s="2">
        <v>1</v>
      </c>
      <c r="E363" s="2">
        <v>0.33</v>
      </c>
      <c r="F363" s="2">
        <v>20</v>
      </c>
      <c r="G363" s="2" t="s">
        <v>25</v>
      </c>
      <c r="H363">
        <f>IF(AND(OR(لوحة_القيادة!$C$4="الكل", A363=لوحة_القيادة!$C$4), IF(لوحة_القيادة!$C$5="الكل", TRUE, INDEX($V363:$AG363, 1, VALUE(لوحة_القيادة!$C$5))&gt;0)), 1, 0)</f>
        <v>0</v>
      </c>
      <c r="I363">
        <f>IF(H363=1, SUM($H$2:H363), "")</f>
        <v>0</v>
      </c>
      <c r="J363" s="2">
        <v>0</v>
      </c>
      <c r="K363" s="2">
        <v>0</v>
      </c>
      <c r="L363" s="2">
        <v>20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1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1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1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2">
        <v>0</v>
      </c>
      <c r="CX363" s="2">
        <v>0</v>
      </c>
      <c r="CY363" s="2">
        <v>0</v>
      </c>
      <c r="CZ363" s="2">
        <v>0</v>
      </c>
      <c r="DA363" s="2">
        <v>0</v>
      </c>
      <c r="DB363" s="2">
        <v>0</v>
      </c>
      <c r="DC363" s="2">
        <v>0</v>
      </c>
      <c r="DD363" s="2">
        <v>0</v>
      </c>
      <c r="DE363" s="2">
        <v>0</v>
      </c>
      <c r="DF363" s="2">
        <v>0</v>
      </c>
      <c r="DG363" s="2">
        <v>0</v>
      </c>
      <c r="DH363" s="2">
        <v>0</v>
      </c>
      <c r="DI363" s="2">
        <v>0</v>
      </c>
      <c r="DJ363" s="2">
        <v>0</v>
      </c>
      <c r="DK363" s="2">
        <v>0</v>
      </c>
      <c r="DL363" s="2">
        <v>0</v>
      </c>
      <c r="DM363" s="2">
        <v>0</v>
      </c>
      <c r="DN363" s="2">
        <v>0</v>
      </c>
      <c r="DO363" s="2">
        <v>0</v>
      </c>
      <c r="DP363" s="2">
        <v>0</v>
      </c>
      <c r="DQ363" s="2">
        <v>0</v>
      </c>
      <c r="DR363" s="2">
        <v>0</v>
      </c>
      <c r="DS363" s="2">
        <v>0</v>
      </c>
    </row>
    <row r="364" spans="1:123">
      <c r="A364" s="2" t="s">
        <v>19</v>
      </c>
      <c r="B364" s="2" t="s">
        <v>604</v>
      </c>
      <c r="C364" s="2">
        <v>20</v>
      </c>
      <c r="D364" s="2">
        <v>1</v>
      </c>
      <c r="E364" s="2">
        <v>0.33</v>
      </c>
      <c r="F364" s="2">
        <v>20</v>
      </c>
      <c r="G364" s="2" t="s">
        <v>25</v>
      </c>
      <c r="H364">
        <f>IF(AND(OR(لوحة_القيادة!$C$4="الكل", A364=لوحة_القيادة!$C$4), IF(لوحة_القيادة!$C$5="الكل", TRUE, INDEX($V364:$AG364, 1, VALUE(لوحة_القيادة!$C$5))&gt;0)), 1, 0)</f>
        <v>0</v>
      </c>
      <c r="I364">
        <f>IF(H364=1, SUM($H$2:H364), "")</f>
        <v>0</v>
      </c>
      <c r="J364" s="2">
        <v>0</v>
      </c>
      <c r="K364" s="2">
        <v>0</v>
      </c>
      <c r="L364" s="2">
        <v>20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1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1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  <c r="CV364" s="2">
        <v>0</v>
      </c>
      <c r="CW364" s="2">
        <v>0</v>
      </c>
      <c r="CX364" s="2">
        <v>0</v>
      </c>
      <c r="CY364" s="2">
        <v>0</v>
      </c>
      <c r="CZ364" s="2">
        <v>0</v>
      </c>
      <c r="DA364" s="2">
        <v>0</v>
      </c>
      <c r="DB364" s="2">
        <v>0</v>
      </c>
      <c r="DC364" s="2">
        <v>0</v>
      </c>
      <c r="DD364" s="2">
        <v>0</v>
      </c>
      <c r="DE364" s="2">
        <v>0</v>
      </c>
      <c r="DF364" s="2">
        <v>0</v>
      </c>
      <c r="DG364" s="2">
        <v>0</v>
      </c>
      <c r="DH364" s="2">
        <v>0</v>
      </c>
      <c r="DI364" s="2">
        <v>0</v>
      </c>
      <c r="DJ364" s="2">
        <v>1</v>
      </c>
      <c r="DK364" s="2">
        <v>0</v>
      </c>
      <c r="DL364" s="2">
        <v>0</v>
      </c>
      <c r="DM364" s="2">
        <v>0</v>
      </c>
      <c r="DN364" s="2">
        <v>0</v>
      </c>
      <c r="DO364" s="2">
        <v>0</v>
      </c>
      <c r="DP364" s="2">
        <v>0</v>
      </c>
      <c r="DQ364" s="2">
        <v>0</v>
      </c>
      <c r="DR364" s="2">
        <v>0</v>
      </c>
      <c r="DS364" s="2">
        <v>0</v>
      </c>
    </row>
    <row r="365" spans="1:123">
      <c r="A365" s="2" t="s">
        <v>19</v>
      </c>
      <c r="B365" s="2" t="s">
        <v>605</v>
      </c>
      <c r="C365" s="2">
        <v>20</v>
      </c>
      <c r="D365" s="2">
        <v>1</v>
      </c>
      <c r="E365" s="2">
        <v>0.33</v>
      </c>
      <c r="F365" s="2">
        <v>20</v>
      </c>
      <c r="G365" s="2" t="s">
        <v>25</v>
      </c>
      <c r="H365">
        <f>IF(AND(OR(لوحة_القيادة!$C$4="الكل", A365=لوحة_القيادة!$C$4), IF(لوحة_القيادة!$C$5="الكل", TRUE, INDEX($V365:$AG365, 1, VALUE(لوحة_القيادة!$C$5))&gt;0)), 1, 0)</f>
        <v>0</v>
      </c>
      <c r="I365">
        <f>IF(H365=1, SUM($H$2:H365), "")</f>
        <v>0</v>
      </c>
      <c r="J365" s="2">
        <v>0</v>
      </c>
      <c r="K365" s="2">
        <v>0</v>
      </c>
      <c r="L365" s="2">
        <v>20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1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1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1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0</v>
      </c>
      <c r="CW365" s="2">
        <v>0</v>
      </c>
      <c r="CX365" s="2">
        <v>0</v>
      </c>
      <c r="CY365" s="2">
        <v>0</v>
      </c>
      <c r="CZ365" s="2">
        <v>0</v>
      </c>
      <c r="DA365" s="2">
        <v>0</v>
      </c>
      <c r="DB365" s="2">
        <v>0</v>
      </c>
      <c r="DC365" s="2">
        <v>0</v>
      </c>
      <c r="DD365" s="2">
        <v>0</v>
      </c>
      <c r="DE365" s="2">
        <v>0</v>
      </c>
      <c r="DF365" s="2">
        <v>0</v>
      </c>
      <c r="DG365" s="2">
        <v>0</v>
      </c>
      <c r="DH365" s="2">
        <v>0</v>
      </c>
      <c r="DI365" s="2">
        <v>0</v>
      </c>
      <c r="DJ365" s="2">
        <v>0</v>
      </c>
      <c r="DK365" s="2">
        <v>0</v>
      </c>
      <c r="DL365" s="2">
        <v>0</v>
      </c>
      <c r="DM365" s="2">
        <v>0</v>
      </c>
      <c r="DN365" s="2">
        <v>0</v>
      </c>
      <c r="DO365" s="2">
        <v>0</v>
      </c>
      <c r="DP365" s="2">
        <v>0</v>
      </c>
      <c r="DQ365" s="2">
        <v>0</v>
      </c>
      <c r="DR365" s="2">
        <v>0</v>
      </c>
      <c r="DS365" s="2">
        <v>0</v>
      </c>
    </row>
    <row r="366" spans="1:123">
      <c r="A366" s="2" t="s">
        <v>15</v>
      </c>
      <c r="B366" s="2" t="s">
        <v>606</v>
      </c>
      <c r="C366" s="2">
        <v>19</v>
      </c>
      <c r="D366" s="2">
        <v>7</v>
      </c>
      <c r="E366" s="2">
        <v>0.32</v>
      </c>
      <c r="F366" s="2">
        <v>2.71</v>
      </c>
      <c r="G366" s="2" t="s">
        <v>504</v>
      </c>
      <c r="H366">
        <f>IF(AND(OR(لوحة_القيادة!$C$4="الكل", A366=لوحة_القيادة!$C$4), IF(لوحة_القيادة!$C$5="الكل", TRUE, INDEX($V366:$AG366, 1, VALUE(لوحة_القيادة!$C$5))&gt;0)), 1, 0)</f>
        <v>0</v>
      </c>
      <c r="I366">
        <f>IF(H366=1, SUM($H$2:H366), "")</f>
        <v>0</v>
      </c>
      <c r="J366" s="2">
        <v>2</v>
      </c>
      <c r="K366" s="2">
        <v>4</v>
      </c>
      <c r="L366" s="2">
        <v>0</v>
      </c>
      <c r="M366" s="2">
        <v>0</v>
      </c>
      <c r="N366" s="2">
        <v>13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1</v>
      </c>
      <c r="W366" s="2">
        <v>2</v>
      </c>
      <c r="X366" s="2">
        <v>0</v>
      </c>
      <c r="Y366" s="2">
        <v>0</v>
      </c>
      <c r="Z366" s="2">
        <v>4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1</v>
      </c>
      <c r="AI366" s="2">
        <v>0</v>
      </c>
      <c r="AJ366" s="2">
        <v>3</v>
      </c>
      <c r="AK366" s="2">
        <v>0</v>
      </c>
      <c r="AL366" s="2">
        <v>0</v>
      </c>
      <c r="AM366" s="2">
        <v>3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1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1</v>
      </c>
      <c r="BY366" s="2">
        <v>2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>
        <v>0</v>
      </c>
      <c r="CN366" s="2">
        <v>0</v>
      </c>
      <c r="CO366" s="2">
        <v>0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0</v>
      </c>
      <c r="CW366" s="2">
        <v>0</v>
      </c>
      <c r="CX366" s="2">
        <v>0</v>
      </c>
      <c r="CY366" s="2">
        <v>0</v>
      </c>
      <c r="CZ366" s="2">
        <v>0</v>
      </c>
      <c r="DA366" s="2">
        <v>0</v>
      </c>
      <c r="DB366" s="2">
        <v>0</v>
      </c>
      <c r="DC366" s="2">
        <v>0</v>
      </c>
      <c r="DD366" s="2">
        <v>0</v>
      </c>
      <c r="DE366" s="2">
        <v>0</v>
      </c>
      <c r="DF366" s="2">
        <v>0</v>
      </c>
      <c r="DG366" s="2">
        <v>0</v>
      </c>
      <c r="DH366" s="2">
        <v>0</v>
      </c>
      <c r="DI366" s="2">
        <v>0</v>
      </c>
      <c r="DJ366" s="2">
        <v>0</v>
      </c>
      <c r="DK366" s="2">
        <v>0</v>
      </c>
      <c r="DL366" s="2">
        <v>3</v>
      </c>
      <c r="DM366" s="2">
        <v>0</v>
      </c>
      <c r="DN366" s="2">
        <v>0</v>
      </c>
      <c r="DO366" s="2">
        <v>0</v>
      </c>
      <c r="DP366" s="2">
        <v>0</v>
      </c>
      <c r="DQ366" s="2">
        <v>0</v>
      </c>
      <c r="DR366" s="2">
        <v>0</v>
      </c>
      <c r="DS366" s="2">
        <v>0</v>
      </c>
    </row>
    <row r="367" spans="1:123">
      <c r="A367" s="2" t="s">
        <v>8</v>
      </c>
      <c r="B367" s="2" t="s">
        <v>607</v>
      </c>
      <c r="C367" s="2">
        <v>18</v>
      </c>
      <c r="D367" s="2">
        <v>6</v>
      </c>
      <c r="E367" s="2">
        <v>0.3</v>
      </c>
      <c r="F367" s="2">
        <v>3</v>
      </c>
      <c r="G367" s="2" t="s">
        <v>608</v>
      </c>
      <c r="H367">
        <f>IF(AND(OR(لوحة_القيادة!$C$4="الكل", A367=لوحة_القيادة!$C$4), IF(لوحة_القيادة!$C$5="الكل", TRUE, INDEX($V367:$AG367, 1, VALUE(لوحة_القيادة!$C$5))&gt;0)), 1, 0)</f>
        <v>0</v>
      </c>
      <c r="I367">
        <f>IF(H367=1, SUM($H$2:H367), "")</f>
        <v>0</v>
      </c>
      <c r="J367" s="2">
        <v>0</v>
      </c>
      <c r="K367" s="2">
        <v>1</v>
      </c>
      <c r="L367" s="2">
        <v>0</v>
      </c>
      <c r="M367" s="2">
        <v>15</v>
      </c>
      <c r="N367" s="2">
        <v>0</v>
      </c>
      <c r="O367" s="2">
        <v>2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1</v>
      </c>
      <c r="X367" s="2">
        <v>0</v>
      </c>
      <c r="Y367" s="2">
        <v>3</v>
      </c>
      <c r="Z367" s="2">
        <v>0</v>
      </c>
      <c r="AA367" s="2">
        <v>2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1</v>
      </c>
      <c r="AI367" s="2">
        <v>2</v>
      </c>
      <c r="AJ367" s="2">
        <v>1</v>
      </c>
      <c r="AK367" s="2">
        <v>0</v>
      </c>
      <c r="AL367" s="2">
        <v>0</v>
      </c>
      <c r="AM367" s="2">
        <v>2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1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2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1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0</v>
      </c>
      <c r="CW367" s="2">
        <v>0</v>
      </c>
      <c r="CX367" s="2">
        <v>0</v>
      </c>
      <c r="CY367" s="2">
        <v>0</v>
      </c>
      <c r="CZ367" s="2">
        <v>0</v>
      </c>
      <c r="DA367" s="2">
        <v>0</v>
      </c>
      <c r="DB367" s="2">
        <v>0</v>
      </c>
      <c r="DC367" s="2">
        <v>0</v>
      </c>
      <c r="DD367" s="2">
        <v>0</v>
      </c>
      <c r="DE367" s="2">
        <v>0</v>
      </c>
      <c r="DF367" s="2">
        <v>0</v>
      </c>
      <c r="DG367" s="2">
        <v>0</v>
      </c>
      <c r="DH367" s="2">
        <v>0</v>
      </c>
      <c r="DI367" s="2">
        <v>1</v>
      </c>
      <c r="DJ367" s="2">
        <v>0</v>
      </c>
      <c r="DK367" s="2">
        <v>0</v>
      </c>
      <c r="DL367" s="2">
        <v>0</v>
      </c>
      <c r="DM367" s="2">
        <v>1</v>
      </c>
      <c r="DN367" s="2">
        <v>0</v>
      </c>
      <c r="DO367" s="2">
        <v>0</v>
      </c>
      <c r="DP367" s="2">
        <v>0</v>
      </c>
      <c r="DQ367" s="2">
        <v>0</v>
      </c>
      <c r="DR367" s="2">
        <v>0</v>
      </c>
      <c r="DS367" s="2">
        <v>0</v>
      </c>
    </row>
    <row r="368" spans="1:123">
      <c r="A368" s="2" t="s">
        <v>10</v>
      </c>
      <c r="B368" s="2" t="s">
        <v>609</v>
      </c>
      <c r="C368" s="2">
        <v>18</v>
      </c>
      <c r="D368" s="2">
        <v>1</v>
      </c>
      <c r="E368" s="2">
        <v>0.3</v>
      </c>
      <c r="F368" s="2">
        <v>18</v>
      </c>
      <c r="G368" s="2" t="s">
        <v>26</v>
      </c>
      <c r="H368">
        <f>IF(AND(OR(لوحة_القيادة!$C$4="الكل", A368=لوحة_القيادة!$C$4), IF(لوحة_القيادة!$C$5="الكل", TRUE, INDEX($V368:$AG368, 1, VALUE(لوحة_القيادة!$C$5))&gt;0)), 1, 0)</f>
        <v>0</v>
      </c>
      <c r="I368">
        <f>IF(H368=1, SUM($H$2:H368), "")</f>
        <v>0</v>
      </c>
      <c r="J368" s="2">
        <v>0</v>
      </c>
      <c r="K368" s="2">
        <v>0</v>
      </c>
      <c r="L368" s="2">
        <v>0</v>
      </c>
      <c r="M368" s="2">
        <v>18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1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1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0</v>
      </c>
      <c r="CN368" s="2">
        <v>0</v>
      </c>
      <c r="CO368" s="2">
        <v>0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  <c r="CV368" s="2">
        <v>0</v>
      </c>
      <c r="CW368" s="2">
        <v>0</v>
      </c>
      <c r="CX368" s="2">
        <v>0</v>
      </c>
      <c r="CY368" s="2">
        <v>0</v>
      </c>
      <c r="CZ368" s="2">
        <v>0</v>
      </c>
      <c r="DA368" s="2">
        <v>0</v>
      </c>
      <c r="DB368" s="2">
        <v>0</v>
      </c>
      <c r="DC368" s="2">
        <v>0</v>
      </c>
      <c r="DD368" s="2">
        <v>0</v>
      </c>
      <c r="DE368" s="2">
        <v>0</v>
      </c>
      <c r="DF368" s="2">
        <v>0</v>
      </c>
      <c r="DG368" s="2">
        <v>0</v>
      </c>
      <c r="DH368" s="2">
        <v>0</v>
      </c>
      <c r="DI368" s="2">
        <v>0</v>
      </c>
      <c r="DJ368" s="2">
        <v>0</v>
      </c>
      <c r="DK368" s="2">
        <v>1</v>
      </c>
      <c r="DL368" s="2">
        <v>0</v>
      </c>
      <c r="DM368" s="2">
        <v>0</v>
      </c>
      <c r="DN368" s="2">
        <v>0</v>
      </c>
      <c r="DO368" s="2">
        <v>0</v>
      </c>
      <c r="DP368" s="2">
        <v>0</v>
      </c>
      <c r="DQ368" s="2">
        <v>0</v>
      </c>
      <c r="DR368" s="2">
        <v>0</v>
      </c>
      <c r="DS368" s="2">
        <v>0</v>
      </c>
    </row>
    <row r="369" spans="1:123">
      <c r="A369" s="2" t="s">
        <v>10</v>
      </c>
      <c r="B369" s="2" t="s">
        <v>610</v>
      </c>
      <c r="C369" s="2">
        <v>18</v>
      </c>
      <c r="D369" s="2">
        <v>7</v>
      </c>
      <c r="E369" s="2">
        <v>0.3</v>
      </c>
      <c r="F369" s="2">
        <v>2.57</v>
      </c>
      <c r="G369" s="2" t="s">
        <v>306</v>
      </c>
      <c r="H369">
        <f>IF(AND(OR(لوحة_القيادة!$C$4="الكل", A369=لوحة_القيادة!$C$4), IF(لوحة_القيادة!$C$5="الكل", TRUE, INDEX($V369:$AG369, 1, VALUE(لوحة_القيادة!$C$5))&gt;0)), 1, 0)</f>
        <v>0</v>
      </c>
      <c r="I369">
        <f>IF(H369=1, SUM($H$2:H369), "")</f>
        <v>0</v>
      </c>
      <c r="J369" s="2">
        <v>5</v>
      </c>
      <c r="K369" s="2">
        <v>0</v>
      </c>
      <c r="L369" s="2">
        <v>1</v>
      </c>
      <c r="M369" s="2">
        <v>6</v>
      </c>
      <c r="N369" s="2">
        <v>1</v>
      </c>
      <c r="O369" s="2">
        <v>5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3</v>
      </c>
      <c r="W369" s="2">
        <v>0</v>
      </c>
      <c r="X369" s="2">
        <v>1</v>
      </c>
      <c r="Y369" s="2">
        <v>1</v>
      </c>
      <c r="Z369" s="2">
        <v>1</v>
      </c>
      <c r="AA369" s="2">
        <v>1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4</v>
      </c>
      <c r="AI369" s="2">
        <v>0</v>
      </c>
      <c r="AJ369" s="2">
        <v>2</v>
      </c>
      <c r="AK369" s="2">
        <v>0</v>
      </c>
      <c r="AL369" s="2">
        <v>0</v>
      </c>
      <c r="AM369" s="2">
        <v>1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2</v>
      </c>
      <c r="BA369" s="2">
        <v>0</v>
      </c>
      <c r="BB369" s="2">
        <v>0</v>
      </c>
      <c r="BC369" s="2">
        <v>0</v>
      </c>
      <c r="BD369" s="2">
        <v>1</v>
      </c>
      <c r="BE369" s="2">
        <v>1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1</v>
      </c>
      <c r="BY369" s="2">
        <v>0</v>
      </c>
      <c r="BZ369" s="2">
        <v>0</v>
      </c>
      <c r="CA369" s="2">
        <v>1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0</v>
      </c>
      <c r="CW369" s="2">
        <v>0</v>
      </c>
      <c r="CX369" s="2">
        <v>0</v>
      </c>
      <c r="CY369" s="2">
        <v>0</v>
      </c>
      <c r="CZ369" s="2">
        <v>0</v>
      </c>
      <c r="DA369" s="2">
        <v>0</v>
      </c>
      <c r="DB369" s="2">
        <v>0</v>
      </c>
      <c r="DC369" s="2">
        <v>0</v>
      </c>
      <c r="DD369" s="2">
        <v>0</v>
      </c>
      <c r="DE369" s="2">
        <v>0</v>
      </c>
      <c r="DF369" s="2">
        <v>0</v>
      </c>
      <c r="DG369" s="2">
        <v>0</v>
      </c>
      <c r="DH369" s="2">
        <v>0</v>
      </c>
      <c r="DI369" s="2">
        <v>0</v>
      </c>
      <c r="DJ369" s="2">
        <v>1</v>
      </c>
      <c r="DK369" s="2">
        <v>0</v>
      </c>
      <c r="DL369" s="2">
        <v>0</v>
      </c>
      <c r="DM369" s="2">
        <v>0</v>
      </c>
      <c r="DN369" s="2">
        <v>0</v>
      </c>
      <c r="DO369" s="2">
        <v>0</v>
      </c>
      <c r="DP369" s="2">
        <v>0</v>
      </c>
      <c r="DQ369" s="2">
        <v>0</v>
      </c>
      <c r="DR369" s="2">
        <v>0</v>
      </c>
      <c r="DS369" s="2">
        <v>0</v>
      </c>
    </row>
    <row r="370" spans="1:123">
      <c r="A370" s="2" t="s">
        <v>14</v>
      </c>
      <c r="B370" s="2" t="s">
        <v>611</v>
      </c>
      <c r="C370" s="2">
        <v>18</v>
      </c>
      <c r="D370" s="2">
        <v>3</v>
      </c>
      <c r="E370" s="2">
        <v>0.3</v>
      </c>
      <c r="F370" s="2">
        <v>6</v>
      </c>
      <c r="G370" s="2" t="s">
        <v>487</v>
      </c>
      <c r="H370">
        <f>IF(AND(OR(لوحة_القيادة!$C$4="الكل", A370=لوحة_القيادة!$C$4), IF(لوحة_القيادة!$C$5="الكل", TRUE, INDEX($V370:$AG370, 1, VALUE(لوحة_القيادة!$C$5))&gt;0)), 1, 0)</f>
        <v>0</v>
      </c>
      <c r="I370">
        <f>IF(H370=1, SUM($H$2:H370), "")</f>
        <v>0</v>
      </c>
      <c r="J370" s="2">
        <v>0</v>
      </c>
      <c r="K370" s="2">
        <v>0</v>
      </c>
      <c r="L370" s="2">
        <v>1</v>
      </c>
      <c r="M370" s="2">
        <v>9</v>
      </c>
      <c r="N370" s="2">
        <v>8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1</v>
      </c>
      <c r="Y370" s="2">
        <v>1</v>
      </c>
      <c r="Z370" s="2">
        <v>1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1</v>
      </c>
      <c r="AH370" s="2">
        <v>2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1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1</v>
      </c>
      <c r="BC370" s="2">
        <v>1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0</v>
      </c>
      <c r="CN370" s="2">
        <v>0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0</v>
      </c>
      <c r="CW370" s="2">
        <v>0</v>
      </c>
      <c r="CX370" s="2">
        <v>0</v>
      </c>
      <c r="CY370" s="2">
        <v>0</v>
      </c>
      <c r="CZ370" s="2">
        <v>0</v>
      </c>
      <c r="DA370" s="2">
        <v>0</v>
      </c>
      <c r="DB370" s="2">
        <v>0</v>
      </c>
      <c r="DC370" s="2">
        <v>0</v>
      </c>
      <c r="DD370" s="2">
        <v>0</v>
      </c>
      <c r="DE370" s="2">
        <v>0</v>
      </c>
      <c r="DF370" s="2">
        <v>0</v>
      </c>
      <c r="DG370" s="2">
        <v>0</v>
      </c>
      <c r="DH370" s="2">
        <v>0</v>
      </c>
      <c r="DI370" s="2">
        <v>0</v>
      </c>
      <c r="DJ370" s="2">
        <v>0</v>
      </c>
      <c r="DK370" s="2">
        <v>0</v>
      </c>
      <c r="DL370" s="2">
        <v>0</v>
      </c>
      <c r="DM370" s="2">
        <v>0</v>
      </c>
      <c r="DN370" s="2">
        <v>0</v>
      </c>
      <c r="DO370" s="2">
        <v>0</v>
      </c>
      <c r="DP370" s="2">
        <v>0</v>
      </c>
      <c r="DQ370" s="2">
        <v>0</v>
      </c>
      <c r="DR370" s="2">
        <v>0</v>
      </c>
      <c r="DS370" s="2">
        <v>0</v>
      </c>
    </row>
    <row r="371" spans="1:123">
      <c r="A371" s="2" t="s">
        <v>18</v>
      </c>
      <c r="B371" s="2" t="s">
        <v>612</v>
      </c>
      <c r="C371" s="2">
        <v>18</v>
      </c>
      <c r="D371" s="2">
        <v>7</v>
      </c>
      <c r="E371" s="2">
        <v>0.3</v>
      </c>
      <c r="F371" s="2">
        <v>2.57</v>
      </c>
      <c r="G371" s="2" t="s">
        <v>339</v>
      </c>
      <c r="H371">
        <f>IF(AND(OR(لوحة_القيادة!$C$4="الكل", A371=لوحة_القيادة!$C$4), IF(لوحة_القيادة!$C$5="الكل", TRUE, INDEX($V371:$AG371, 1, VALUE(لوحة_القيادة!$C$5))&gt;0)), 1, 0)</f>
        <v>0</v>
      </c>
      <c r="I371">
        <f>IF(H371=1, SUM($H$2:H371), "")</f>
        <v>0</v>
      </c>
      <c r="J371" s="2">
        <v>5</v>
      </c>
      <c r="K371" s="2">
        <v>1</v>
      </c>
      <c r="L371" s="2">
        <v>9</v>
      </c>
      <c r="M371" s="2">
        <v>0</v>
      </c>
      <c r="N371" s="2">
        <v>0</v>
      </c>
      <c r="O371" s="2">
        <v>1</v>
      </c>
      <c r="P371" s="2">
        <v>2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2</v>
      </c>
      <c r="W371" s="2">
        <v>1</v>
      </c>
      <c r="X371" s="2">
        <v>2</v>
      </c>
      <c r="Y371" s="2">
        <v>0</v>
      </c>
      <c r="Z371" s="2">
        <v>0</v>
      </c>
      <c r="AA371" s="2">
        <v>1</v>
      </c>
      <c r="AB371" s="2">
        <v>1</v>
      </c>
      <c r="AC371" s="2">
        <v>0</v>
      </c>
      <c r="AD371" s="2">
        <v>0</v>
      </c>
      <c r="AE371" s="2">
        <v>0</v>
      </c>
      <c r="AF371" s="2">
        <v>0</v>
      </c>
      <c r="AG371" s="2">
        <v>1</v>
      </c>
      <c r="AH371" s="2">
        <v>1</v>
      </c>
      <c r="AI371" s="2">
        <v>2</v>
      </c>
      <c r="AJ371" s="2">
        <v>1</v>
      </c>
      <c r="AK371" s="2">
        <v>0</v>
      </c>
      <c r="AL371" s="2">
        <v>0</v>
      </c>
      <c r="AM371" s="2">
        <v>2</v>
      </c>
      <c r="AN371" s="2">
        <v>1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1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1</v>
      </c>
      <c r="BN371" s="2">
        <v>0</v>
      </c>
      <c r="BO371" s="2">
        <v>0</v>
      </c>
      <c r="BP371" s="2">
        <v>0</v>
      </c>
      <c r="BQ371" s="2">
        <v>1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1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>
        <v>0</v>
      </c>
      <c r="CN371" s="2">
        <v>0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2">
        <v>0</v>
      </c>
      <c r="CX371" s="2">
        <v>0</v>
      </c>
      <c r="CY371" s="2">
        <v>0</v>
      </c>
      <c r="CZ371" s="2">
        <v>0</v>
      </c>
      <c r="DA371" s="2">
        <v>0</v>
      </c>
      <c r="DB371" s="2">
        <v>0</v>
      </c>
      <c r="DC371" s="2">
        <v>0</v>
      </c>
      <c r="DD371" s="2">
        <v>0</v>
      </c>
      <c r="DE371" s="2">
        <v>0</v>
      </c>
      <c r="DF371" s="2">
        <v>0</v>
      </c>
      <c r="DG371" s="2">
        <v>0</v>
      </c>
      <c r="DH371" s="2">
        <v>1</v>
      </c>
      <c r="DI371" s="2">
        <v>0</v>
      </c>
      <c r="DJ371" s="2">
        <v>0</v>
      </c>
      <c r="DK371" s="2">
        <v>0</v>
      </c>
      <c r="DL371" s="2">
        <v>0</v>
      </c>
      <c r="DM371" s="2">
        <v>0</v>
      </c>
      <c r="DN371" s="2">
        <v>1</v>
      </c>
      <c r="DO371" s="2">
        <v>0</v>
      </c>
      <c r="DP371" s="2">
        <v>0</v>
      </c>
      <c r="DQ371" s="2">
        <v>0</v>
      </c>
      <c r="DR371" s="2">
        <v>0</v>
      </c>
      <c r="DS371" s="2">
        <v>0</v>
      </c>
    </row>
    <row r="372" spans="1:123">
      <c r="A372" s="2" t="s">
        <v>18</v>
      </c>
      <c r="B372" s="2" t="s">
        <v>613</v>
      </c>
      <c r="C372" s="2">
        <v>18</v>
      </c>
      <c r="D372" s="2">
        <v>5</v>
      </c>
      <c r="E372" s="2">
        <v>0.3</v>
      </c>
      <c r="F372" s="2">
        <v>3.6</v>
      </c>
      <c r="G372" s="2" t="s">
        <v>249</v>
      </c>
      <c r="H372">
        <f>IF(AND(OR(لوحة_القيادة!$C$4="الكل", A372=لوحة_القيادة!$C$4), IF(لوحة_القيادة!$C$5="الكل", TRUE, INDEX($V372:$AG372, 1, VALUE(لوحة_القيادة!$C$5))&gt;0)), 1, 0)</f>
        <v>0</v>
      </c>
      <c r="I372">
        <f>IF(H372=1, SUM($H$2:H372), "")</f>
        <v>0</v>
      </c>
      <c r="J372" s="2">
        <v>4</v>
      </c>
      <c r="K372" s="2">
        <v>3</v>
      </c>
      <c r="L372" s="2">
        <v>4</v>
      </c>
      <c r="M372" s="2">
        <v>3</v>
      </c>
      <c r="N372" s="2">
        <v>0</v>
      </c>
      <c r="O372" s="2">
        <v>4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1</v>
      </c>
      <c r="W372" s="2">
        <v>1</v>
      </c>
      <c r="X372" s="2">
        <v>1</v>
      </c>
      <c r="Y372" s="2">
        <v>1</v>
      </c>
      <c r="Z372" s="2">
        <v>0</v>
      </c>
      <c r="AA372" s="2">
        <v>1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1</v>
      </c>
      <c r="AH372" s="2">
        <v>3</v>
      </c>
      <c r="AI372" s="2">
        <v>1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1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1</v>
      </c>
      <c r="BC372" s="2">
        <v>1</v>
      </c>
      <c r="BD372" s="2">
        <v>0</v>
      </c>
      <c r="BE372" s="2">
        <v>1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1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>
        <v>0</v>
      </c>
      <c r="CN372" s="2">
        <v>0</v>
      </c>
      <c r="CO372" s="2">
        <v>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0</v>
      </c>
      <c r="CW372" s="2">
        <v>0</v>
      </c>
      <c r="CX372" s="2">
        <v>0</v>
      </c>
      <c r="CY372" s="2">
        <v>0</v>
      </c>
      <c r="CZ372" s="2">
        <v>0</v>
      </c>
      <c r="DA372" s="2">
        <v>0</v>
      </c>
      <c r="DB372" s="2">
        <v>0</v>
      </c>
      <c r="DC372" s="2">
        <v>0</v>
      </c>
      <c r="DD372" s="2">
        <v>0</v>
      </c>
      <c r="DE372" s="2">
        <v>0</v>
      </c>
      <c r="DF372" s="2">
        <v>0</v>
      </c>
      <c r="DG372" s="2">
        <v>0</v>
      </c>
      <c r="DH372" s="2">
        <v>0</v>
      </c>
      <c r="DI372" s="2">
        <v>0</v>
      </c>
      <c r="DJ372" s="2">
        <v>0</v>
      </c>
      <c r="DK372" s="2">
        <v>0</v>
      </c>
      <c r="DL372" s="2">
        <v>0</v>
      </c>
      <c r="DM372" s="2">
        <v>0</v>
      </c>
      <c r="DN372" s="2">
        <v>0</v>
      </c>
      <c r="DO372" s="2">
        <v>0</v>
      </c>
      <c r="DP372" s="2">
        <v>0</v>
      </c>
      <c r="DQ372" s="2">
        <v>0</v>
      </c>
      <c r="DR372" s="2">
        <v>0</v>
      </c>
      <c r="DS372" s="2">
        <v>0</v>
      </c>
    </row>
    <row r="373" spans="1:123">
      <c r="A373" s="2" t="s">
        <v>19</v>
      </c>
      <c r="B373" s="2" t="s">
        <v>614</v>
      </c>
      <c r="C373" s="2">
        <v>18</v>
      </c>
      <c r="D373" s="2">
        <v>6</v>
      </c>
      <c r="E373" s="2">
        <v>0.3</v>
      </c>
      <c r="F373" s="2">
        <v>3</v>
      </c>
      <c r="G373" s="2" t="s">
        <v>615</v>
      </c>
      <c r="H373">
        <f>IF(AND(OR(لوحة_القيادة!$C$4="الكل", A373=لوحة_القيادة!$C$4), IF(لوحة_القيادة!$C$5="الكل", TRUE, INDEX($V373:$AG373, 1, VALUE(لوحة_القيادة!$C$5))&gt;0)), 1, 0)</f>
        <v>0</v>
      </c>
      <c r="I373">
        <f>IF(H373=1, SUM($H$2:H373), "")</f>
        <v>0</v>
      </c>
      <c r="J373" s="2">
        <v>15</v>
      </c>
      <c r="K373" s="2">
        <v>0</v>
      </c>
      <c r="L373" s="2">
        <v>2</v>
      </c>
      <c r="M373" s="2">
        <v>0</v>
      </c>
      <c r="N373" s="2">
        <v>0</v>
      </c>
      <c r="O373" s="2">
        <v>1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4</v>
      </c>
      <c r="W373" s="2">
        <v>0</v>
      </c>
      <c r="X373" s="2">
        <v>1</v>
      </c>
      <c r="Y373" s="2">
        <v>0</v>
      </c>
      <c r="Z373" s="2">
        <v>0</v>
      </c>
      <c r="AA373" s="2">
        <v>1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2</v>
      </c>
      <c r="AH373" s="2">
        <v>0</v>
      </c>
      <c r="AI373" s="2">
        <v>0</v>
      </c>
      <c r="AJ373" s="2">
        <v>2</v>
      </c>
      <c r="AK373" s="2">
        <v>0</v>
      </c>
      <c r="AL373" s="2">
        <v>0</v>
      </c>
      <c r="AM373" s="2">
        <v>2</v>
      </c>
      <c r="AN373" s="2">
        <v>2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2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0</v>
      </c>
      <c r="CW373" s="2">
        <v>0</v>
      </c>
      <c r="CX373" s="2">
        <v>0</v>
      </c>
      <c r="CY373" s="2">
        <v>0</v>
      </c>
      <c r="CZ373" s="2">
        <v>0</v>
      </c>
      <c r="DA373" s="2">
        <v>0</v>
      </c>
      <c r="DB373" s="2">
        <v>0</v>
      </c>
      <c r="DC373" s="2">
        <v>0</v>
      </c>
      <c r="DD373" s="2">
        <v>0</v>
      </c>
      <c r="DE373" s="2">
        <v>0</v>
      </c>
      <c r="DF373" s="2">
        <v>0</v>
      </c>
      <c r="DG373" s="2">
        <v>0</v>
      </c>
      <c r="DH373" s="2">
        <v>0</v>
      </c>
      <c r="DI373" s="2">
        <v>0</v>
      </c>
      <c r="DJ373" s="2">
        <v>1</v>
      </c>
      <c r="DK373" s="2">
        <v>0</v>
      </c>
      <c r="DL373" s="2">
        <v>0</v>
      </c>
      <c r="DM373" s="2">
        <v>1</v>
      </c>
      <c r="DN373" s="2">
        <v>0</v>
      </c>
      <c r="DO373" s="2">
        <v>0</v>
      </c>
      <c r="DP373" s="2">
        <v>0</v>
      </c>
      <c r="DQ373" s="2">
        <v>0</v>
      </c>
      <c r="DR373" s="2">
        <v>0</v>
      </c>
      <c r="DS373" s="2">
        <v>0</v>
      </c>
    </row>
    <row r="374" spans="1:123">
      <c r="A374" s="2" t="s">
        <v>8</v>
      </c>
      <c r="B374" s="2" t="s">
        <v>616</v>
      </c>
      <c r="C374" s="2">
        <v>17</v>
      </c>
      <c r="D374" s="2">
        <v>3</v>
      </c>
      <c r="E374" s="2">
        <v>0.28</v>
      </c>
      <c r="F374" s="2">
        <v>5.67</v>
      </c>
      <c r="G374" s="2" t="s">
        <v>394</v>
      </c>
      <c r="H374">
        <f>IF(AND(OR(لوحة_القيادة!$C$4="الكل", A374=لوحة_القيادة!$C$4), IF(لوحة_القيادة!$C$5="الكل", TRUE, INDEX($V374:$AG374, 1, VALUE(لوحة_القيادة!$C$5))&gt;0)), 1, 0)</f>
        <v>0</v>
      </c>
      <c r="I374">
        <f>IF(H374=1, SUM($H$2:H374), "")</f>
        <v>0</v>
      </c>
      <c r="J374" s="2">
        <v>0</v>
      </c>
      <c r="K374" s="2">
        <v>3</v>
      </c>
      <c r="L374" s="2">
        <v>4</v>
      </c>
      <c r="M374" s="2">
        <v>0</v>
      </c>
      <c r="N374" s="2">
        <v>10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1</v>
      </c>
      <c r="X374" s="2">
        <v>1</v>
      </c>
      <c r="Y374" s="2">
        <v>0</v>
      </c>
      <c r="Z374" s="2">
        <v>1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2</v>
      </c>
      <c r="AI374" s="2">
        <v>0</v>
      </c>
      <c r="AJ374" s="2">
        <v>0</v>
      </c>
      <c r="AK374" s="2">
        <v>0</v>
      </c>
      <c r="AL374" s="2">
        <v>0</v>
      </c>
      <c r="AM374" s="2">
        <v>1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1</v>
      </c>
      <c r="BB374" s="2">
        <v>0</v>
      </c>
      <c r="BC374" s="2">
        <v>0</v>
      </c>
      <c r="BD374" s="2">
        <v>1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>
        <v>0</v>
      </c>
      <c r="CN374" s="2">
        <v>0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  <c r="CV374" s="2">
        <v>0</v>
      </c>
      <c r="CW374" s="2">
        <v>0</v>
      </c>
      <c r="CX374" s="2">
        <v>0</v>
      </c>
      <c r="CY374" s="2">
        <v>0</v>
      </c>
      <c r="CZ374" s="2">
        <v>0</v>
      </c>
      <c r="DA374" s="2">
        <v>0</v>
      </c>
      <c r="DB374" s="2">
        <v>0</v>
      </c>
      <c r="DC374" s="2">
        <v>0</v>
      </c>
      <c r="DD374" s="2">
        <v>0</v>
      </c>
      <c r="DE374" s="2">
        <v>0</v>
      </c>
      <c r="DF374" s="2">
        <v>0</v>
      </c>
      <c r="DG374" s="2">
        <v>0</v>
      </c>
      <c r="DH374" s="2">
        <v>0</v>
      </c>
      <c r="DI374" s="2">
        <v>0</v>
      </c>
      <c r="DJ374" s="2">
        <v>1</v>
      </c>
      <c r="DK374" s="2">
        <v>0</v>
      </c>
      <c r="DL374" s="2">
        <v>0</v>
      </c>
      <c r="DM374" s="2">
        <v>0</v>
      </c>
      <c r="DN374" s="2">
        <v>0</v>
      </c>
      <c r="DO374" s="2">
        <v>0</v>
      </c>
      <c r="DP374" s="2">
        <v>0</v>
      </c>
      <c r="DQ374" s="2">
        <v>0</v>
      </c>
      <c r="DR374" s="2">
        <v>0</v>
      </c>
      <c r="DS374" s="2">
        <v>0</v>
      </c>
    </row>
    <row r="375" spans="1:123">
      <c r="A375" s="2" t="s">
        <v>17</v>
      </c>
      <c r="B375" s="2" t="s">
        <v>617</v>
      </c>
      <c r="C375" s="2">
        <v>17</v>
      </c>
      <c r="D375" s="2">
        <v>1</v>
      </c>
      <c r="E375" s="2">
        <v>0.28</v>
      </c>
      <c r="F375" s="2">
        <v>17</v>
      </c>
      <c r="G375" s="2" t="s">
        <v>28</v>
      </c>
      <c r="H375">
        <f>IF(AND(OR(لوحة_القيادة!$C$4="الكل", A375=لوحة_القيادة!$C$4), IF(لوحة_القيادة!$C$5="الكل", TRUE, INDEX($V375:$AG375, 1, VALUE(لوحة_القيادة!$C$5))&gt;0)), 1, 0)</f>
        <v>0</v>
      </c>
      <c r="I375">
        <f>IF(H375=1, SUM($H$2:H375), "")</f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17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1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1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  <c r="CV375" s="2">
        <v>0</v>
      </c>
      <c r="CW375" s="2">
        <v>0</v>
      </c>
      <c r="CX375" s="2">
        <v>0</v>
      </c>
      <c r="CY375" s="2">
        <v>0</v>
      </c>
      <c r="CZ375" s="2">
        <v>0</v>
      </c>
      <c r="DA375" s="2">
        <v>0</v>
      </c>
      <c r="DB375" s="2">
        <v>0</v>
      </c>
      <c r="DC375" s="2">
        <v>0</v>
      </c>
      <c r="DD375" s="2">
        <v>0</v>
      </c>
      <c r="DE375" s="2">
        <v>0</v>
      </c>
      <c r="DF375" s="2">
        <v>0</v>
      </c>
      <c r="DG375" s="2">
        <v>0</v>
      </c>
      <c r="DH375" s="2">
        <v>0</v>
      </c>
      <c r="DI375" s="2">
        <v>0</v>
      </c>
      <c r="DJ375" s="2">
        <v>0</v>
      </c>
      <c r="DK375" s="2">
        <v>0</v>
      </c>
      <c r="DL375" s="2">
        <v>0</v>
      </c>
      <c r="DM375" s="2">
        <v>1</v>
      </c>
      <c r="DN375" s="2">
        <v>0</v>
      </c>
      <c r="DO375" s="2">
        <v>0</v>
      </c>
      <c r="DP375" s="2">
        <v>0</v>
      </c>
      <c r="DQ375" s="2">
        <v>0</v>
      </c>
      <c r="DR375" s="2">
        <v>0</v>
      </c>
      <c r="DS375" s="2">
        <v>0</v>
      </c>
    </row>
    <row r="376" spans="1:123">
      <c r="A376" s="2" t="s">
        <v>14</v>
      </c>
      <c r="B376" s="2" t="s">
        <v>618</v>
      </c>
      <c r="C376" s="2">
        <v>16</v>
      </c>
      <c r="D376" s="2">
        <v>2</v>
      </c>
      <c r="E376" s="2">
        <v>0.27</v>
      </c>
      <c r="F376" s="2">
        <v>8</v>
      </c>
      <c r="G376" s="2" t="s">
        <v>619</v>
      </c>
      <c r="H376">
        <f>IF(AND(OR(لوحة_القيادة!$C$4="الكل", A376=لوحة_القيادة!$C$4), IF(لوحة_القيادة!$C$5="الكل", TRUE, INDEX($V376:$AG376, 1, VALUE(لوحة_القيادة!$C$5))&gt;0)), 1, 0)</f>
        <v>0</v>
      </c>
      <c r="I376">
        <f>IF(H376=1, SUM($H$2:H376), "")</f>
        <v>0</v>
      </c>
      <c r="J376" s="2">
        <v>0</v>
      </c>
      <c r="K376" s="2">
        <v>0</v>
      </c>
      <c r="L376" s="2">
        <v>0</v>
      </c>
      <c r="M376" s="2">
        <v>0</v>
      </c>
      <c r="N376" s="2">
        <v>12</v>
      </c>
      <c r="O376" s="2">
        <v>4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1</v>
      </c>
      <c r="AA376" s="2">
        <v>1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1</v>
      </c>
      <c r="AI376" s="2">
        <v>0</v>
      </c>
      <c r="AJ376" s="2">
        <v>0</v>
      </c>
      <c r="AK376" s="2">
        <v>0</v>
      </c>
      <c r="AL376" s="2">
        <v>0</v>
      </c>
      <c r="AM376" s="2">
        <v>1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1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0</v>
      </c>
      <c r="CW376" s="2">
        <v>0</v>
      </c>
      <c r="CX376" s="2">
        <v>0</v>
      </c>
      <c r="CY376" s="2">
        <v>0</v>
      </c>
      <c r="CZ376" s="2">
        <v>0</v>
      </c>
      <c r="DA376" s="2">
        <v>0</v>
      </c>
      <c r="DB376" s="2">
        <v>0</v>
      </c>
      <c r="DC376" s="2">
        <v>0</v>
      </c>
      <c r="DD376" s="2">
        <v>0</v>
      </c>
      <c r="DE376" s="2">
        <v>0</v>
      </c>
      <c r="DF376" s="2">
        <v>0</v>
      </c>
      <c r="DG376" s="2">
        <v>0</v>
      </c>
      <c r="DH376" s="2">
        <v>0</v>
      </c>
      <c r="DI376" s="2">
        <v>0</v>
      </c>
      <c r="DJ376" s="2">
        <v>0</v>
      </c>
      <c r="DK376" s="2">
        <v>0</v>
      </c>
      <c r="DL376" s="2">
        <v>1</v>
      </c>
      <c r="DM376" s="2">
        <v>0</v>
      </c>
      <c r="DN376" s="2">
        <v>0</v>
      </c>
      <c r="DO376" s="2">
        <v>0</v>
      </c>
      <c r="DP376" s="2">
        <v>0</v>
      </c>
      <c r="DQ376" s="2">
        <v>0</v>
      </c>
      <c r="DR376" s="2">
        <v>0</v>
      </c>
      <c r="DS376" s="2">
        <v>0</v>
      </c>
    </row>
    <row r="377" spans="1:123">
      <c r="A377" s="2" t="s">
        <v>9</v>
      </c>
      <c r="B377" s="2" t="s">
        <v>620</v>
      </c>
      <c r="C377" s="2">
        <v>15</v>
      </c>
      <c r="D377" s="2">
        <v>4</v>
      </c>
      <c r="E377" s="2">
        <v>0.25</v>
      </c>
      <c r="F377" s="2">
        <v>3.75</v>
      </c>
      <c r="G377" s="2" t="s">
        <v>208</v>
      </c>
      <c r="H377">
        <f>IF(AND(OR(لوحة_القيادة!$C$4="الكل", A377=لوحة_القيادة!$C$4), IF(لوحة_القيادة!$C$5="الكل", TRUE, INDEX($V377:$AG377, 1, VALUE(لوحة_القيادة!$C$5))&gt;0)), 1, 0)</f>
        <v>0</v>
      </c>
      <c r="I377">
        <f>IF(H377=1, SUM($H$2:H377), "")</f>
        <v>0</v>
      </c>
      <c r="J377" s="2">
        <v>4</v>
      </c>
      <c r="K377" s="2">
        <v>3</v>
      </c>
      <c r="L377" s="2">
        <v>0</v>
      </c>
      <c r="M377" s="2">
        <v>3</v>
      </c>
      <c r="N377" s="2">
        <v>5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1</v>
      </c>
      <c r="W377" s="2">
        <v>1</v>
      </c>
      <c r="X377" s="2">
        <v>0</v>
      </c>
      <c r="Y377" s="2">
        <v>1</v>
      </c>
      <c r="Z377" s="2">
        <v>1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1</v>
      </c>
      <c r="AI377" s="2">
        <v>3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1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1</v>
      </c>
      <c r="BM377" s="2">
        <v>0</v>
      </c>
      <c r="BN377" s="2">
        <v>0</v>
      </c>
      <c r="BO377" s="2">
        <v>1</v>
      </c>
      <c r="BP377" s="2">
        <v>1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0</v>
      </c>
      <c r="CW377" s="2">
        <v>0</v>
      </c>
      <c r="CX377" s="2">
        <v>0</v>
      </c>
      <c r="CY377" s="2">
        <v>0</v>
      </c>
      <c r="CZ377" s="2">
        <v>0</v>
      </c>
      <c r="DA377" s="2">
        <v>0</v>
      </c>
      <c r="DB377" s="2">
        <v>0</v>
      </c>
      <c r="DC377" s="2">
        <v>0</v>
      </c>
      <c r="DD377" s="2">
        <v>0</v>
      </c>
      <c r="DE377" s="2">
        <v>0</v>
      </c>
      <c r="DF377" s="2">
        <v>0</v>
      </c>
      <c r="DG377" s="2">
        <v>0</v>
      </c>
      <c r="DH377" s="2">
        <v>0</v>
      </c>
      <c r="DI377" s="2">
        <v>0</v>
      </c>
      <c r="DJ377" s="2">
        <v>0</v>
      </c>
      <c r="DK377" s="2">
        <v>0</v>
      </c>
      <c r="DL377" s="2">
        <v>0</v>
      </c>
      <c r="DM377" s="2">
        <v>0</v>
      </c>
      <c r="DN377" s="2">
        <v>0</v>
      </c>
      <c r="DO377" s="2">
        <v>0</v>
      </c>
      <c r="DP377" s="2">
        <v>0</v>
      </c>
      <c r="DQ377" s="2">
        <v>0</v>
      </c>
      <c r="DR377" s="2">
        <v>0</v>
      </c>
      <c r="DS377" s="2">
        <v>0</v>
      </c>
    </row>
    <row r="378" spans="1:123">
      <c r="A378" s="2" t="s">
        <v>11</v>
      </c>
      <c r="B378" s="2" t="s">
        <v>621</v>
      </c>
      <c r="C378" s="2">
        <v>15</v>
      </c>
      <c r="D378" s="2">
        <v>2</v>
      </c>
      <c r="E378" s="2">
        <v>0.25</v>
      </c>
      <c r="F378" s="2">
        <v>7.5</v>
      </c>
      <c r="G378" s="2" t="s">
        <v>577</v>
      </c>
      <c r="H378">
        <f>IF(AND(OR(لوحة_القيادة!$C$4="الكل", A378=لوحة_القيادة!$C$4), IF(لوحة_القيادة!$C$5="الكل", TRUE, INDEX($V378:$AG378, 1, VALUE(لوحة_القيادة!$C$5))&gt;0)), 1, 0)</f>
        <v>0</v>
      </c>
      <c r="I378">
        <f>IF(H378=1, SUM($H$2:H378), "")</f>
        <v>0</v>
      </c>
      <c r="J378" s="2">
        <v>0</v>
      </c>
      <c r="K378" s="2">
        <v>14</v>
      </c>
      <c r="L378" s="2">
        <v>0</v>
      </c>
      <c r="M378" s="2">
        <v>0</v>
      </c>
      <c r="N378" s="2">
        <v>0</v>
      </c>
      <c r="O378" s="2">
        <v>1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1</v>
      </c>
      <c r="X378" s="2">
        <v>0</v>
      </c>
      <c r="Y378" s="2">
        <v>0</v>
      </c>
      <c r="Z378" s="2">
        <v>0</v>
      </c>
      <c r="AA378" s="2">
        <v>1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1</v>
      </c>
      <c r="AH378" s="2">
        <v>0</v>
      </c>
      <c r="AI378" s="2">
        <v>0</v>
      </c>
      <c r="AJ378" s="2">
        <v>1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1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1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2">
        <v>0</v>
      </c>
      <c r="CX378" s="2">
        <v>0</v>
      </c>
      <c r="CY378" s="2">
        <v>0</v>
      </c>
      <c r="CZ378" s="2">
        <v>0</v>
      </c>
      <c r="DA378" s="2">
        <v>0</v>
      </c>
      <c r="DB378" s="2">
        <v>0</v>
      </c>
      <c r="DC378" s="2">
        <v>0</v>
      </c>
      <c r="DD378" s="2">
        <v>0</v>
      </c>
      <c r="DE378" s="2">
        <v>0</v>
      </c>
      <c r="DF378" s="2">
        <v>0</v>
      </c>
      <c r="DG378" s="2">
        <v>0</v>
      </c>
      <c r="DH378" s="2">
        <v>0</v>
      </c>
      <c r="DI378" s="2">
        <v>0</v>
      </c>
      <c r="DJ378" s="2">
        <v>0</v>
      </c>
      <c r="DK378" s="2">
        <v>0</v>
      </c>
      <c r="DL378" s="2">
        <v>0</v>
      </c>
      <c r="DM378" s="2">
        <v>0</v>
      </c>
      <c r="DN378" s="2">
        <v>0</v>
      </c>
      <c r="DO378" s="2">
        <v>0</v>
      </c>
      <c r="DP378" s="2">
        <v>0</v>
      </c>
      <c r="DQ378" s="2">
        <v>0</v>
      </c>
      <c r="DR378" s="2">
        <v>0</v>
      </c>
      <c r="DS378" s="2">
        <v>0</v>
      </c>
    </row>
    <row r="379" spans="1:123">
      <c r="A379" s="2" t="s">
        <v>12</v>
      </c>
      <c r="B379" s="2" t="s">
        <v>622</v>
      </c>
      <c r="C379" s="2">
        <v>15</v>
      </c>
      <c r="D379" s="2">
        <v>1</v>
      </c>
      <c r="E379" s="2">
        <v>0.25</v>
      </c>
      <c r="F379" s="2">
        <v>15</v>
      </c>
      <c r="G379" s="2" t="s">
        <v>24</v>
      </c>
      <c r="H379">
        <f>IF(AND(OR(لوحة_القيادة!$C$4="الكل", A379=لوحة_القيادة!$C$4), IF(لوحة_القيادة!$C$5="الكل", TRUE, INDEX($V379:$AG379, 1, VALUE(لوحة_القيادة!$C$5))&gt;0)), 1, 0)</f>
        <v>0</v>
      </c>
      <c r="I379">
        <f>IF(H379=1, SUM($H$2:H379), "")</f>
        <v>0</v>
      </c>
      <c r="J379" s="2">
        <v>0</v>
      </c>
      <c r="K379" s="2">
        <v>15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1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1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1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CZ379" s="2">
        <v>0</v>
      </c>
      <c r="DA379" s="2">
        <v>0</v>
      </c>
      <c r="DB379" s="2">
        <v>0</v>
      </c>
      <c r="DC379" s="2">
        <v>0</v>
      </c>
      <c r="DD379" s="2">
        <v>0</v>
      </c>
      <c r="DE379" s="2">
        <v>0</v>
      </c>
      <c r="DF379" s="2">
        <v>0</v>
      </c>
      <c r="DG379" s="2">
        <v>0</v>
      </c>
      <c r="DH379" s="2">
        <v>0</v>
      </c>
      <c r="DI379" s="2">
        <v>0</v>
      </c>
      <c r="DJ379" s="2">
        <v>0</v>
      </c>
      <c r="DK379" s="2">
        <v>0</v>
      </c>
      <c r="DL379" s="2">
        <v>0</v>
      </c>
      <c r="DM379" s="2">
        <v>0</v>
      </c>
      <c r="DN379" s="2">
        <v>0</v>
      </c>
      <c r="DO379" s="2">
        <v>0</v>
      </c>
      <c r="DP379" s="2">
        <v>0</v>
      </c>
      <c r="DQ379" s="2">
        <v>0</v>
      </c>
      <c r="DR379" s="2">
        <v>0</v>
      </c>
      <c r="DS379" s="2">
        <v>0</v>
      </c>
    </row>
    <row r="380" spans="1:123">
      <c r="A380" s="2" t="s">
        <v>14</v>
      </c>
      <c r="B380" s="2" t="s">
        <v>623</v>
      </c>
      <c r="C380" s="2">
        <v>15</v>
      </c>
      <c r="D380" s="2">
        <v>2</v>
      </c>
      <c r="E380" s="2">
        <v>0.25</v>
      </c>
      <c r="F380" s="2">
        <v>7.5</v>
      </c>
      <c r="G380" s="2" t="s">
        <v>291</v>
      </c>
      <c r="H380">
        <f>IF(AND(OR(لوحة_القيادة!$C$4="الكل", A380=لوحة_القيادة!$C$4), IF(لوحة_القيادة!$C$5="الكل", TRUE, INDEX($V380:$AG380, 1, VALUE(لوحة_القيادة!$C$5))&gt;0)), 1, 0)</f>
        <v>0</v>
      </c>
      <c r="I380">
        <f>IF(H380=1, SUM($H$2:H380), "")</f>
        <v>0</v>
      </c>
      <c r="J380" s="2">
        <v>4</v>
      </c>
      <c r="K380" s="2">
        <v>11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1</v>
      </c>
      <c r="W380" s="2">
        <v>1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1</v>
      </c>
      <c r="AH380" s="2">
        <v>1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1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1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0</v>
      </c>
      <c r="CW380" s="2">
        <v>0</v>
      </c>
      <c r="CX380" s="2">
        <v>0</v>
      </c>
      <c r="CY380" s="2">
        <v>0</v>
      </c>
      <c r="CZ380" s="2">
        <v>0</v>
      </c>
      <c r="DA380" s="2">
        <v>0</v>
      </c>
      <c r="DB380" s="2">
        <v>0</v>
      </c>
      <c r="DC380" s="2">
        <v>0</v>
      </c>
      <c r="DD380" s="2">
        <v>0</v>
      </c>
      <c r="DE380" s="2">
        <v>0</v>
      </c>
      <c r="DF380" s="2">
        <v>0</v>
      </c>
      <c r="DG380" s="2">
        <v>0</v>
      </c>
      <c r="DH380" s="2">
        <v>0</v>
      </c>
      <c r="DI380" s="2">
        <v>0</v>
      </c>
      <c r="DJ380" s="2">
        <v>0</v>
      </c>
      <c r="DK380" s="2">
        <v>0</v>
      </c>
      <c r="DL380" s="2">
        <v>0</v>
      </c>
      <c r="DM380" s="2">
        <v>0</v>
      </c>
      <c r="DN380" s="2">
        <v>0</v>
      </c>
      <c r="DO380" s="2">
        <v>0</v>
      </c>
      <c r="DP380" s="2">
        <v>0</v>
      </c>
      <c r="DQ380" s="2">
        <v>0</v>
      </c>
      <c r="DR380" s="2">
        <v>0</v>
      </c>
      <c r="DS380" s="2">
        <v>0</v>
      </c>
    </row>
    <row r="381" spans="1:123">
      <c r="A381" s="2" t="s">
        <v>16</v>
      </c>
      <c r="B381" s="2" t="s">
        <v>624</v>
      </c>
      <c r="C381" s="2">
        <v>15</v>
      </c>
      <c r="D381" s="2">
        <v>7</v>
      </c>
      <c r="E381" s="2">
        <v>0.25</v>
      </c>
      <c r="F381" s="2">
        <v>2.14</v>
      </c>
      <c r="G381" s="2" t="s">
        <v>440</v>
      </c>
      <c r="H381">
        <f>IF(AND(OR(لوحة_القيادة!$C$4="الكل", A381=لوحة_القيادة!$C$4), IF(لوحة_القيادة!$C$5="الكل", TRUE, INDEX($V381:$AG381, 1, VALUE(لوحة_القيادة!$C$5))&gt;0)), 1, 0)</f>
        <v>0</v>
      </c>
      <c r="I381">
        <f>IF(H381=1, SUM($H$2:H381), "")</f>
        <v>0</v>
      </c>
      <c r="J381" s="2">
        <v>5</v>
      </c>
      <c r="K381" s="2">
        <v>9</v>
      </c>
      <c r="L381" s="2">
        <v>0</v>
      </c>
      <c r="M381" s="2">
        <v>1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3</v>
      </c>
      <c r="W381" s="2">
        <v>3</v>
      </c>
      <c r="X381" s="2">
        <v>0</v>
      </c>
      <c r="Y381" s="2">
        <v>1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2</v>
      </c>
      <c r="AH381" s="2">
        <v>3</v>
      </c>
      <c r="AI381" s="2">
        <v>1</v>
      </c>
      <c r="AJ381" s="2">
        <v>0</v>
      </c>
      <c r="AK381" s="2">
        <v>0</v>
      </c>
      <c r="AL381" s="2">
        <v>0</v>
      </c>
      <c r="AM381" s="2">
        <v>1</v>
      </c>
      <c r="AN381" s="2">
        <v>1</v>
      </c>
      <c r="AO381" s="2">
        <v>1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1</v>
      </c>
      <c r="BA381" s="2">
        <v>1</v>
      </c>
      <c r="BB381" s="2">
        <v>0</v>
      </c>
      <c r="BC381" s="2">
        <v>1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1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0</v>
      </c>
      <c r="DB381" s="2">
        <v>0</v>
      </c>
      <c r="DC381" s="2">
        <v>0</v>
      </c>
      <c r="DD381" s="2">
        <v>0</v>
      </c>
      <c r="DE381" s="2">
        <v>0</v>
      </c>
      <c r="DF381" s="2">
        <v>0</v>
      </c>
      <c r="DG381" s="2">
        <v>0</v>
      </c>
      <c r="DH381" s="2">
        <v>0</v>
      </c>
      <c r="DI381" s="2">
        <v>1</v>
      </c>
      <c r="DJ381" s="2">
        <v>0</v>
      </c>
      <c r="DK381" s="2">
        <v>0</v>
      </c>
      <c r="DL381" s="2">
        <v>0</v>
      </c>
      <c r="DM381" s="2">
        <v>0</v>
      </c>
      <c r="DN381" s="2">
        <v>0</v>
      </c>
      <c r="DO381" s="2">
        <v>0</v>
      </c>
      <c r="DP381" s="2">
        <v>0</v>
      </c>
      <c r="DQ381" s="2">
        <v>0</v>
      </c>
      <c r="DR381" s="2">
        <v>0</v>
      </c>
      <c r="DS381" s="2">
        <v>0</v>
      </c>
    </row>
    <row r="382" spans="1:123">
      <c r="A382" s="2" t="s">
        <v>17</v>
      </c>
      <c r="B382" s="2" t="s">
        <v>625</v>
      </c>
      <c r="C382" s="2">
        <v>15</v>
      </c>
      <c r="D382" s="2">
        <v>3</v>
      </c>
      <c r="E382" s="2">
        <v>0.25</v>
      </c>
      <c r="F382" s="2">
        <v>5</v>
      </c>
      <c r="G382" s="2" t="s">
        <v>333</v>
      </c>
      <c r="H382">
        <f>IF(AND(OR(لوحة_القيادة!$C$4="الكل", A382=لوحة_القيادة!$C$4), IF(لوحة_القيادة!$C$5="الكل", TRUE, INDEX($V382:$AG382, 1, VALUE(لوحة_القيادة!$C$5))&gt;0)), 1, 0)</f>
        <v>0</v>
      </c>
      <c r="I382">
        <f>IF(H382=1, SUM($H$2:H382), "")</f>
        <v>0</v>
      </c>
      <c r="J382" s="2">
        <v>0</v>
      </c>
      <c r="K382" s="2">
        <v>1</v>
      </c>
      <c r="L382" s="2">
        <v>11</v>
      </c>
      <c r="M382" s="2">
        <v>3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1</v>
      </c>
      <c r="X382" s="2">
        <v>1</v>
      </c>
      <c r="Y382" s="2">
        <v>1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1</v>
      </c>
      <c r="AI382" s="2">
        <v>1</v>
      </c>
      <c r="AJ382" s="2">
        <v>0</v>
      </c>
      <c r="AK382" s="2">
        <v>0</v>
      </c>
      <c r="AL382" s="2">
        <v>0</v>
      </c>
      <c r="AM382" s="2">
        <v>1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1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1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0</v>
      </c>
      <c r="CX382" s="2">
        <v>0</v>
      </c>
      <c r="CY382" s="2">
        <v>0</v>
      </c>
      <c r="CZ382" s="2">
        <v>0</v>
      </c>
      <c r="DA382" s="2">
        <v>0</v>
      </c>
      <c r="DB382" s="2">
        <v>0</v>
      </c>
      <c r="DC382" s="2">
        <v>0</v>
      </c>
      <c r="DD382" s="2">
        <v>0</v>
      </c>
      <c r="DE382" s="2">
        <v>0</v>
      </c>
      <c r="DF382" s="2">
        <v>0</v>
      </c>
      <c r="DG382" s="2">
        <v>0</v>
      </c>
      <c r="DH382" s="2">
        <v>0</v>
      </c>
      <c r="DI382" s="2">
        <v>0</v>
      </c>
      <c r="DJ382" s="2">
        <v>0</v>
      </c>
      <c r="DK382" s="2">
        <v>1</v>
      </c>
      <c r="DL382" s="2">
        <v>0</v>
      </c>
      <c r="DM382" s="2">
        <v>0</v>
      </c>
      <c r="DN382" s="2">
        <v>0</v>
      </c>
      <c r="DO382" s="2">
        <v>0</v>
      </c>
      <c r="DP382" s="2">
        <v>0</v>
      </c>
      <c r="DQ382" s="2">
        <v>0</v>
      </c>
      <c r="DR382" s="2">
        <v>0</v>
      </c>
      <c r="DS382" s="2">
        <v>0</v>
      </c>
    </row>
    <row r="383" spans="1:123">
      <c r="A383" s="2" t="s">
        <v>17</v>
      </c>
      <c r="B383" s="2" t="s">
        <v>626</v>
      </c>
      <c r="C383" s="2">
        <v>15</v>
      </c>
      <c r="D383" s="2">
        <v>5</v>
      </c>
      <c r="E383" s="2">
        <v>0.25</v>
      </c>
      <c r="F383" s="2">
        <v>3</v>
      </c>
      <c r="G383" s="2" t="s">
        <v>627</v>
      </c>
      <c r="H383">
        <f>IF(AND(OR(لوحة_القيادة!$C$4="الكل", A383=لوحة_القيادة!$C$4), IF(لوحة_القيادة!$C$5="الكل", TRUE, INDEX($V383:$AG383, 1, VALUE(لوحة_القيادة!$C$5))&gt;0)), 1, 0)</f>
        <v>0</v>
      </c>
      <c r="I383">
        <f>IF(H383=1, SUM($H$2:H383), "")</f>
        <v>0</v>
      </c>
      <c r="J383" s="2">
        <v>0</v>
      </c>
      <c r="K383" s="2">
        <v>5</v>
      </c>
      <c r="L383" s="2">
        <v>0</v>
      </c>
      <c r="M383" s="2">
        <v>0</v>
      </c>
      <c r="N383" s="2">
        <v>2</v>
      </c>
      <c r="O383" s="2">
        <v>5</v>
      </c>
      <c r="P383" s="2">
        <v>3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1</v>
      </c>
      <c r="X383" s="2">
        <v>0</v>
      </c>
      <c r="Y383" s="2">
        <v>0</v>
      </c>
      <c r="Z383" s="2">
        <v>1</v>
      </c>
      <c r="AA383" s="2">
        <v>2</v>
      </c>
      <c r="AB383" s="2">
        <v>1</v>
      </c>
      <c r="AC383" s="2">
        <v>0</v>
      </c>
      <c r="AD383" s="2">
        <v>0</v>
      </c>
      <c r="AE383" s="2">
        <v>0</v>
      </c>
      <c r="AF383" s="2">
        <v>0</v>
      </c>
      <c r="AG383" s="2">
        <v>2</v>
      </c>
      <c r="AH383" s="2">
        <v>0</v>
      </c>
      <c r="AI383" s="2">
        <v>0</v>
      </c>
      <c r="AJ383" s="2">
        <v>2</v>
      </c>
      <c r="AK383" s="2">
        <v>0</v>
      </c>
      <c r="AL383" s="2">
        <v>0</v>
      </c>
      <c r="AM383" s="2">
        <v>1</v>
      </c>
      <c r="AN383" s="2">
        <v>0</v>
      </c>
      <c r="AO383" s="2">
        <v>0</v>
      </c>
      <c r="AP383" s="2">
        <v>0</v>
      </c>
      <c r="AQ383" s="2">
        <v>0</v>
      </c>
      <c r="AR383" s="2">
        <v>1</v>
      </c>
      <c r="AS383" s="2">
        <v>1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1</v>
      </c>
      <c r="BZ383" s="2">
        <v>0</v>
      </c>
      <c r="CA383" s="2">
        <v>0</v>
      </c>
      <c r="CB383" s="2">
        <v>0</v>
      </c>
      <c r="CC383" s="2">
        <v>1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0</v>
      </c>
      <c r="CW383" s="2">
        <v>0</v>
      </c>
      <c r="CX383" s="2">
        <v>0</v>
      </c>
      <c r="CY383" s="2">
        <v>0</v>
      </c>
      <c r="CZ383" s="2">
        <v>0</v>
      </c>
      <c r="DA383" s="2">
        <v>0</v>
      </c>
      <c r="DB383" s="2">
        <v>0</v>
      </c>
      <c r="DC383" s="2">
        <v>0</v>
      </c>
      <c r="DD383" s="2">
        <v>0</v>
      </c>
      <c r="DE383" s="2">
        <v>0</v>
      </c>
      <c r="DF383" s="2">
        <v>0</v>
      </c>
      <c r="DG383" s="2">
        <v>0</v>
      </c>
      <c r="DH383" s="2">
        <v>0</v>
      </c>
      <c r="DI383" s="2">
        <v>0</v>
      </c>
      <c r="DJ383" s="2">
        <v>0</v>
      </c>
      <c r="DK383" s="2">
        <v>0</v>
      </c>
      <c r="DL383" s="2">
        <v>0</v>
      </c>
      <c r="DM383" s="2">
        <v>0</v>
      </c>
      <c r="DN383" s="2">
        <v>1</v>
      </c>
      <c r="DO383" s="2">
        <v>0</v>
      </c>
      <c r="DP383" s="2">
        <v>0</v>
      </c>
      <c r="DQ383" s="2">
        <v>0</v>
      </c>
      <c r="DR383" s="2">
        <v>0</v>
      </c>
      <c r="DS383" s="2">
        <v>0</v>
      </c>
    </row>
    <row r="384" spans="1:123">
      <c r="A384" s="2" t="s">
        <v>5</v>
      </c>
      <c r="B384" s="2" t="s">
        <v>628</v>
      </c>
      <c r="C384" s="2">
        <v>14</v>
      </c>
      <c r="D384" s="2">
        <v>1</v>
      </c>
      <c r="E384" s="2">
        <v>0.23</v>
      </c>
      <c r="F384" s="2">
        <v>14</v>
      </c>
      <c r="G384" s="2" t="s">
        <v>24</v>
      </c>
      <c r="H384">
        <f>IF(AND(OR(لوحة_القيادة!$C$4="الكل", A384=لوحة_القيادة!$C$4), IF(لوحة_القيادة!$C$5="الكل", TRUE, INDEX($V384:$AG384, 1, VALUE(لوحة_القيادة!$C$5))&gt;0)), 1, 0)</f>
        <v>0</v>
      </c>
      <c r="I384">
        <f>IF(H384=1, SUM($H$2:H384), "")</f>
        <v>0</v>
      </c>
      <c r="J384" s="2">
        <v>0</v>
      </c>
      <c r="K384" s="2">
        <v>14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1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1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0</v>
      </c>
      <c r="CW384" s="2">
        <v>0</v>
      </c>
      <c r="CX384" s="2">
        <v>0</v>
      </c>
      <c r="CY384" s="2">
        <v>0</v>
      </c>
      <c r="CZ384" s="2">
        <v>0</v>
      </c>
      <c r="DA384" s="2">
        <v>0</v>
      </c>
      <c r="DB384" s="2">
        <v>0</v>
      </c>
      <c r="DC384" s="2">
        <v>0</v>
      </c>
      <c r="DD384" s="2">
        <v>0</v>
      </c>
      <c r="DE384" s="2">
        <v>0</v>
      </c>
      <c r="DF384" s="2">
        <v>0</v>
      </c>
      <c r="DG384" s="2">
        <v>0</v>
      </c>
      <c r="DH384" s="2">
        <v>0</v>
      </c>
      <c r="DI384" s="2">
        <v>1</v>
      </c>
      <c r="DJ384" s="2">
        <v>0</v>
      </c>
      <c r="DK384" s="2">
        <v>0</v>
      </c>
      <c r="DL384" s="2">
        <v>0</v>
      </c>
      <c r="DM384" s="2">
        <v>0</v>
      </c>
      <c r="DN384" s="2">
        <v>0</v>
      </c>
      <c r="DO384" s="2">
        <v>0</v>
      </c>
      <c r="DP384" s="2">
        <v>0</v>
      </c>
      <c r="DQ384" s="2">
        <v>0</v>
      </c>
      <c r="DR384" s="2">
        <v>0</v>
      </c>
      <c r="DS384" s="2">
        <v>0</v>
      </c>
    </row>
    <row r="385" spans="1:123">
      <c r="A385" s="2" t="s">
        <v>7</v>
      </c>
      <c r="B385" s="2" t="s">
        <v>629</v>
      </c>
      <c r="C385" s="2">
        <v>14</v>
      </c>
      <c r="D385" s="2">
        <v>2</v>
      </c>
      <c r="E385" s="2">
        <v>0.23</v>
      </c>
      <c r="F385" s="2">
        <v>7</v>
      </c>
      <c r="G385" s="2" t="s">
        <v>465</v>
      </c>
      <c r="H385">
        <f>IF(AND(OR(لوحة_القيادة!$C$4="الكل", A385=لوحة_القيادة!$C$4), IF(لوحة_القيادة!$C$5="الكل", TRUE, INDEX($V385:$AG385, 1, VALUE(لوحة_القيادة!$C$5))&gt;0)), 1, 0)</f>
        <v>0</v>
      </c>
      <c r="I385">
        <f>IF(H385=1, SUM($H$2:H385), "")</f>
        <v>0</v>
      </c>
      <c r="J385" s="2">
        <v>0</v>
      </c>
      <c r="K385" s="2">
        <v>9</v>
      </c>
      <c r="L385" s="2">
        <v>5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1</v>
      </c>
      <c r="X385" s="2">
        <v>1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1</v>
      </c>
      <c r="AI385" s="2">
        <v>0</v>
      </c>
      <c r="AJ385" s="2">
        <v>1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1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1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0</v>
      </c>
      <c r="CX385" s="2">
        <v>0</v>
      </c>
      <c r="CY385" s="2">
        <v>0</v>
      </c>
      <c r="CZ385" s="2">
        <v>0</v>
      </c>
      <c r="DA385" s="2">
        <v>0</v>
      </c>
      <c r="DB385" s="2">
        <v>0</v>
      </c>
      <c r="DC385" s="2">
        <v>0</v>
      </c>
      <c r="DD385" s="2">
        <v>0</v>
      </c>
      <c r="DE385" s="2">
        <v>0</v>
      </c>
      <c r="DF385" s="2">
        <v>0</v>
      </c>
      <c r="DG385" s="2">
        <v>0</v>
      </c>
      <c r="DH385" s="2">
        <v>0</v>
      </c>
      <c r="DI385" s="2">
        <v>0</v>
      </c>
      <c r="DJ385" s="2">
        <v>0</v>
      </c>
      <c r="DK385" s="2">
        <v>0</v>
      </c>
      <c r="DL385" s="2">
        <v>0</v>
      </c>
      <c r="DM385" s="2">
        <v>0</v>
      </c>
      <c r="DN385" s="2">
        <v>0</v>
      </c>
      <c r="DO385" s="2">
        <v>0</v>
      </c>
      <c r="DP385" s="2">
        <v>0</v>
      </c>
      <c r="DQ385" s="2">
        <v>0</v>
      </c>
      <c r="DR385" s="2">
        <v>0</v>
      </c>
      <c r="DS385" s="2">
        <v>0</v>
      </c>
    </row>
    <row r="386" spans="1:123">
      <c r="A386" s="2" t="s">
        <v>8</v>
      </c>
      <c r="B386" s="2" t="s">
        <v>630</v>
      </c>
      <c r="C386" s="2">
        <v>14</v>
      </c>
      <c r="D386" s="2">
        <v>7</v>
      </c>
      <c r="E386" s="2">
        <v>0.23</v>
      </c>
      <c r="F386" s="2">
        <v>2</v>
      </c>
      <c r="G386" s="2" t="s">
        <v>306</v>
      </c>
      <c r="H386">
        <f>IF(AND(OR(لوحة_القيادة!$C$4="الكل", A386=لوحة_القيادة!$C$4), IF(لوحة_القيادة!$C$5="الكل", TRUE, INDEX($V386:$AG386, 1, VALUE(لوحة_القيادة!$C$5))&gt;0)), 1, 0)</f>
        <v>0</v>
      </c>
      <c r="I386">
        <f>IF(H386=1, SUM($H$2:H386), "")</f>
        <v>0</v>
      </c>
      <c r="J386" s="2">
        <v>2</v>
      </c>
      <c r="K386" s="2">
        <v>0</v>
      </c>
      <c r="L386" s="2">
        <v>6</v>
      </c>
      <c r="M386" s="2">
        <v>1</v>
      </c>
      <c r="N386" s="2">
        <v>4</v>
      </c>
      <c r="O386" s="2">
        <v>1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1</v>
      </c>
      <c r="W386" s="2">
        <v>0</v>
      </c>
      <c r="X386" s="2">
        <v>2</v>
      </c>
      <c r="Y386" s="2">
        <v>1</v>
      </c>
      <c r="Z386" s="2">
        <v>2</v>
      </c>
      <c r="AA386" s="2">
        <v>1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4</v>
      </c>
      <c r="AI386" s="2">
        <v>3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1</v>
      </c>
      <c r="BC386" s="2">
        <v>1</v>
      </c>
      <c r="BD386" s="2">
        <v>2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1</v>
      </c>
      <c r="BM386" s="2">
        <v>0</v>
      </c>
      <c r="BN386" s="2">
        <v>1</v>
      </c>
      <c r="BO386" s="2">
        <v>0</v>
      </c>
      <c r="BP386" s="2">
        <v>0</v>
      </c>
      <c r="BQ386" s="2">
        <v>1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0</v>
      </c>
      <c r="CW386" s="2">
        <v>0</v>
      </c>
      <c r="CX386" s="2">
        <v>0</v>
      </c>
      <c r="CY386" s="2">
        <v>0</v>
      </c>
      <c r="CZ386" s="2">
        <v>0</v>
      </c>
      <c r="DA386" s="2">
        <v>0</v>
      </c>
      <c r="DB386" s="2">
        <v>0</v>
      </c>
      <c r="DC386" s="2">
        <v>0</v>
      </c>
      <c r="DD386" s="2">
        <v>0</v>
      </c>
      <c r="DE386" s="2">
        <v>0</v>
      </c>
      <c r="DF386" s="2">
        <v>0</v>
      </c>
      <c r="DG386" s="2">
        <v>0</v>
      </c>
      <c r="DH386" s="2">
        <v>0</v>
      </c>
      <c r="DI386" s="2">
        <v>0</v>
      </c>
      <c r="DJ386" s="2">
        <v>0</v>
      </c>
      <c r="DK386" s="2">
        <v>0</v>
      </c>
      <c r="DL386" s="2">
        <v>0</v>
      </c>
      <c r="DM386" s="2">
        <v>0</v>
      </c>
      <c r="DN386" s="2">
        <v>0</v>
      </c>
      <c r="DO386" s="2">
        <v>0</v>
      </c>
      <c r="DP386" s="2">
        <v>0</v>
      </c>
      <c r="DQ386" s="2">
        <v>0</v>
      </c>
      <c r="DR386" s="2">
        <v>0</v>
      </c>
      <c r="DS386" s="2">
        <v>0</v>
      </c>
    </row>
    <row r="387" spans="1:123">
      <c r="A387" s="2" t="s">
        <v>18</v>
      </c>
      <c r="B387" s="2" t="s">
        <v>631</v>
      </c>
      <c r="C387" s="2">
        <v>14</v>
      </c>
      <c r="D387" s="2">
        <v>1</v>
      </c>
      <c r="E387" s="2">
        <v>0.23</v>
      </c>
      <c r="F387" s="2">
        <v>14</v>
      </c>
      <c r="G387" s="2" t="s">
        <v>24</v>
      </c>
      <c r="H387">
        <f>IF(AND(OR(لوحة_القيادة!$C$4="الكل", A387=لوحة_القيادة!$C$4), IF(لوحة_القيادة!$C$5="الكل", TRUE, INDEX($V387:$AG387, 1, VALUE(لوحة_القيادة!$C$5))&gt;0)), 1, 0)</f>
        <v>0</v>
      </c>
      <c r="I387">
        <f>IF(H387=1, SUM($H$2:H387), "")</f>
        <v>0</v>
      </c>
      <c r="J387" s="2">
        <v>0</v>
      </c>
      <c r="K387" s="2">
        <v>14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1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1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0</v>
      </c>
      <c r="CW387" s="2">
        <v>0</v>
      </c>
      <c r="CX387" s="2">
        <v>0</v>
      </c>
      <c r="CY387" s="2">
        <v>0</v>
      </c>
      <c r="CZ387" s="2">
        <v>0</v>
      </c>
      <c r="DA387" s="2">
        <v>0</v>
      </c>
      <c r="DB387" s="2">
        <v>0</v>
      </c>
      <c r="DC387" s="2">
        <v>0</v>
      </c>
      <c r="DD387" s="2">
        <v>0</v>
      </c>
      <c r="DE387" s="2">
        <v>0</v>
      </c>
      <c r="DF387" s="2">
        <v>0</v>
      </c>
      <c r="DG387" s="2">
        <v>0</v>
      </c>
      <c r="DH387" s="2">
        <v>0</v>
      </c>
      <c r="DI387" s="2">
        <v>1</v>
      </c>
      <c r="DJ387" s="2">
        <v>0</v>
      </c>
      <c r="DK387" s="2">
        <v>0</v>
      </c>
      <c r="DL387" s="2">
        <v>0</v>
      </c>
      <c r="DM387" s="2">
        <v>0</v>
      </c>
      <c r="DN387" s="2">
        <v>0</v>
      </c>
      <c r="DO387" s="2">
        <v>0</v>
      </c>
      <c r="DP387" s="2">
        <v>0</v>
      </c>
      <c r="DQ387" s="2">
        <v>0</v>
      </c>
      <c r="DR387" s="2">
        <v>0</v>
      </c>
      <c r="DS387" s="2">
        <v>0</v>
      </c>
    </row>
    <row r="388" spans="1:123">
      <c r="A388" s="2" t="s">
        <v>10</v>
      </c>
      <c r="B388" s="2" t="s">
        <v>632</v>
      </c>
      <c r="C388" s="2">
        <v>12</v>
      </c>
      <c r="D388" s="2">
        <v>4</v>
      </c>
      <c r="E388" s="2">
        <v>0.2</v>
      </c>
      <c r="F388" s="2">
        <v>3</v>
      </c>
      <c r="G388" s="2" t="s">
        <v>615</v>
      </c>
      <c r="H388">
        <f>IF(AND(OR(لوحة_القيادة!$C$4="الكل", A388=لوحة_القيادة!$C$4), IF(لوحة_القيادة!$C$5="الكل", TRUE, INDEX($V388:$AG388, 1, VALUE(لوحة_القيادة!$C$5))&gt;0)), 1, 0)</f>
        <v>0</v>
      </c>
      <c r="I388">
        <f>IF(H388=1, SUM($H$2:H388), "")</f>
        <v>0</v>
      </c>
      <c r="J388" s="2">
        <v>2</v>
      </c>
      <c r="K388" s="2">
        <v>0</v>
      </c>
      <c r="L388" s="2">
        <v>3</v>
      </c>
      <c r="M388" s="2">
        <v>0</v>
      </c>
      <c r="N388" s="2">
        <v>0</v>
      </c>
      <c r="O388" s="2">
        <v>7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2</v>
      </c>
      <c r="W388" s="2">
        <v>0</v>
      </c>
      <c r="X388" s="2">
        <v>1</v>
      </c>
      <c r="Y388" s="2">
        <v>0</v>
      </c>
      <c r="Z388" s="2">
        <v>0</v>
      </c>
      <c r="AA388" s="2">
        <v>1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1</v>
      </c>
      <c r="AI388" s="2">
        <v>1</v>
      </c>
      <c r="AJ388" s="2">
        <v>0</v>
      </c>
      <c r="AK388" s="2">
        <v>0</v>
      </c>
      <c r="AL388" s="2">
        <v>0</v>
      </c>
      <c r="AM388" s="2">
        <v>2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1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1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0</v>
      </c>
      <c r="CW388" s="2">
        <v>0</v>
      </c>
      <c r="CX388" s="2">
        <v>0</v>
      </c>
      <c r="CY388" s="2">
        <v>0</v>
      </c>
      <c r="CZ388" s="2">
        <v>0</v>
      </c>
      <c r="DA388" s="2">
        <v>0</v>
      </c>
      <c r="DB388" s="2">
        <v>0</v>
      </c>
      <c r="DC388" s="2">
        <v>0</v>
      </c>
      <c r="DD388" s="2">
        <v>0</v>
      </c>
      <c r="DE388" s="2">
        <v>0</v>
      </c>
      <c r="DF388" s="2">
        <v>0</v>
      </c>
      <c r="DG388" s="2">
        <v>0</v>
      </c>
      <c r="DH388" s="2">
        <v>0</v>
      </c>
      <c r="DI388" s="2">
        <v>0</v>
      </c>
      <c r="DJ388" s="2">
        <v>1</v>
      </c>
      <c r="DK388" s="2">
        <v>0</v>
      </c>
      <c r="DL388" s="2">
        <v>0</v>
      </c>
      <c r="DM388" s="2">
        <v>1</v>
      </c>
      <c r="DN388" s="2">
        <v>0</v>
      </c>
      <c r="DO388" s="2">
        <v>0</v>
      </c>
      <c r="DP388" s="2">
        <v>0</v>
      </c>
      <c r="DQ388" s="2">
        <v>0</v>
      </c>
      <c r="DR388" s="2">
        <v>0</v>
      </c>
      <c r="DS388" s="2">
        <v>0</v>
      </c>
    </row>
    <row r="389" spans="1:123">
      <c r="A389" s="2" t="s">
        <v>14</v>
      </c>
      <c r="B389" s="2" t="s">
        <v>633</v>
      </c>
      <c r="C389" s="2">
        <v>12</v>
      </c>
      <c r="D389" s="2">
        <v>5</v>
      </c>
      <c r="E389" s="2">
        <v>0.2</v>
      </c>
      <c r="F389" s="2">
        <v>2.4</v>
      </c>
      <c r="G389" s="2" t="s">
        <v>634</v>
      </c>
      <c r="H389">
        <f>IF(AND(OR(لوحة_القيادة!$C$4="الكل", A389=لوحة_القيادة!$C$4), IF(لوحة_القيادة!$C$5="الكل", TRUE, INDEX($V389:$AG389, 1, VALUE(لوحة_القيادة!$C$5))&gt;0)), 1, 0)</f>
        <v>0</v>
      </c>
      <c r="I389">
        <f>IF(H389=1, SUM($H$2:H389), "")</f>
        <v>0</v>
      </c>
      <c r="J389" s="2">
        <v>3</v>
      </c>
      <c r="K389" s="2">
        <v>2</v>
      </c>
      <c r="L389" s="2">
        <v>5</v>
      </c>
      <c r="M389" s="2">
        <v>0</v>
      </c>
      <c r="N389" s="2">
        <v>0</v>
      </c>
      <c r="O389" s="2">
        <v>0</v>
      </c>
      <c r="P389" s="2">
        <v>2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1</v>
      </c>
      <c r="W389" s="2">
        <v>1</v>
      </c>
      <c r="X389" s="2">
        <v>2</v>
      </c>
      <c r="Y389" s="2">
        <v>0</v>
      </c>
      <c r="Z389" s="2">
        <v>0</v>
      </c>
      <c r="AA389" s="2">
        <v>0</v>
      </c>
      <c r="AB389" s="2">
        <v>1</v>
      </c>
      <c r="AC389" s="2">
        <v>0</v>
      </c>
      <c r="AD389" s="2">
        <v>0</v>
      </c>
      <c r="AE389" s="2">
        <v>0</v>
      </c>
      <c r="AF389" s="2">
        <v>0</v>
      </c>
      <c r="AG389" s="2">
        <v>2</v>
      </c>
      <c r="AH389" s="2">
        <v>2</v>
      </c>
      <c r="AI389" s="2">
        <v>0</v>
      </c>
      <c r="AJ389" s="2">
        <v>0</v>
      </c>
      <c r="AK389" s="2">
        <v>0</v>
      </c>
      <c r="AL389" s="2">
        <v>0</v>
      </c>
      <c r="AM389" s="2">
        <v>1</v>
      </c>
      <c r="AN389" s="2">
        <v>1</v>
      </c>
      <c r="AO389" s="2">
        <v>1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1</v>
      </c>
      <c r="BC389" s="2">
        <v>0</v>
      </c>
      <c r="BD389" s="2">
        <v>0</v>
      </c>
      <c r="BE389" s="2">
        <v>0</v>
      </c>
      <c r="BF389" s="2">
        <v>1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2">
        <v>0</v>
      </c>
      <c r="CX389" s="2">
        <v>0</v>
      </c>
      <c r="CY389" s="2">
        <v>0</v>
      </c>
      <c r="CZ389" s="2">
        <v>0</v>
      </c>
      <c r="DA389" s="2">
        <v>0</v>
      </c>
      <c r="DB389" s="2">
        <v>0</v>
      </c>
      <c r="DC389" s="2">
        <v>0</v>
      </c>
      <c r="DD389" s="2">
        <v>0</v>
      </c>
      <c r="DE389" s="2">
        <v>0</v>
      </c>
      <c r="DF389" s="2">
        <v>0</v>
      </c>
      <c r="DG389" s="2">
        <v>0</v>
      </c>
      <c r="DH389" s="2">
        <v>0</v>
      </c>
      <c r="DI389" s="2">
        <v>0</v>
      </c>
      <c r="DJ389" s="2">
        <v>1</v>
      </c>
      <c r="DK389" s="2">
        <v>0</v>
      </c>
      <c r="DL389" s="2">
        <v>0</v>
      </c>
      <c r="DM389" s="2">
        <v>0</v>
      </c>
      <c r="DN389" s="2">
        <v>0</v>
      </c>
      <c r="DO389" s="2">
        <v>0</v>
      </c>
      <c r="DP389" s="2">
        <v>0</v>
      </c>
      <c r="DQ389" s="2">
        <v>0</v>
      </c>
      <c r="DR389" s="2">
        <v>0</v>
      </c>
      <c r="DS389" s="2">
        <v>0</v>
      </c>
    </row>
    <row r="390" spans="1:123">
      <c r="A390" s="2" t="s">
        <v>17</v>
      </c>
      <c r="B390" s="2" t="s">
        <v>635</v>
      </c>
      <c r="C390" s="2">
        <v>12</v>
      </c>
      <c r="D390" s="2">
        <v>8</v>
      </c>
      <c r="E390" s="2">
        <v>0.2</v>
      </c>
      <c r="F390" s="2">
        <v>1.5</v>
      </c>
      <c r="G390" s="2" t="s">
        <v>270</v>
      </c>
      <c r="H390">
        <f>IF(AND(OR(لوحة_القيادة!$C$4="الكل", A390=لوحة_القيادة!$C$4), IF(لوحة_القيادة!$C$5="الكل", TRUE, INDEX($V390:$AG390, 1, VALUE(لوحة_القيادة!$C$5))&gt;0)), 1, 0)</f>
        <v>0</v>
      </c>
      <c r="I390">
        <f>IF(H390=1, SUM($H$2:H390), "")</f>
        <v>0</v>
      </c>
      <c r="J390" s="2">
        <v>5</v>
      </c>
      <c r="K390" s="2">
        <v>0</v>
      </c>
      <c r="L390" s="2">
        <v>0</v>
      </c>
      <c r="M390" s="2">
        <v>2</v>
      </c>
      <c r="N390" s="2">
        <v>2</v>
      </c>
      <c r="O390" s="2">
        <v>1</v>
      </c>
      <c r="P390" s="2">
        <v>2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3</v>
      </c>
      <c r="W390" s="2">
        <v>0</v>
      </c>
      <c r="X390" s="2">
        <v>0</v>
      </c>
      <c r="Y390" s="2">
        <v>1</v>
      </c>
      <c r="Z390" s="2">
        <v>2</v>
      </c>
      <c r="AA390" s="2">
        <v>1</v>
      </c>
      <c r="AB390" s="2">
        <v>1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3</v>
      </c>
      <c r="AI390" s="2">
        <v>1</v>
      </c>
      <c r="AJ390" s="2">
        <v>2</v>
      </c>
      <c r="AK390" s="2">
        <v>0</v>
      </c>
      <c r="AL390" s="2">
        <v>0</v>
      </c>
      <c r="AM390" s="2">
        <v>2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1</v>
      </c>
      <c r="BA390" s="2">
        <v>0</v>
      </c>
      <c r="BB390" s="2">
        <v>0</v>
      </c>
      <c r="BC390" s="2">
        <v>1</v>
      </c>
      <c r="BD390" s="2">
        <v>1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1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1</v>
      </c>
      <c r="CC390" s="2">
        <v>1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0</v>
      </c>
      <c r="CW390" s="2">
        <v>0</v>
      </c>
      <c r="CX390" s="2">
        <v>0</v>
      </c>
      <c r="CY390" s="2">
        <v>0</v>
      </c>
      <c r="CZ390" s="2">
        <v>0</v>
      </c>
      <c r="DA390" s="2">
        <v>0</v>
      </c>
      <c r="DB390" s="2">
        <v>0</v>
      </c>
      <c r="DC390" s="2">
        <v>0</v>
      </c>
      <c r="DD390" s="2">
        <v>0</v>
      </c>
      <c r="DE390" s="2">
        <v>0</v>
      </c>
      <c r="DF390" s="2">
        <v>0</v>
      </c>
      <c r="DG390" s="2">
        <v>0</v>
      </c>
      <c r="DH390" s="2">
        <v>1</v>
      </c>
      <c r="DI390" s="2">
        <v>0</v>
      </c>
      <c r="DJ390" s="2">
        <v>0</v>
      </c>
      <c r="DK390" s="2">
        <v>0</v>
      </c>
      <c r="DL390" s="2">
        <v>0</v>
      </c>
      <c r="DM390" s="2">
        <v>0</v>
      </c>
      <c r="DN390" s="2">
        <v>1</v>
      </c>
      <c r="DO390" s="2">
        <v>0</v>
      </c>
      <c r="DP390" s="2">
        <v>0</v>
      </c>
      <c r="DQ390" s="2">
        <v>0</v>
      </c>
      <c r="DR390" s="2">
        <v>0</v>
      </c>
      <c r="DS390" s="2">
        <v>0</v>
      </c>
    </row>
    <row r="391" spans="1:123">
      <c r="A391" s="2" t="s">
        <v>8</v>
      </c>
      <c r="B391" s="2" t="s">
        <v>636</v>
      </c>
      <c r="C391" s="2">
        <v>11</v>
      </c>
      <c r="D391" s="2">
        <v>7</v>
      </c>
      <c r="E391" s="2">
        <v>0.18</v>
      </c>
      <c r="F391" s="2">
        <v>1.57</v>
      </c>
      <c r="G391" s="2" t="s">
        <v>249</v>
      </c>
      <c r="H391">
        <f>IF(AND(OR(لوحة_القيادة!$C$4="الكل", A391=لوحة_القيادة!$C$4), IF(لوحة_القيادة!$C$5="الكل", TRUE, INDEX($V391:$AG391, 1, VALUE(لوحة_القيادة!$C$5))&gt;0)), 1, 0)</f>
        <v>0</v>
      </c>
      <c r="I391">
        <f>IF(H391=1, SUM($H$2:H391), "")</f>
        <v>0</v>
      </c>
      <c r="J391" s="2">
        <v>5</v>
      </c>
      <c r="K391" s="2">
        <v>1</v>
      </c>
      <c r="L391" s="2">
        <v>1</v>
      </c>
      <c r="M391" s="2">
        <v>2</v>
      </c>
      <c r="N391" s="2">
        <v>0</v>
      </c>
      <c r="O391" s="2">
        <v>2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2</v>
      </c>
      <c r="W391" s="2">
        <v>1</v>
      </c>
      <c r="X391" s="2">
        <v>1</v>
      </c>
      <c r="Y391" s="2">
        <v>2</v>
      </c>
      <c r="Z391" s="2">
        <v>0</v>
      </c>
      <c r="AA391" s="2">
        <v>1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1</v>
      </c>
      <c r="AH391" s="2">
        <v>2</v>
      </c>
      <c r="AI391" s="2">
        <v>1</v>
      </c>
      <c r="AJ391" s="2">
        <v>2</v>
      </c>
      <c r="AK391" s="2">
        <v>0</v>
      </c>
      <c r="AL391" s="2">
        <v>0</v>
      </c>
      <c r="AM391" s="2">
        <v>1</v>
      </c>
      <c r="AN391" s="2">
        <v>0</v>
      </c>
      <c r="AO391" s="2">
        <v>1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1</v>
      </c>
      <c r="BA391" s="2">
        <v>0</v>
      </c>
      <c r="BB391" s="2">
        <v>1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1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1</v>
      </c>
      <c r="BY391" s="2">
        <v>0</v>
      </c>
      <c r="BZ391" s="2">
        <v>0</v>
      </c>
      <c r="CA391" s="2">
        <v>1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0</v>
      </c>
      <c r="CW391" s="2">
        <v>0</v>
      </c>
      <c r="CX391" s="2">
        <v>0</v>
      </c>
      <c r="CY391" s="2">
        <v>0</v>
      </c>
      <c r="CZ391" s="2">
        <v>0</v>
      </c>
      <c r="DA391" s="2">
        <v>0</v>
      </c>
      <c r="DB391" s="2">
        <v>0</v>
      </c>
      <c r="DC391" s="2">
        <v>0</v>
      </c>
      <c r="DD391" s="2">
        <v>0</v>
      </c>
      <c r="DE391" s="2">
        <v>0</v>
      </c>
      <c r="DF391" s="2">
        <v>0</v>
      </c>
      <c r="DG391" s="2">
        <v>0</v>
      </c>
      <c r="DH391" s="2">
        <v>0</v>
      </c>
      <c r="DI391" s="2">
        <v>0</v>
      </c>
      <c r="DJ391" s="2">
        <v>0</v>
      </c>
      <c r="DK391" s="2">
        <v>0</v>
      </c>
      <c r="DL391" s="2">
        <v>0</v>
      </c>
      <c r="DM391" s="2">
        <v>1</v>
      </c>
      <c r="DN391" s="2">
        <v>0</v>
      </c>
      <c r="DO391" s="2">
        <v>0</v>
      </c>
      <c r="DP391" s="2">
        <v>0</v>
      </c>
      <c r="DQ391" s="2">
        <v>0</v>
      </c>
      <c r="DR391" s="2">
        <v>0</v>
      </c>
      <c r="DS391" s="2">
        <v>0</v>
      </c>
    </row>
    <row r="392" spans="1:123">
      <c r="A392" s="2" t="s">
        <v>8</v>
      </c>
      <c r="B392" s="2" t="s">
        <v>637</v>
      </c>
      <c r="C392" s="2">
        <v>11</v>
      </c>
      <c r="D392" s="2">
        <v>4</v>
      </c>
      <c r="E392" s="2">
        <v>0.18</v>
      </c>
      <c r="F392" s="2">
        <v>2.75</v>
      </c>
      <c r="G392" s="2" t="s">
        <v>577</v>
      </c>
      <c r="H392">
        <f>IF(AND(OR(لوحة_القيادة!$C$4="الكل", A392=لوحة_القيادة!$C$4), IF(لوحة_القيادة!$C$5="الكل", TRUE, INDEX($V392:$AG392, 1, VALUE(لوحة_القيادة!$C$5))&gt;0)), 1, 0)</f>
        <v>0</v>
      </c>
      <c r="I392">
        <f>IF(H392=1, SUM($H$2:H392), "")</f>
        <v>0</v>
      </c>
      <c r="J392" s="2">
        <v>0</v>
      </c>
      <c r="K392" s="2">
        <v>6</v>
      </c>
      <c r="L392" s="2">
        <v>0</v>
      </c>
      <c r="M392" s="2">
        <v>0</v>
      </c>
      <c r="N392" s="2">
        <v>0</v>
      </c>
      <c r="O392" s="2">
        <v>5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2</v>
      </c>
      <c r="X392" s="2">
        <v>0</v>
      </c>
      <c r="Y392" s="2">
        <v>0</v>
      </c>
      <c r="Z392" s="2">
        <v>0</v>
      </c>
      <c r="AA392" s="2">
        <v>2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1</v>
      </c>
      <c r="AH392" s="2">
        <v>2</v>
      </c>
      <c r="AI392" s="2">
        <v>1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1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1</v>
      </c>
      <c r="BB392" s="2">
        <v>0</v>
      </c>
      <c r="BC392" s="2">
        <v>0</v>
      </c>
      <c r="BD392" s="2">
        <v>0</v>
      </c>
      <c r="BE392" s="2">
        <v>1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1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0</v>
      </c>
      <c r="CW392" s="2">
        <v>0</v>
      </c>
      <c r="CX392" s="2">
        <v>0</v>
      </c>
      <c r="CY392" s="2">
        <v>0</v>
      </c>
      <c r="CZ392" s="2">
        <v>0</v>
      </c>
      <c r="DA392" s="2">
        <v>0</v>
      </c>
      <c r="DB392" s="2">
        <v>0</v>
      </c>
      <c r="DC392" s="2">
        <v>0</v>
      </c>
      <c r="DD392" s="2">
        <v>0</v>
      </c>
      <c r="DE392" s="2">
        <v>0</v>
      </c>
      <c r="DF392" s="2">
        <v>0</v>
      </c>
      <c r="DG392" s="2">
        <v>0</v>
      </c>
      <c r="DH392" s="2">
        <v>0</v>
      </c>
      <c r="DI392" s="2">
        <v>0</v>
      </c>
      <c r="DJ392" s="2">
        <v>0</v>
      </c>
      <c r="DK392" s="2">
        <v>0</v>
      </c>
      <c r="DL392" s="2">
        <v>0</v>
      </c>
      <c r="DM392" s="2">
        <v>0</v>
      </c>
      <c r="DN392" s="2">
        <v>0</v>
      </c>
      <c r="DO392" s="2">
        <v>0</v>
      </c>
      <c r="DP392" s="2">
        <v>0</v>
      </c>
      <c r="DQ392" s="2">
        <v>0</v>
      </c>
      <c r="DR392" s="2">
        <v>0</v>
      </c>
      <c r="DS392" s="2">
        <v>0</v>
      </c>
    </row>
    <row r="393" spans="1:123">
      <c r="A393" s="2" t="s">
        <v>10</v>
      </c>
      <c r="B393" s="2" t="s">
        <v>638</v>
      </c>
      <c r="C393" s="2">
        <v>11</v>
      </c>
      <c r="D393" s="2">
        <v>9</v>
      </c>
      <c r="E393" s="2">
        <v>0.18</v>
      </c>
      <c r="F393" s="2">
        <v>1.22</v>
      </c>
      <c r="G393" s="2" t="s">
        <v>382</v>
      </c>
      <c r="H393">
        <f>IF(AND(OR(لوحة_القيادة!$C$4="الكل", A393=لوحة_القيادة!$C$4), IF(لوحة_القيادة!$C$5="الكل", TRUE, INDEX($V393:$AG393, 1, VALUE(لوحة_القيادة!$C$5))&gt;0)), 1, 0)</f>
        <v>0</v>
      </c>
      <c r="I393">
        <f>IF(H393=1, SUM($H$2:H393), "")</f>
        <v>0</v>
      </c>
      <c r="J393" s="2">
        <v>4</v>
      </c>
      <c r="K393" s="2">
        <v>3</v>
      </c>
      <c r="L393" s="2">
        <v>0</v>
      </c>
      <c r="M393" s="2">
        <v>0</v>
      </c>
      <c r="N393" s="2">
        <v>1</v>
      </c>
      <c r="O393" s="2">
        <v>3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4</v>
      </c>
      <c r="W393" s="2">
        <v>2</v>
      </c>
      <c r="X393" s="2">
        <v>0</v>
      </c>
      <c r="Y393" s="2">
        <v>0</v>
      </c>
      <c r="Z393" s="2">
        <v>1</v>
      </c>
      <c r="AA393" s="2">
        <v>2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3</v>
      </c>
      <c r="AI393" s="2">
        <v>5</v>
      </c>
      <c r="AJ393" s="2">
        <v>1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1</v>
      </c>
      <c r="BA393" s="2">
        <v>0</v>
      </c>
      <c r="BB393" s="2">
        <v>0</v>
      </c>
      <c r="BC393" s="2">
        <v>0</v>
      </c>
      <c r="BD393" s="2">
        <v>0</v>
      </c>
      <c r="BE393" s="2">
        <v>2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3</v>
      </c>
      <c r="BM393" s="2">
        <v>2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1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0</v>
      </c>
      <c r="CW393" s="2">
        <v>0</v>
      </c>
      <c r="CX393" s="2">
        <v>0</v>
      </c>
      <c r="CY393" s="2">
        <v>0</v>
      </c>
      <c r="CZ393" s="2">
        <v>0</v>
      </c>
      <c r="DA393" s="2">
        <v>0</v>
      </c>
      <c r="DB393" s="2">
        <v>0</v>
      </c>
      <c r="DC393" s="2">
        <v>0</v>
      </c>
      <c r="DD393" s="2">
        <v>0</v>
      </c>
      <c r="DE393" s="2">
        <v>0</v>
      </c>
      <c r="DF393" s="2">
        <v>0</v>
      </c>
      <c r="DG393" s="2">
        <v>0</v>
      </c>
      <c r="DH393" s="2">
        <v>0</v>
      </c>
      <c r="DI393" s="2">
        <v>0</v>
      </c>
      <c r="DJ393" s="2">
        <v>0</v>
      </c>
      <c r="DK393" s="2">
        <v>0</v>
      </c>
      <c r="DL393" s="2">
        <v>0</v>
      </c>
      <c r="DM393" s="2">
        <v>0</v>
      </c>
      <c r="DN393" s="2">
        <v>0</v>
      </c>
      <c r="DO393" s="2">
        <v>0</v>
      </c>
      <c r="DP393" s="2">
        <v>0</v>
      </c>
      <c r="DQ393" s="2">
        <v>0</v>
      </c>
      <c r="DR393" s="2">
        <v>0</v>
      </c>
      <c r="DS393" s="2">
        <v>0</v>
      </c>
    </row>
    <row r="394" spans="1:123">
      <c r="A394" s="2" t="s">
        <v>10</v>
      </c>
      <c r="B394" s="2" t="s">
        <v>639</v>
      </c>
      <c r="C394" s="2">
        <v>11</v>
      </c>
      <c r="D394" s="2">
        <v>2</v>
      </c>
      <c r="E394" s="2">
        <v>0.18</v>
      </c>
      <c r="F394" s="2">
        <v>5.5</v>
      </c>
      <c r="G394" s="2" t="s">
        <v>551</v>
      </c>
      <c r="H394">
        <f>IF(AND(OR(لوحة_القيادة!$C$4="الكل", A394=لوحة_القيادة!$C$4), IF(لوحة_القيادة!$C$5="الكل", TRUE, INDEX($V394:$AG394, 1, VALUE(لوحة_القيادة!$C$5))&gt;0)), 1, 0)</f>
        <v>0</v>
      </c>
      <c r="I394">
        <f>IF(H394=1, SUM($H$2:H394), "")</f>
        <v>0</v>
      </c>
      <c r="J394" s="2">
        <v>2</v>
      </c>
      <c r="K394" s="2">
        <v>0</v>
      </c>
      <c r="L394" s="2">
        <v>0</v>
      </c>
      <c r="M394" s="2">
        <v>9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1</v>
      </c>
      <c r="W394" s="2">
        <v>0</v>
      </c>
      <c r="X394" s="2">
        <v>0</v>
      </c>
      <c r="Y394" s="2">
        <v>1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2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1</v>
      </c>
      <c r="BM394" s="2">
        <v>0</v>
      </c>
      <c r="BN394" s="2">
        <v>0</v>
      </c>
      <c r="BO394" s="2">
        <v>1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>
        <v>0</v>
      </c>
      <c r="CN394" s="2">
        <v>0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  <c r="CV394" s="2">
        <v>0</v>
      </c>
      <c r="CW394" s="2">
        <v>0</v>
      </c>
      <c r="CX394" s="2">
        <v>0</v>
      </c>
      <c r="CY394" s="2">
        <v>0</v>
      </c>
      <c r="CZ394" s="2">
        <v>0</v>
      </c>
      <c r="DA394" s="2">
        <v>0</v>
      </c>
      <c r="DB394" s="2">
        <v>0</v>
      </c>
      <c r="DC394" s="2">
        <v>0</v>
      </c>
      <c r="DD394" s="2">
        <v>0</v>
      </c>
      <c r="DE394" s="2">
        <v>0</v>
      </c>
      <c r="DF394" s="2">
        <v>0</v>
      </c>
      <c r="DG394" s="2">
        <v>0</v>
      </c>
      <c r="DH394" s="2">
        <v>0</v>
      </c>
      <c r="DI394" s="2">
        <v>0</v>
      </c>
      <c r="DJ394" s="2">
        <v>0</v>
      </c>
      <c r="DK394" s="2">
        <v>0</v>
      </c>
      <c r="DL394" s="2">
        <v>0</v>
      </c>
      <c r="DM394" s="2">
        <v>0</v>
      </c>
      <c r="DN394" s="2">
        <v>0</v>
      </c>
      <c r="DO394" s="2">
        <v>0</v>
      </c>
      <c r="DP394" s="2">
        <v>0</v>
      </c>
      <c r="DQ394" s="2">
        <v>0</v>
      </c>
      <c r="DR394" s="2">
        <v>0</v>
      </c>
      <c r="DS394" s="2">
        <v>0</v>
      </c>
    </row>
    <row r="395" spans="1:123">
      <c r="A395" s="2" t="s">
        <v>14</v>
      </c>
      <c r="B395" s="2" t="s">
        <v>640</v>
      </c>
      <c r="C395" s="2">
        <v>11</v>
      </c>
      <c r="D395" s="2">
        <v>1</v>
      </c>
      <c r="E395" s="2">
        <v>0.18</v>
      </c>
      <c r="F395" s="2">
        <v>11</v>
      </c>
      <c r="G395" s="2" t="s">
        <v>28</v>
      </c>
      <c r="H395">
        <f>IF(AND(OR(لوحة_القيادة!$C$4="الكل", A395=لوحة_القيادة!$C$4), IF(لوحة_القيادة!$C$5="الكل", TRUE, INDEX($V395:$AG395, 1, VALUE(لوحة_القيادة!$C$5))&gt;0)), 1, 0)</f>
        <v>0</v>
      </c>
      <c r="I395">
        <f>IF(H395=1, SUM($H$2:H395), "")</f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11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1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1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2">
        <v>0</v>
      </c>
      <c r="CX395" s="2">
        <v>0</v>
      </c>
      <c r="CY395" s="2">
        <v>0</v>
      </c>
      <c r="CZ395" s="2">
        <v>0</v>
      </c>
      <c r="DA395" s="2">
        <v>0</v>
      </c>
      <c r="DB395" s="2">
        <v>0</v>
      </c>
      <c r="DC395" s="2">
        <v>0</v>
      </c>
      <c r="DD395" s="2">
        <v>0</v>
      </c>
      <c r="DE395" s="2">
        <v>0</v>
      </c>
      <c r="DF395" s="2">
        <v>0</v>
      </c>
      <c r="DG395" s="2">
        <v>0</v>
      </c>
      <c r="DH395" s="2">
        <v>0</v>
      </c>
      <c r="DI395" s="2">
        <v>0</v>
      </c>
      <c r="DJ395" s="2">
        <v>0</v>
      </c>
      <c r="DK395" s="2">
        <v>0</v>
      </c>
      <c r="DL395" s="2">
        <v>0</v>
      </c>
      <c r="DM395" s="2">
        <v>1</v>
      </c>
      <c r="DN395" s="2">
        <v>0</v>
      </c>
      <c r="DO395" s="2">
        <v>0</v>
      </c>
      <c r="DP395" s="2">
        <v>0</v>
      </c>
      <c r="DQ395" s="2">
        <v>0</v>
      </c>
      <c r="DR395" s="2">
        <v>0</v>
      </c>
      <c r="DS395" s="2">
        <v>0</v>
      </c>
    </row>
    <row r="396" spans="1:123">
      <c r="A396" s="2" t="s">
        <v>14</v>
      </c>
      <c r="B396" s="2" t="s">
        <v>641</v>
      </c>
      <c r="C396" s="2">
        <v>10</v>
      </c>
      <c r="D396" s="2">
        <v>6</v>
      </c>
      <c r="E396" s="2">
        <v>0.17</v>
      </c>
      <c r="F396" s="2">
        <v>1.67</v>
      </c>
      <c r="G396" s="2" t="s">
        <v>487</v>
      </c>
      <c r="H396">
        <f>IF(AND(OR(لوحة_القيادة!$C$4="الكل", A396=لوحة_القيادة!$C$4), IF(لوحة_القيادة!$C$5="الكل", TRUE, INDEX($V396:$AG396, 1, VALUE(لوحة_القيادة!$C$5))&gt;0)), 1, 0)</f>
        <v>0</v>
      </c>
      <c r="I396">
        <f>IF(H396=1, SUM($H$2:H396), "")</f>
        <v>0</v>
      </c>
      <c r="J396" s="2">
        <v>0</v>
      </c>
      <c r="K396" s="2">
        <v>0</v>
      </c>
      <c r="L396" s="2">
        <v>3</v>
      </c>
      <c r="M396" s="2">
        <v>4</v>
      </c>
      <c r="N396" s="2">
        <v>3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2</v>
      </c>
      <c r="Y396" s="2">
        <v>2</v>
      </c>
      <c r="Z396" s="2">
        <v>2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2</v>
      </c>
      <c r="AH396" s="2">
        <v>0</v>
      </c>
      <c r="AI396" s="2">
        <v>1</v>
      </c>
      <c r="AJ396" s="2">
        <v>1</v>
      </c>
      <c r="AK396" s="2">
        <v>0</v>
      </c>
      <c r="AL396" s="2">
        <v>0</v>
      </c>
      <c r="AM396" s="2">
        <v>2</v>
      </c>
      <c r="AN396" s="2">
        <v>0</v>
      </c>
      <c r="AO396" s="2">
        <v>0</v>
      </c>
      <c r="AP396" s="2">
        <v>0</v>
      </c>
      <c r="AQ396" s="2">
        <v>1</v>
      </c>
      <c r="AR396" s="2">
        <v>1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1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1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0</v>
      </c>
      <c r="CW396" s="2">
        <v>0</v>
      </c>
      <c r="CX396" s="2">
        <v>0</v>
      </c>
      <c r="CY396" s="2">
        <v>0</v>
      </c>
      <c r="CZ396" s="2">
        <v>0</v>
      </c>
      <c r="DA396" s="2">
        <v>0</v>
      </c>
      <c r="DB396" s="2">
        <v>0</v>
      </c>
      <c r="DC396" s="2">
        <v>0</v>
      </c>
      <c r="DD396" s="2">
        <v>0</v>
      </c>
      <c r="DE396" s="2">
        <v>0</v>
      </c>
      <c r="DF396" s="2">
        <v>0</v>
      </c>
      <c r="DG396" s="2">
        <v>0</v>
      </c>
      <c r="DH396" s="2">
        <v>0</v>
      </c>
      <c r="DI396" s="2">
        <v>0</v>
      </c>
      <c r="DJ396" s="2">
        <v>0</v>
      </c>
      <c r="DK396" s="2">
        <v>1</v>
      </c>
      <c r="DL396" s="2">
        <v>1</v>
      </c>
      <c r="DM396" s="2">
        <v>0</v>
      </c>
      <c r="DN396" s="2">
        <v>0</v>
      </c>
      <c r="DO396" s="2">
        <v>0</v>
      </c>
      <c r="DP396" s="2">
        <v>0</v>
      </c>
      <c r="DQ396" s="2">
        <v>0</v>
      </c>
      <c r="DR396" s="2">
        <v>0</v>
      </c>
      <c r="DS396" s="2">
        <v>0</v>
      </c>
    </row>
    <row r="397" spans="1:123">
      <c r="A397" s="2" t="s">
        <v>16</v>
      </c>
      <c r="B397" s="2" t="s">
        <v>642</v>
      </c>
      <c r="C397" s="2">
        <v>10</v>
      </c>
      <c r="D397" s="2">
        <v>2</v>
      </c>
      <c r="E397" s="2">
        <v>0.17</v>
      </c>
      <c r="F397" s="2">
        <v>5</v>
      </c>
      <c r="G397" s="2" t="s">
        <v>25</v>
      </c>
      <c r="H397">
        <f>IF(AND(OR(لوحة_القيادة!$C$4="الكل", A397=لوحة_القيادة!$C$4), IF(لوحة_القيادة!$C$5="الكل", TRUE, INDEX($V397:$AG397, 1, VALUE(لوحة_القيادة!$C$5))&gt;0)), 1, 0)</f>
        <v>0</v>
      </c>
      <c r="I397">
        <f>IF(H397=1, SUM($H$2:H397), "")</f>
        <v>0</v>
      </c>
      <c r="J397" s="2">
        <v>0</v>
      </c>
      <c r="K397" s="2">
        <v>0</v>
      </c>
      <c r="L397" s="2">
        <v>10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2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1</v>
      </c>
      <c r="AJ397" s="2">
        <v>1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1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1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0</v>
      </c>
      <c r="DB397" s="2">
        <v>0</v>
      </c>
      <c r="DC397" s="2">
        <v>0</v>
      </c>
      <c r="DD397" s="2">
        <v>0</v>
      </c>
      <c r="DE397" s="2">
        <v>0</v>
      </c>
      <c r="DF397" s="2">
        <v>0</v>
      </c>
      <c r="DG397" s="2">
        <v>0</v>
      </c>
      <c r="DH397" s="2">
        <v>0</v>
      </c>
      <c r="DI397" s="2">
        <v>0</v>
      </c>
      <c r="DJ397" s="2">
        <v>0</v>
      </c>
      <c r="DK397" s="2">
        <v>0</v>
      </c>
      <c r="DL397" s="2">
        <v>0</v>
      </c>
      <c r="DM397" s="2">
        <v>0</v>
      </c>
      <c r="DN397" s="2">
        <v>0</v>
      </c>
      <c r="DO397" s="2">
        <v>0</v>
      </c>
      <c r="DP397" s="2">
        <v>0</v>
      </c>
      <c r="DQ397" s="2">
        <v>0</v>
      </c>
      <c r="DR397" s="2">
        <v>0</v>
      </c>
      <c r="DS397" s="2">
        <v>0</v>
      </c>
    </row>
    <row r="398" spans="1:123">
      <c r="A398" s="2" t="s">
        <v>16</v>
      </c>
      <c r="B398" s="2" t="s">
        <v>643</v>
      </c>
      <c r="C398" s="2">
        <v>10</v>
      </c>
      <c r="D398" s="2">
        <v>2</v>
      </c>
      <c r="E398" s="2">
        <v>0.17</v>
      </c>
      <c r="F398" s="2">
        <v>5</v>
      </c>
      <c r="G398" s="2" t="s">
        <v>427</v>
      </c>
      <c r="H398">
        <f>IF(AND(OR(لوحة_القيادة!$C$4="الكل", A398=لوحة_القيادة!$C$4), IF(لوحة_القيادة!$C$5="الكل", TRUE, INDEX($V398:$AG398, 1, VALUE(لوحة_القيادة!$C$5))&gt;0)), 1, 0)</f>
        <v>0</v>
      </c>
      <c r="I398">
        <f>IF(H398=1, SUM($H$2:H398), "")</f>
        <v>0</v>
      </c>
      <c r="J398" s="2">
        <v>0</v>
      </c>
      <c r="K398" s="2">
        <v>7</v>
      </c>
      <c r="L398" s="2">
        <v>0</v>
      </c>
      <c r="M398" s="2">
        <v>3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1</v>
      </c>
      <c r="X398" s="2">
        <v>0</v>
      </c>
      <c r="Y398" s="2">
        <v>1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1</v>
      </c>
      <c r="AJ398" s="2">
        <v>0</v>
      </c>
      <c r="AK398" s="2">
        <v>0</v>
      </c>
      <c r="AL398" s="2">
        <v>0</v>
      </c>
      <c r="AM398" s="2">
        <v>1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1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2">
        <v>0</v>
      </c>
      <c r="CX398" s="2">
        <v>0</v>
      </c>
      <c r="CY398" s="2">
        <v>0</v>
      </c>
      <c r="CZ398" s="2">
        <v>0</v>
      </c>
      <c r="DA398" s="2">
        <v>0</v>
      </c>
      <c r="DB398" s="2">
        <v>0</v>
      </c>
      <c r="DC398" s="2">
        <v>0</v>
      </c>
      <c r="DD398" s="2">
        <v>0</v>
      </c>
      <c r="DE398" s="2">
        <v>0</v>
      </c>
      <c r="DF398" s="2">
        <v>0</v>
      </c>
      <c r="DG398" s="2">
        <v>0</v>
      </c>
      <c r="DH398" s="2">
        <v>0</v>
      </c>
      <c r="DI398" s="2">
        <v>1</v>
      </c>
      <c r="DJ398" s="2">
        <v>0</v>
      </c>
      <c r="DK398" s="2">
        <v>0</v>
      </c>
      <c r="DL398" s="2">
        <v>0</v>
      </c>
      <c r="DM398" s="2">
        <v>0</v>
      </c>
      <c r="DN398" s="2">
        <v>0</v>
      </c>
      <c r="DO398" s="2">
        <v>0</v>
      </c>
      <c r="DP398" s="2">
        <v>0</v>
      </c>
      <c r="DQ398" s="2">
        <v>0</v>
      </c>
      <c r="DR398" s="2">
        <v>0</v>
      </c>
      <c r="DS398" s="2">
        <v>0</v>
      </c>
    </row>
    <row r="399" spans="1:123">
      <c r="A399" s="2" t="s">
        <v>17</v>
      </c>
      <c r="B399" s="2" t="s">
        <v>644</v>
      </c>
      <c r="C399" s="2">
        <v>10</v>
      </c>
      <c r="D399" s="2">
        <v>5</v>
      </c>
      <c r="E399" s="2">
        <v>0.17</v>
      </c>
      <c r="F399" s="2">
        <v>2</v>
      </c>
      <c r="G399" s="2" t="s">
        <v>645</v>
      </c>
      <c r="H399">
        <f>IF(AND(OR(لوحة_القيادة!$C$4="الكل", A399=لوحة_القيادة!$C$4), IF(لوحة_القيادة!$C$5="الكل", TRUE, INDEX($V399:$AG399, 1, VALUE(لوحة_القيادة!$C$5))&gt;0)), 1, 0)</f>
        <v>0</v>
      </c>
      <c r="I399">
        <f>IF(H399=1, SUM($H$2:H399), "")</f>
        <v>0</v>
      </c>
      <c r="J399" s="2">
        <v>5</v>
      </c>
      <c r="K399" s="2">
        <v>0</v>
      </c>
      <c r="L399" s="2">
        <v>0</v>
      </c>
      <c r="M399" s="2">
        <v>3</v>
      </c>
      <c r="N399" s="2">
        <v>2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2</v>
      </c>
      <c r="W399" s="2">
        <v>0</v>
      </c>
      <c r="X399" s="2">
        <v>0</v>
      </c>
      <c r="Y399" s="2">
        <v>1</v>
      </c>
      <c r="Z399" s="2">
        <v>2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2</v>
      </c>
      <c r="AH399" s="2">
        <v>2</v>
      </c>
      <c r="AI399" s="2">
        <v>1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2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2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1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>
        <v>0</v>
      </c>
      <c r="DC399" s="2">
        <v>0</v>
      </c>
      <c r="DD399" s="2">
        <v>0</v>
      </c>
      <c r="DE399" s="2">
        <v>0</v>
      </c>
      <c r="DF399" s="2">
        <v>0</v>
      </c>
      <c r="DG399" s="2">
        <v>0</v>
      </c>
      <c r="DH399" s="2">
        <v>0</v>
      </c>
      <c r="DI399" s="2">
        <v>0</v>
      </c>
      <c r="DJ399" s="2">
        <v>0</v>
      </c>
      <c r="DK399" s="2">
        <v>0</v>
      </c>
      <c r="DL399" s="2">
        <v>0</v>
      </c>
      <c r="DM399" s="2">
        <v>0</v>
      </c>
      <c r="DN399" s="2">
        <v>0</v>
      </c>
      <c r="DO399" s="2">
        <v>0</v>
      </c>
      <c r="DP399" s="2">
        <v>0</v>
      </c>
      <c r="DQ399" s="2">
        <v>0</v>
      </c>
      <c r="DR399" s="2">
        <v>0</v>
      </c>
      <c r="DS399" s="2">
        <v>0</v>
      </c>
    </row>
    <row r="400" spans="1:123">
      <c r="A400" s="2" t="s">
        <v>18</v>
      </c>
      <c r="B400" s="2" t="s">
        <v>646</v>
      </c>
      <c r="C400" s="2">
        <v>10</v>
      </c>
      <c r="D400" s="2">
        <v>1</v>
      </c>
      <c r="E400" s="2">
        <v>0.17</v>
      </c>
      <c r="F400" s="2">
        <v>10</v>
      </c>
      <c r="G400" s="2" t="s">
        <v>27</v>
      </c>
      <c r="H400">
        <f>IF(AND(OR(لوحة_القيادة!$C$4="الكل", A400=لوحة_القيادة!$C$4), IF(لوحة_القيادة!$C$5="الكل", TRUE, INDEX($V400:$AG400, 1, VALUE(لوحة_القيادة!$C$5))&gt;0)), 1, 0)</f>
        <v>0</v>
      </c>
      <c r="I400">
        <f>IF(H400=1, SUM($H$2:H400), "")</f>
        <v>0</v>
      </c>
      <c r="J400" s="2">
        <v>0</v>
      </c>
      <c r="K400" s="2">
        <v>0</v>
      </c>
      <c r="L400" s="2">
        <v>0</v>
      </c>
      <c r="M400" s="2">
        <v>0</v>
      </c>
      <c r="N400" s="2">
        <v>10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1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1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1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2">
        <v>0</v>
      </c>
      <c r="CX400" s="2">
        <v>0</v>
      </c>
      <c r="CY400" s="2">
        <v>0</v>
      </c>
      <c r="CZ400" s="2">
        <v>0</v>
      </c>
      <c r="DA400" s="2">
        <v>0</v>
      </c>
      <c r="DB400" s="2">
        <v>0</v>
      </c>
      <c r="DC400" s="2">
        <v>0</v>
      </c>
      <c r="DD400" s="2">
        <v>0</v>
      </c>
      <c r="DE400" s="2">
        <v>0</v>
      </c>
      <c r="DF400" s="2">
        <v>0</v>
      </c>
      <c r="DG400" s="2">
        <v>0</v>
      </c>
      <c r="DH400" s="2">
        <v>0</v>
      </c>
      <c r="DI400" s="2">
        <v>0</v>
      </c>
      <c r="DJ400" s="2">
        <v>0</v>
      </c>
      <c r="DK400" s="2">
        <v>0</v>
      </c>
      <c r="DL400" s="2">
        <v>0</v>
      </c>
      <c r="DM400" s="2">
        <v>0</v>
      </c>
      <c r="DN400" s="2">
        <v>0</v>
      </c>
      <c r="DO400" s="2">
        <v>0</v>
      </c>
      <c r="DP400" s="2">
        <v>0</v>
      </c>
      <c r="DQ400" s="2">
        <v>0</v>
      </c>
      <c r="DR400" s="2">
        <v>0</v>
      </c>
      <c r="DS400" s="2">
        <v>0</v>
      </c>
    </row>
    <row r="401" spans="1:123">
      <c r="A401" s="2" t="s">
        <v>18</v>
      </c>
      <c r="B401" s="2" t="s">
        <v>647</v>
      </c>
      <c r="C401" s="2">
        <v>10</v>
      </c>
      <c r="D401" s="2">
        <v>4</v>
      </c>
      <c r="E401" s="2">
        <v>0.17</v>
      </c>
      <c r="F401" s="2">
        <v>2.5</v>
      </c>
      <c r="G401" s="2" t="s">
        <v>648</v>
      </c>
      <c r="H401">
        <f>IF(AND(OR(لوحة_القيادة!$C$4="الكل", A401=لوحة_القيادة!$C$4), IF(لوحة_القيادة!$C$5="الكل", TRUE, INDEX($V401:$AG401, 1, VALUE(لوحة_القيادة!$C$5))&gt;0)), 1, 0)</f>
        <v>0</v>
      </c>
      <c r="I401">
        <f>IF(H401=1, SUM($H$2:H401), "")</f>
        <v>0</v>
      </c>
      <c r="J401" s="2">
        <v>3</v>
      </c>
      <c r="K401" s="2">
        <v>3</v>
      </c>
      <c r="L401" s="2">
        <v>0</v>
      </c>
      <c r="M401" s="2">
        <v>0</v>
      </c>
      <c r="N401" s="2">
        <v>3</v>
      </c>
      <c r="O401" s="2">
        <v>0</v>
      </c>
      <c r="P401" s="2">
        <v>1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1</v>
      </c>
      <c r="W401" s="2">
        <v>1</v>
      </c>
      <c r="X401" s="2">
        <v>0</v>
      </c>
      <c r="Y401" s="2">
        <v>0</v>
      </c>
      <c r="Z401" s="2">
        <v>1</v>
      </c>
      <c r="AA401" s="2">
        <v>0</v>
      </c>
      <c r="AB401" s="2">
        <v>1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1</v>
      </c>
      <c r="AI401" s="2">
        <v>1</v>
      </c>
      <c r="AJ401" s="2">
        <v>1</v>
      </c>
      <c r="AK401" s="2">
        <v>0</v>
      </c>
      <c r="AL401" s="2">
        <v>0</v>
      </c>
      <c r="AM401" s="2">
        <v>1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1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1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1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0</v>
      </c>
      <c r="DB401" s="2">
        <v>0</v>
      </c>
      <c r="DC401" s="2">
        <v>0</v>
      </c>
      <c r="DD401" s="2">
        <v>0</v>
      </c>
      <c r="DE401" s="2">
        <v>0</v>
      </c>
      <c r="DF401" s="2">
        <v>0</v>
      </c>
      <c r="DG401" s="2">
        <v>0</v>
      </c>
      <c r="DH401" s="2">
        <v>1</v>
      </c>
      <c r="DI401" s="2">
        <v>0</v>
      </c>
      <c r="DJ401" s="2">
        <v>0</v>
      </c>
      <c r="DK401" s="2">
        <v>0</v>
      </c>
      <c r="DL401" s="2">
        <v>0</v>
      </c>
      <c r="DM401" s="2">
        <v>0</v>
      </c>
      <c r="DN401" s="2">
        <v>0</v>
      </c>
      <c r="DO401" s="2">
        <v>0</v>
      </c>
      <c r="DP401" s="2">
        <v>0</v>
      </c>
      <c r="DQ401" s="2">
        <v>0</v>
      </c>
      <c r="DR401" s="2">
        <v>0</v>
      </c>
      <c r="DS401" s="2">
        <v>0</v>
      </c>
    </row>
    <row r="402" spans="1:123">
      <c r="A402" s="2" t="s">
        <v>8</v>
      </c>
      <c r="B402" s="2" t="s">
        <v>649</v>
      </c>
      <c r="C402" s="2">
        <v>9</v>
      </c>
      <c r="D402" s="2">
        <v>1</v>
      </c>
      <c r="E402" s="2">
        <v>0.15</v>
      </c>
      <c r="F402" s="2">
        <v>9</v>
      </c>
      <c r="G402" s="2" t="s">
        <v>25</v>
      </c>
      <c r="H402">
        <f>IF(AND(OR(لوحة_القيادة!$C$4="الكل", A402=لوحة_القيادة!$C$4), IF(لوحة_القيادة!$C$5="الكل", TRUE, INDEX($V402:$AG402, 1, VALUE(لوحة_القيادة!$C$5))&gt;0)), 1, 0)</f>
        <v>0</v>
      </c>
      <c r="I402">
        <f>IF(H402=1, SUM($H$2:H402), "")</f>
        <v>0</v>
      </c>
      <c r="J402" s="2">
        <v>0</v>
      </c>
      <c r="K402" s="2">
        <v>0</v>
      </c>
      <c r="L402" s="2">
        <v>9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1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1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1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0</v>
      </c>
      <c r="CW402" s="2">
        <v>0</v>
      </c>
      <c r="CX402" s="2">
        <v>0</v>
      </c>
      <c r="CY402" s="2">
        <v>0</v>
      </c>
      <c r="CZ402" s="2">
        <v>0</v>
      </c>
      <c r="DA402" s="2">
        <v>0</v>
      </c>
      <c r="DB402" s="2">
        <v>0</v>
      </c>
      <c r="DC402" s="2">
        <v>0</v>
      </c>
      <c r="DD402" s="2">
        <v>0</v>
      </c>
      <c r="DE402" s="2">
        <v>0</v>
      </c>
      <c r="DF402" s="2">
        <v>0</v>
      </c>
      <c r="DG402" s="2">
        <v>0</v>
      </c>
      <c r="DH402" s="2">
        <v>0</v>
      </c>
      <c r="DI402" s="2">
        <v>0</v>
      </c>
      <c r="DJ402" s="2">
        <v>0</v>
      </c>
      <c r="DK402" s="2">
        <v>0</v>
      </c>
      <c r="DL402" s="2">
        <v>0</v>
      </c>
      <c r="DM402" s="2">
        <v>0</v>
      </c>
      <c r="DN402" s="2">
        <v>0</v>
      </c>
      <c r="DO402" s="2">
        <v>0</v>
      </c>
      <c r="DP402" s="2">
        <v>0</v>
      </c>
      <c r="DQ402" s="2">
        <v>0</v>
      </c>
      <c r="DR402" s="2">
        <v>0</v>
      </c>
      <c r="DS402" s="2">
        <v>0</v>
      </c>
    </row>
    <row r="403" spans="1:123">
      <c r="A403" s="2" t="s">
        <v>8</v>
      </c>
      <c r="B403" s="2" t="s">
        <v>650</v>
      </c>
      <c r="C403" s="2">
        <v>9</v>
      </c>
      <c r="D403" s="2">
        <v>2</v>
      </c>
      <c r="E403" s="2">
        <v>0.15</v>
      </c>
      <c r="F403" s="2">
        <v>4.5</v>
      </c>
      <c r="G403" s="2" t="s">
        <v>651</v>
      </c>
      <c r="H403">
        <f>IF(AND(OR(لوحة_القيادة!$C$4="الكل", A403=لوحة_القيادة!$C$4), IF(لوحة_القيادة!$C$5="الكل", TRUE, INDEX($V403:$AG403, 1, VALUE(لوحة_القيادة!$C$5))&gt;0)), 1, 0)</f>
        <v>0</v>
      </c>
      <c r="I403">
        <f>IF(H403=1, SUM($H$2:H403), "")</f>
        <v>0</v>
      </c>
      <c r="J403" s="2">
        <v>6</v>
      </c>
      <c r="K403" s="2">
        <v>0</v>
      </c>
      <c r="L403" s="2">
        <v>0</v>
      </c>
      <c r="M403" s="2">
        <v>0</v>
      </c>
      <c r="N403" s="2">
        <v>3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1</v>
      </c>
      <c r="W403" s="2">
        <v>0</v>
      </c>
      <c r="X403" s="2">
        <v>0</v>
      </c>
      <c r="Y403" s="2">
        <v>0</v>
      </c>
      <c r="Z403" s="2">
        <v>1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1</v>
      </c>
      <c r="AH403" s="2">
        <v>1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1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1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0</v>
      </c>
      <c r="CW403" s="2">
        <v>0</v>
      </c>
      <c r="CX403" s="2">
        <v>0</v>
      </c>
      <c r="CY403" s="2">
        <v>0</v>
      </c>
      <c r="CZ403" s="2">
        <v>0</v>
      </c>
      <c r="DA403" s="2">
        <v>0</v>
      </c>
      <c r="DB403" s="2">
        <v>0</v>
      </c>
      <c r="DC403" s="2">
        <v>0</v>
      </c>
      <c r="DD403" s="2">
        <v>0</v>
      </c>
      <c r="DE403" s="2">
        <v>0</v>
      </c>
      <c r="DF403" s="2">
        <v>0</v>
      </c>
      <c r="DG403" s="2">
        <v>0</v>
      </c>
      <c r="DH403" s="2">
        <v>0</v>
      </c>
      <c r="DI403" s="2">
        <v>0</v>
      </c>
      <c r="DJ403" s="2">
        <v>0</v>
      </c>
      <c r="DK403" s="2">
        <v>0</v>
      </c>
      <c r="DL403" s="2">
        <v>0</v>
      </c>
      <c r="DM403" s="2">
        <v>0</v>
      </c>
      <c r="DN403" s="2">
        <v>0</v>
      </c>
      <c r="DO403" s="2">
        <v>0</v>
      </c>
      <c r="DP403" s="2">
        <v>0</v>
      </c>
      <c r="DQ403" s="2">
        <v>0</v>
      </c>
      <c r="DR403" s="2">
        <v>0</v>
      </c>
      <c r="DS403" s="2">
        <v>0</v>
      </c>
    </row>
    <row r="404" spans="1:123">
      <c r="A404" s="2" t="s">
        <v>11</v>
      </c>
      <c r="B404" s="2" t="s">
        <v>652</v>
      </c>
      <c r="C404" s="2">
        <v>9</v>
      </c>
      <c r="D404" s="2">
        <v>1</v>
      </c>
      <c r="E404" s="2">
        <v>0.15</v>
      </c>
      <c r="F404" s="2">
        <v>9</v>
      </c>
      <c r="G404" s="2" t="s">
        <v>27</v>
      </c>
      <c r="H404">
        <f>IF(AND(OR(لوحة_القيادة!$C$4="الكل", A404=لوحة_القيادة!$C$4), IF(لوحة_القيادة!$C$5="الكل", TRUE, INDEX($V404:$AG404, 1, VALUE(لوحة_القيادة!$C$5))&gt;0)), 1, 0)</f>
        <v>0</v>
      </c>
      <c r="I404">
        <f>IF(H404=1, SUM($H$2:H404), "")</f>
        <v>0</v>
      </c>
      <c r="J404" s="2">
        <v>0</v>
      </c>
      <c r="K404" s="2">
        <v>0</v>
      </c>
      <c r="L404" s="2">
        <v>0</v>
      </c>
      <c r="M404" s="2">
        <v>0</v>
      </c>
      <c r="N404" s="2">
        <v>9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1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1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0</v>
      </c>
      <c r="CW404" s="2">
        <v>0</v>
      </c>
      <c r="CX404" s="2">
        <v>0</v>
      </c>
      <c r="CY404" s="2">
        <v>0</v>
      </c>
      <c r="CZ404" s="2">
        <v>0</v>
      </c>
      <c r="DA404" s="2">
        <v>0</v>
      </c>
      <c r="DB404" s="2">
        <v>0</v>
      </c>
      <c r="DC404" s="2">
        <v>0</v>
      </c>
      <c r="DD404" s="2">
        <v>0</v>
      </c>
      <c r="DE404" s="2">
        <v>0</v>
      </c>
      <c r="DF404" s="2">
        <v>0</v>
      </c>
      <c r="DG404" s="2">
        <v>0</v>
      </c>
      <c r="DH404" s="2">
        <v>0</v>
      </c>
      <c r="DI404" s="2">
        <v>0</v>
      </c>
      <c r="DJ404" s="2">
        <v>0</v>
      </c>
      <c r="DK404" s="2">
        <v>0</v>
      </c>
      <c r="DL404" s="2">
        <v>1</v>
      </c>
      <c r="DM404" s="2">
        <v>0</v>
      </c>
      <c r="DN404" s="2">
        <v>0</v>
      </c>
      <c r="DO404" s="2">
        <v>0</v>
      </c>
      <c r="DP404" s="2">
        <v>0</v>
      </c>
      <c r="DQ404" s="2">
        <v>0</v>
      </c>
      <c r="DR404" s="2">
        <v>0</v>
      </c>
      <c r="DS404" s="2">
        <v>0</v>
      </c>
    </row>
    <row r="405" spans="1:123">
      <c r="A405" s="2" t="s">
        <v>12</v>
      </c>
      <c r="B405" s="2" t="s">
        <v>653</v>
      </c>
      <c r="C405" s="2">
        <v>9</v>
      </c>
      <c r="D405" s="2">
        <v>3</v>
      </c>
      <c r="E405" s="2">
        <v>0.15</v>
      </c>
      <c r="F405" s="2">
        <v>3</v>
      </c>
      <c r="G405" s="2" t="s">
        <v>291</v>
      </c>
      <c r="H405">
        <f>IF(AND(OR(لوحة_القيادة!$C$4="الكل", A405=لوحة_القيادة!$C$4), IF(لوحة_القيادة!$C$5="الكل", TRUE, INDEX($V405:$AG405, 1, VALUE(لوحة_القيادة!$C$5))&gt;0)), 1, 0)</f>
        <v>0</v>
      </c>
      <c r="I405">
        <f>IF(H405=1, SUM($H$2:H405), "")</f>
        <v>0</v>
      </c>
      <c r="J405" s="2">
        <v>3</v>
      </c>
      <c r="K405" s="2">
        <v>6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2</v>
      </c>
      <c r="W405" s="2">
        <v>1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2</v>
      </c>
      <c r="AI405" s="2">
        <v>0</v>
      </c>
      <c r="AJ405" s="2">
        <v>0</v>
      </c>
      <c r="AK405" s="2">
        <v>0</v>
      </c>
      <c r="AL405" s="2">
        <v>0</v>
      </c>
      <c r="AM405" s="2">
        <v>1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1</v>
      </c>
      <c r="BA405" s="2">
        <v>1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0</v>
      </c>
      <c r="CW405" s="2">
        <v>0</v>
      </c>
      <c r="CX405" s="2">
        <v>0</v>
      </c>
      <c r="CY405" s="2">
        <v>0</v>
      </c>
      <c r="CZ405" s="2">
        <v>0</v>
      </c>
      <c r="DA405" s="2">
        <v>0</v>
      </c>
      <c r="DB405" s="2">
        <v>0</v>
      </c>
      <c r="DC405" s="2">
        <v>0</v>
      </c>
      <c r="DD405" s="2">
        <v>0</v>
      </c>
      <c r="DE405" s="2">
        <v>0</v>
      </c>
      <c r="DF405" s="2">
        <v>0</v>
      </c>
      <c r="DG405" s="2">
        <v>0</v>
      </c>
      <c r="DH405" s="2">
        <v>1</v>
      </c>
      <c r="DI405" s="2">
        <v>0</v>
      </c>
      <c r="DJ405" s="2">
        <v>0</v>
      </c>
      <c r="DK405" s="2">
        <v>0</v>
      </c>
      <c r="DL405" s="2">
        <v>0</v>
      </c>
      <c r="DM405" s="2">
        <v>0</v>
      </c>
      <c r="DN405" s="2">
        <v>0</v>
      </c>
      <c r="DO405" s="2">
        <v>0</v>
      </c>
      <c r="DP405" s="2">
        <v>0</v>
      </c>
      <c r="DQ405" s="2">
        <v>0</v>
      </c>
      <c r="DR405" s="2">
        <v>0</v>
      </c>
      <c r="DS405" s="2">
        <v>0</v>
      </c>
    </row>
    <row r="406" spans="1:123">
      <c r="A406" s="2" t="s">
        <v>12</v>
      </c>
      <c r="B406" s="2" t="s">
        <v>654</v>
      </c>
      <c r="C406" s="2">
        <v>9</v>
      </c>
      <c r="D406" s="2">
        <v>5</v>
      </c>
      <c r="E406" s="2">
        <v>0.15</v>
      </c>
      <c r="F406" s="2">
        <v>1.8</v>
      </c>
      <c r="G406" s="2" t="s">
        <v>303</v>
      </c>
      <c r="H406">
        <f>IF(AND(OR(لوحة_القيادة!$C$4="الكل", A406=لوحة_القيادة!$C$4), IF(لوحة_القيادة!$C$5="الكل", TRUE, INDEX($V406:$AG406, 1, VALUE(لوحة_القيادة!$C$5))&gt;0)), 1, 0)</f>
        <v>0</v>
      </c>
      <c r="I406">
        <f>IF(H406=1, SUM($H$2:H406), "")</f>
        <v>0</v>
      </c>
      <c r="J406" s="2">
        <v>2</v>
      </c>
      <c r="K406" s="2">
        <v>3</v>
      </c>
      <c r="L406" s="2">
        <v>1</v>
      </c>
      <c r="M406" s="2">
        <v>3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1</v>
      </c>
      <c r="W406" s="2">
        <v>2</v>
      </c>
      <c r="X406" s="2">
        <v>1</v>
      </c>
      <c r="Y406" s="2">
        <v>1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1</v>
      </c>
      <c r="AH406" s="2">
        <v>0</v>
      </c>
      <c r="AI406" s="2">
        <v>0</v>
      </c>
      <c r="AJ406" s="2">
        <v>3</v>
      </c>
      <c r="AK406" s="2">
        <v>0</v>
      </c>
      <c r="AL406" s="2">
        <v>0</v>
      </c>
      <c r="AM406" s="2">
        <v>1</v>
      </c>
      <c r="AN406" s="2">
        <v>0</v>
      </c>
      <c r="AO406" s="2">
        <v>0</v>
      </c>
      <c r="AP406" s="2">
        <v>1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2</v>
      </c>
      <c r="BZ406" s="2">
        <v>0</v>
      </c>
      <c r="CA406" s="2">
        <v>1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0</v>
      </c>
      <c r="CW406" s="2">
        <v>0</v>
      </c>
      <c r="CX406" s="2">
        <v>0</v>
      </c>
      <c r="CY406" s="2">
        <v>0</v>
      </c>
      <c r="CZ406" s="2">
        <v>0</v>
      </c>
      <c r="DA406" s="2">
        <v>0</v>
      </c>
      <c r="DB406" s="2">
        <v>0</v>
      </c>
      <c r="DC406" s="2">
        <v>0</v>
      </c>
      <c r="DD406" s="2">
        <v>0</v>
      </c>
      <c r="DE406" s="2">
        <v>0</v>
      </c>
      <c r="DF406" s="2">
        <v>0</v>
      </c>
      <c r="DG406" s="2">
        <v>0</v>
      </c>
      <c r="DH406" s="2">
        <v>1</v>
      </c>
      <c r="DI406" s="2">
        <v>0</v>
      </c>
      <c r="DJ406" s="2">
        <v>0</v>
      </c>
      <c r="DK406" s="2">
        <v>0</v>
      </c>
      <c r="DL406" s="2">
        <v>0</v>
      </c>
      <c r="DM406" s="2">
        <v>0</v>
      </c>
      <c r="DN406" s="2">
        <v>0</v>
      </c>
      <c r="DO406" s="2">
        <v>0</v>
      </c>
      <c r="DP406" s="2">
        <v>0</v>
      </c>
      <c r="DQ406" s="2">
        <v>0</v>
      </c>
      <c r="DR406" s="2">
        <v>0</v>
      </c>
      <c r="DS406" s="2">
        <v>0</v>
      </c>
    </row>
    <row r="407" spans="1:123">
      <c r="A407" s="2" t="s">
        <v>14</v>
      </c>
      <c r="B407" s="2" t="s">
        <v>655</v>
      </c>
      <c r="C407" s="2">
        <v>9</v>
      </c>
      <c r="D407" s="2">
        <v>3</v>
      </c>
      <c r="E407" s="2">
        <v>0.15</v>
      </c>
      <c r="F407" s="2">
        <v>3</v>
      </c>
      <c r="G407" s="2" t="s">
        <v>465</v>
      </c>
      <c r="H407">
        <f>IF(AND(OR(لوحة_القيادة!$C$4="الكل", A407=لوحة_القيادة!$C$4), IF(لوحة_القيادة!$C$5="الكل", TRUE, INDEX($V407:$AG407, 1, VALUE(لوحة_القيادة!$C$5))&gt;0)), 1, 0)</f>
        <v>0</v>
      </c>
      <c r="I407">
        <f>IF(H407=1, SUM($H$2:H407), "")</f>
        <v>0</v>
      </c>
      <c r="J407" s="2">
        <v>0</v>
      </c>
      <c r="K407" s="2">
        <v>2</v>
      </c>
      <c r="L407" s="2">
        <v>7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1</v>
      </c>
      <c r="X407" s="2">
        <v>2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1</v>
      </c>
      <c r="AH407" s="2">
        <v>0</v>
      </c>
      <c r="AI407" s="2">
        <v>0</v>
      </c>
      <c r="AJ407" s="2">
        <v>2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1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1</v>
      </c>
      <c r="BZ407" s="2">
        <v>1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>
        <v>0</v>
      </c>
      <c r="CN407" s="2">
        <v>0</v>
      </c>
      <c r="CO407" s="2">
        <v>0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  <c r="CV407" s="2">
        <v>0</v>
      </c>
      <c r="CW407" s="2">
        <v>0</v>
      </c>
      <c r="CX407" s="2">
        <v>0</v>
      </c>
      <c r="CY407" s="2">
        <v>0</v>
      </c>
      <c r="CZ407" s="2">
        <v>0</v>
      </c>
      <c r="DA407" s="2">
        <v>0</v>
      </c>
      <c r="DB407" s="2">
        <v>0</v>
      </c>
      <c r="DC407" s="2">
        <v>0</v>
      </c>
      <c r="DD407" s="2">
        <v>0</v>
      </c>
      <c r="DE407" s="2">
        <v>0</v>
      </c>
      <c r="DF407" s="2">
        <v>0</v>
      </c>
      <c r="DG407" s="2">
        <v>0</v>
      </c>
      <c r="DH407" s="2">
        <v>0</v>
      </c>
      <c r="DI407" s="2">
        <v>0</v>
      </c>
      <c r="DJ407" s="2">
        <v>0</v>
      </c>
      <c r="DK407" s="2">
        <v>0</v>
      </c>
      <c r="DL407" s="2">
        <v>0</v>
      </c>
      <c r="DM407" s="2">
        <v>0</v>
      </c>
      <c r="DN407" s="2">
        <v>0</v>
      </c>
      <c r="DO407" s="2">
        <v>0</v>
      </c>
      <c r="DP407" s="2">
        <v>0</v>
      </c>
      <c r="DQ407" s="2">
        <v>0</v>
      </c>
      <c r="DR407" s="2">
        <v>0</v>
      </c>
      <c r="DS407" s="2">
        <v>0</v>
      </c>
    </row>
    <row r="408" spans="1:123">
      <c r="A408" s="2" t="s">
        <v>15</v>
      </c>
      <c r="B408" s="2" t="s">
        <v>656</v>
      </c>
      <c r="C408" s="2">
        <v>9</v>
      </c>
      <c r="D408" s="2">
        <v>3</v>
      </c>
      <c r="E408" s="2">
        <v>0.15</v>
      </c>
      <c r="F408" s="2">
        <v>3</v>
      </c>
      <c r="G408" s="2" t="s">
        <v>493</v>
      </c>
      <c r="H408">
        <f>IF(AND(OR(لوحة_القيادة!$C$4="الكل", A408=لوحة_القيادة!$C$4), IF(لوحة_القيادة!$C$5="الكل", TRUE, INDEX($V408:$AG408, 1, VALUE(لوحة_القيادة!$C$5))&gt;0)), 1, 0)</f>
        <v>0</v>
      </c>
      <c r="I408">
        <f>IF(H408=1, SUM($H$2:H408), "")</f>
        <v>0</v>
      </c>
      <c r="J408" s="2">
        <v>0</v>
      </c>
      <c r="K408" s="2">
        <v>2</v>
      </c>
      <c r="L408" s="2">
        <v>0</v>
      </c>
      <c r="M408" s="2">
        <v>0</v>
      </c>
      <c r="N408" s="2">
        <v>2</v>
      </c>
      <c r="O408" s="2">
        <v>5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1</v>
      </c>
      <c r="X408" s="2">
        <v>0</v>
      </c>
      <c r="Y408" s="2">
        <v>0</v>
      </c>
      <c r="Z408" s="2">
        <v>1</v>
      </c>
      <c r="AA408" s="2">
        <v>1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2</v>
      </c>
      <c r="AH408" s="2">
        <v>1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1</v>
      </c>
      <c r="AS408" s="2">
        <v>1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1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>
        <v>0</v>
      </c>
      <c r="CN408" s="2">
        <v>0</v>
      </c>
      <c r="CO408" s="2">
        <v>0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  <c r="CV408" s="2">
        <v>0</v>
      </c>
      <c r="CW408" s="2">
        <v>0</v>
      </c>
      <c r="CX408" s="2">
        <v>0</v>
      </c>
      <c r="CY408" s="2">
        <v>0</v>
      </c>
      <c r="CZ408" s="2">
        <v>0</v>
      </c>
      <c r="DA408" s="2">
        <v>0</v>
      </c>
      <c r="DB408" s="2">
        <v>0</v>
      </c>
      <c r="DC408" s="2">
        <v>0</v>
      </c>
      <c r="DD408" s="2">
        <v>0</v>
      </c>
      <c r="DE408" s="2">
        <v>0</v>
      </c>
      <c r="DF408" s="2">
        <v>0</v>
      </c>
      <c r="DG408" s="2">
        <v>0</v>
      </c>
      <c r="DH408" s="2">
        <v>0</v>
      </c>
      <c r="DI408" s="2">
        <v>0</v>
      </c>
      <c r="DJ408" s="2">
        <v>0</v>
      </c>
      <c r="DK408" s="2">
        <v>0</v>
      </c>
      <c r="DL408" s="2">
        <v>0</v>
      </c>
      <c r="DM408" s="2">
        <v>0</v>
      </c>
      <c r="DN408" s="2">
        <v>0</v>
      </c>
      <c r="DO408" s="2">
        <v>0</v>
      </c>
      <c r="DP408" s="2">
        <v>0</v>
      </c>
      <c r="DQ408" s="2">
        <v>0</v>
      </c>
      <c r="DR408" s="2">
        <v>0</v>
      </c>
      <c r="DS408" s="2">
        <v>0</v>
      </c>
    </row>
    <row r="409" spans="1:123">
      <c r="A409" s="2" t="s">
        <v>18</v>
      </c>
      <c r="B409" s="2" t="s">
        <v>657</v>
      </c>
      <c r="C409" s="2">
        <v>9</v>
      </c>
      <c r="D409" s="2">
        <v>2</v>
      </c>
      <c r="E409" s="2">
        <v>0.15</v>
      </c>
      <c r="F409" s="2">
        <v>4.5</v>
      </c>
      <c r="G409" s="2" t="s">
        <v>465</v>
      </c>
      <c r="H409">
        <f>IF(AND(OR(لوحة_القيادة!$C$4="الكل", A409=لوحة_القيادة!$C$4), IF(لوحة_القيادة!$C$5="الكل", TRUE, INDEX($V409:$AG409, 1, VALUE(لوحة_القيادة!$C$5))&gt;0)), 1, 0)</f>
        <v>0</v>
      </c>
      <c r="I409">
        <f>IF(H409=1, SUM($H$2:H409), "")</f>
        <v>0</v>
      </c>
      <c r="J409" s="2">
        <v>0</v>
      </c>
      <c r="K409" s="2">
        <v>4</v>
      </c>
      <c r="L409" s="2">
        <v>5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1</v>
      </c>
      <c r="X409" s="2">
        <v>1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1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1</v>
      </c>
      <c r="AN409" s="2">
        <v>0</v>
      </c>
      <c r="AO409" s="2">
        <v>1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0</v>
      </c>
      <c r="CW409" s="2">
        <v>0</v>
      </c>
      <c r="CX409" s="2">
        <v>0</v>
      </c>
      <c r="CY409" s="2">
        <v>0</v>
      </c>
      <c r="CZ409" s="2">
        <v>0</v>
      </c>
      <c r="DA409" s="2">
        <v>0</v>
      </c>
      <c r="DB409" s="2">
        <v>0</v>
      </c>
      <c r="DC409" s="2">
        <v>0</v>
      </c>
      <c r="DD409" s="2">
        <v>0</v>
      </c>
      <c r="DE409" s="2">
        <v>0</v>
      </c>
      <c r="DF409" s="2">
        <v>0</v>
      </c>
      <c r="DG409" s="2">
        <v>0</v>
      </c>
      <c r="DH409" s="2">
        <v>0</v>
      </c>
      <c r="DI409" s="2">
        <v>0</v>
      </c>
      <c r="DJ409" s="2">
        <v>1</v>
      </c>
      <c r="DK409" s="2">
        <v>0</v>
      </c>
      <c r="DL409" s="2">
        <v>0</v>
      </c>
      <c r="DM409" s="2">
        <v>0</v>
      </c>
      <c r="DN409" s="2">
        <v>0</v>
      </c>
      <c r="DO409" s="2">
        <v>0</v>
      </c>
      <c r="DP409" s="2">
        <v>0</v>
      </c>
      <c r="DQ409" s="2">
        <v>0</v>
      </c>
      <c r="DR409" s="2">
        <v>0</v>
      </c>
      <c r="DS409" s="2">
        <v>0</v>
      </c>
    </row>
    <row r="410" spans="1:123">
      <c r="A410" s="2" t="s">
        <v>8</v>
      </c>
      <c r="B410" s="2" t="s">
        <v>658</v>
      </c>
      <c r="C410" s="2">
        <v>8</v>
      </c>
      <c r="D410" s="2">
        <v>1</v>
      </c>
      <c r="E410" s="2">
        <v>0.13</v>
      </c>
      <c r="F410" s="2">
        <v>8</v>
      </c>
      <c r="G410" s="2" t="s">
        <v>24</v>
      </c>
      <c r="H410">
        <f>IF(AND(OR(لوحة_القيادة!$C$4="الكل", A410=لوحة_القيادة!$C$4), IF(لوحة_القيادة!$C$5="الكل", TRUE, INDEX($V410:$AG410, 1, VALUE(لوحة_القيادة!$C$5))&gt;0)), 1, 0)</f>
        <v>0</v>
      </c>
      <c r="I410">
        <f>IF(H410=1, SUM($H$2:H410), "")</f>
        <v>0</v>
      </c>
      <c r="J410" s="2">
        <v>0</v>
      </c>
      <c r="K410" s="2">
        <v>8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1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1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1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0</v>
      </c>
      <c r="CW410" s="2">
        <v>0</v>
      </c>
      <c r="CX410" s="2">
        <v>0</v>
      </c>
      <c r="CY410" s="2">
        <v>0</v>
      </c>
      <c r="CZ410" s="2">
        <v>0</v>
      </c>
      <c r="DA410" s="2">
        <v>0</v>
      </c>
      <c r="DB410" s="2">
        <v>0</v>
      </c>
      <c r="DC410" s="2">
        <v>0</v>
      </c>
      <c r="DD410" s="2">
        <v>0</v>
      </c>
      <c r="DE410" s="2">
        <v>0</v>
      </c>
      <c r="DF410" s="2">
        <v>0</v>
      </c>
      <c r="DG410" s="2">
        <v>0</v>
      </c>
      <c r="DH410" s="2">
        <v>0</v>
      </c>
      <c r="DI410" s="2">
        <v>0</v>
      </c>
      <c r="DJ410" s="2">
        <v>0</v>
      </c>
      <c r="DK410" s="2">
        <v>0</v>
      </c>
      <c r="DL410" s="2">
        <v>0</v>
      </c>
      <c r="DM410" s="2">
        <v>0</v>
      </c>
      <c r="DN410" s="2">
        <v>0</v>
      </c>
      <c r="DO410" s="2">
        <v>0</v>
      </c>
      <c r="DP410" s="2">
        <v>0</v>
      </c>
      <c r="DQ410" s="2">
        <v>0</v>
      </c>
      <c r="DR410" s="2">
        <v>0</v>
      </c>
      <c r="DS410" s="2">
        <v>0</v>
      </c>
    </row>
    <row r="411" spans="1:123">
      <c r="A411" s="2" t="s">
        <v>14</v>
      </c>
      <c r="B411" s="2" t="s">
        <v>659</v>
      </c>
      <c r="C411" s="2">
        <v>8</v>
      </c>
      <c r="D411" s="2">
        <v>1</v>
      </c>
      <c r="E411" s="2">
        <v>0.13</v>
      </c>
      <c r="F411" s="2">
        <v>8</v>
      </c>
      <c r="G411" s="2" t="s">
        <v>24</v>
      </c>
      <c r="H411">
        <f>IF(AND(OR(لوحة_القيادة!$C$4="الكل", A411=لوحة_القيادة!$C$4), IF(لوحة_القيادة!$C$5="الكل", TRUE, INDEX($V411:$AG411, 1, VALUE(لوحة_القيادة!$C$5))&gt;0)), 1, 0)</f>
        <v>0</v>
      </c>
      <c r="I411">
        <f>IF(H411=1, SUM($H$2:H411), "")</f>
        <v>0</v>
      </c>
      <c r="J411" s="2">
        <v>0</v>
      </c>
      <c r="K411" s="2">
        <v>8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1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1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0</v>
      </c>
      <c r="DB411" s="2">
        <v>0</v>
      </c>
      <c r="DC411" s="2">
        <v>0</v>
      </c>
      <c r="DD411" s="2">
        <v>0</v>
      </c>
      <c r="DE411" s="2">
        <v>0</v>
      </c>
      <c r="DF411" s="2">
        <v>0</v>
      </c>
      <c r="DG411" s="2">
        <v>0</v>
      </c>
      <c r="DH411" s="2">
        <v>0</v>
      </c>
      <c r="DI411" s="2">
        <v>1</v>
      </c>
      <c r="DJ411" s="2">
        <v>0</v>
      </c>
      <c r="DK411" s="2">
        <v>0</v>
      </c>
      <c r="DL411" s="2">
        <v>0</v>
      </c>
      <c r="DM411" s="2">
        <v>0</v>
      </c>
      <c r="DN411" s="2">
        <v>0</v>
      </c>
      <c r="DO411" s="2">
        <v>0</v>
      </c>
      <c r="DP411" s="2">
        <v>0</v>
      </c>
      <c r="DQ411" s="2">
        <v>0</v>
      </c>
      <c r="DR411" s="2">
        <v>0</v>
      </c>
      <c r="DS411" s="2">
        <v>0</v>
      </c>
    </row>
    <row r="412" spans="1:123">
      <c r="A412" s="2" t="s">
        <v>15</v>
      </c>
      <c r="B412" s="2" t="s">
        <v>660</v>
      </c>
      <c r="C412" s="2">
        <v>8</v>
      </c>
      <c r="D412" s="2">
        <v>3</v>
      </c>
      <c r="E412" s="2">
        <v>0.13</v>
      </c>
      <c r="F412" s="2">
        <v>2.67</v>
      </c>
      <c r="G412" s="2" t="s">
        <v>504</v>
      </c>
      <c r="H412">
        <f>IF(AND(OR(لوحة_القيادة!$C$4="الكل", A412=لوحة_القيادة!$C$4), IF(لوحة_القيادة!$C$5="الكل", TRUE, INDEX($V412:$AG412, 1, VALUE(لوحة_القيادة!$C$5))&gt;0)), 1, 0)</f>
        <v>0</v>
      </c>
      <c r="I412">
        <f>IF(H412=1, SUM($H$2:H412), "")</f>
        <v>0</v>
      </c>
      <c r="J412" s="2">
        <v>2</v>
      </c>
      <c r="K412" s="2">
        <v>5</v>
      </c>
      <c r="L412" s="2">
        <v>0</v>
      </c>
      <c r="M412" s="2">
        <v>0</v>
      </c>
      <c r="N412" s="2">
        <v>1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1</v>
      </c>
      <c r="W412" s="2">
        <v>1</v>
      </c>
      <c r="X412" s="2">
        <v>0</v>
      </c>
      <c r="Y412" s="2">
        <v>0</v>
      </c>
      <c r="Z412" s="2">
        <v>1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1</v>
      </c>
      <c r="AH412" s="2">
        <v>2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1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1</v>
      </c>
      <c r="BB412" s="2">
        <v>0</v>
      </c>
      <c r="BC412" s="2">
        <v>0</v>
      </c>
      <c r="BD412" s="2">
        <v>1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0</v>
      </c>
      <c r="CW412" s="2">
        <v>0</v>
      </c>
      <c r="CX412" s="2">
        <v>0</v>
      </c>
      <c r="CY412" s="2">
        <v>0</v>
      </c>
      <c r="CZ412" s="2">
        <v>0</v>
      </c>
      <c r="DA412" s="2">
        <v>0</v>
      </c>
      <c r="DB412" s="2">
        <v>0</v>
      </c>
      <c r="DC412" s="2">
        <v>0</v>
      </c>
      <c r="DD412" s="2">
        <v>0</v>
      </c>
      <c r="DE412" s="2">
        <v>0</v>
      </c>
      <c r="DF412" s="2">
        <v>0</v>
      </c>
      <c r="DG412" s="2">
        <v>0</v>
      </c>
      <c r="DH412" s="2">
        <v>0</v>
      </c>
      <c r="DI412" s="2">
        <v>0</v>
      </c>
      <c r="DJ412" s="2">
        <v>0</v>
      </c>
      <c r="DK412" s="2">
        <v>0</v>
      </c>
      <c r="DL412" s="2">
        <v>0</v>
      </c>
      <c r="DM412" s="2">
        <v>0</v>
      </c>
      <c r="DN412" s="2">
        <v>0</v>
      </c>
      <c r="DO412" s="2">
        <v>0</v>
      </c>
      <c r="DP412" s="2">
        <v>0</v>
      </c>
      <c r="DQ412" s="2">
        <v>0</v>
      </c>
      <c r="DR412" s="2">
        <v>0</v>
      </c>
      <c r="DS412" s="2">
        <v>0</v>
      </c>
    </row>
    <row r="413" spans="1:123">
      <c r="A413" s="2" t="s">
        <v>15</v>
      </c>
      <c r="B413" s="2" t="s">
        <v>661</v>
      </c>
      <c r="C413" s="2">
        <v>8</v>
      </c>
      <c r="D413" s="2">
        <v>4</v>
      </c>
      <c r="E413" s="2">
        <v>0.13</v>
      </c>
      <c r="F413" s="2">
        <v>2</v>
      </c>
      <c r="G413" s="2" t="s">
        <v>651</v>
      </c>
      <c r="H413">
        <f>IF(AND(OR(لوحة_القيادة!$C$4="الكل", A413=لوحة_القيادة!$C$4), IF(لوحة_القيادة!$C$5="الكل", TRUE, INDEX($V413:$AG413, 1, VALUE(لوحة_القيادة!$C$5))&gt;0)), 1, 0)</f>
        <v>0</v>
      </c>
      <c r="I413">
        <f>IF(H413=1, SUM($H$2:H413), "")</f>
        <v>0</v>
      </c>
      <c r="J413" s="2">
        <v>4</v>
      </c>
      <c r="K413" s="2">
        <v>0</v>
      </c>
      <c r="L413" s="2">
        <v>0</v>
      </c>
      <c r="M413" s="2">
        <v>0</v>
      </c>
      <c r="N413" s="2">
        <v>4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2</v>
      </c>
      <c r="W413" s="2">
        <v>0</v>
      </c>
      <c r="X413" s="2">
        <v>0</v>
      </c>
      <c r="Y413" s="2">
        <v>0</v>
      </c>
      <c r="Z413" s="2">
        <v>2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1</v>
      </c>
      <c r="AJ413" s="2">
        <v>2</v>
      </c>
      <c r="AK413" s="2">
        <v>0</v>
      </c>
      <c r="AL413" s="2">
        <v>0</v>
      </c>
      <c r="AM413" s="2">
        <v>1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1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1</v>
      </c>
      <c r="BY413" s="2">
        <v>0</v>
      </c>
      <c r="BZ413" s="2">
        <v>0</v>
      </c>
      <c r="CA413" s="2">
        <v>0</v>
      </c>
      <c r="CB413" s="2">
        <v>1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0</v>
      </c>
      <c r="CW413" s="2">
        <v>0</v>
      </c>
      <c r="CX413" s="2">
        <v>0</v>
      </c>
      <c r="CY413" s="2">
        <v>0</v>
      </c>
      <c r="CZ413" s="2">
        <v>0</v>
      </c>
      <c r="DA413" s="2">
        <v>0</v>
      </c>
      <c r="DB413" s="2">
        <v>0</v>
      </c>
      <c r="DC413" s="2">
        <v>0</v>
      </c>
      <c r="DD413" s="2">
        <v>0</v>
      </c>
      <c r="DE413" s="2">
        <v>0</v>
      </c>
      <c r="DF413" s="2">
        <v>0</v>
      </c>
      <c r="DG413" s="2">
        <v>0</v>
      </c>
      <c r="DH413" s="2">
        <v>0</v>
      </c>
      <c r="DI413" s="2">
        <v>0</v>
      </c>
      <c r="DJ413" s="2">
        <v>0</v>
      </c>
      <c r="DK413" s="2">
        <v>0</v>
      </c>
      <c r="DL413" s="2">
        <v>1</v>
      </c>
      <c r="DM413" s="2">
        <v>0</v>
      </c>
      <c r="DN413" s="2">
        <v>0</v>
      </c>
      <c r="DO413" s="2">
        <v>0</v>
      </c>
      <c r="DP413" s="2">
        <v>0</v>
      </c>
      <c r="DQ413" s="2">
        <v>0</v>
      </c>
      <c r="DR413" s="2">
        <v>0</v>
      </c>
      <c r="DS413" s="2">
        <v>0</v>
      </c>
    </row>
    <row r="414" spans="1:123">
      <c r="A414" s="2" t="s">
        <v>15</v>
      </c>
      <c r="B414" s="2" t="s">
        <v>662</v>
      </c>
      <c r="C414" s="2">
        <v>8</v>
      </c>
      <c r="D414" s="2">
        <v>1</v>
      </c>
      <c r="E414" s="2">
        <v>0.13</v>
      </c>
      <c r="F414" s="2">
        <v>8</v>
      </c>
      <c r="G414" s="2" t="s">
        <v>24</v>
      </c>
      <c r="H414">
        <f>IF(AND(OR(لوحة_القيادة!$C$4="الكل", A414=لوحة_القيادة!$C$4), IF(لوحة_القيادة!$C$5="الكل", TRUE, INDEX($V414:$AG414, 1, VALUE(لوحة_القيادة!$C$5))&gt;0)), 1, 0)</f>
        <v>0</v>
      </c>
      <c r="I414">
        <f>IF(H414=1, SUM($H$2:H414), "")</f>
        <v>0</v>
      </c>
      <c r="J414" s="2">
        <v>0</v>
      </c>
      <c r="K414" s="2">
        <v>8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1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1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1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  <c r="CU414" s="2">
        <v>0</v>
      </c>
      <c r="CV414" s="2">
        <v>0</v>
      </c>
      <c r="CW414" s="2">
        <v>0</v>
      </c>
      <c r="CX414" s="2">
        <v>0</v>
      </c>
      <c r="CY414" s="2">
        <v>0</v>
      </c>
      <c r="CZ414" s="2">
        <v>0</v>
      </c>
      <c r="DA414" s="2">
        <v>0</v>
      </c>
      <c r="DB414" s="2">
        <v>0</v>
      </c>
      <c r="DC414" s="2">
        <v>0</v>
      </c>
      <c r="DD414" s="2">
        <v>0</v>
      </c>
      <c r="DE414" s="2">
        <v>0</v>
      </c>
      <c r="DF414" s="2">
        <v>0</v>
      </c>
      <c r="DG414" s="2">
        <v>0</v>
      </c>
      <c r="DH414" s="2">
        <v>0</v>
      </c>
      <c r="DI414" s="2">
        <v>0</v>
      </c>
      <c r="DJ414" s="2">
        <v>0</v>
      </c>
      <c r="DK414" s="2">
        <v>0</v>
      </c>
      <c r="DL414" s="2">
        <v>0</v>
      </c>
      <c r="DM414" s="2">
        <v>0</v>
      </c>
      <c r="DN414" s="2">
        <v>0</v>
      </c>
      <c r="DO414" s="2">
        <v>0</v>
      </c>
      <c r="DP414" s="2">
        <v>0</v>
      </c>
      <c r="DQ414" s="2">
        <v>0</v>
      </c>
      <c r="DR414" s="2">
        <v>0</v>
      </c>
      <c r="DS414" s="2">
        <v>0</v>
      </c>
    </row>
    <row r="415" spans="1:123">
      <c r="A415" s="2" t="s">
        <v>17</v>
      </c>
      <c r="B415" s="2" t="s">
        <v>663</v>
      </c>
      <c r="C415" s="2">
        <v>8</v>
      </c>
      <c r="D415" s="2">
        <v>2</v>
      </c>
      <c r="E415" s="2">
        <v>0.13</v>
      </c>
      <c r="F415" s="2">
        <v>4</v>
      </c>
      <c r="G415" s="2" t="s">
        <v>438</v>
      </c>
      <c r="H415">
        <f>IF(AND(OR(لوحة_القيادة!$C$4="الكل", A415=لوحة_القيادة!$C$4), IF(لوحة_القيادة!$C$5="الكل", TRUE, INDEX($V415:$AG415, 1, VALUE(لوحة_القيادة!$C$5))&gt;0)), 1, 0)</f>
        <v>0</v>
      </c>
      <c r="I415">
        <f>IF(H415=1, SUM($H$2:H415), "")</f>
        <v>0</v>
      </c>
      <c r="J415" s="2">
        <v>0</v>
      </c>
      <c r="K415" s="2">
        <v>3</v>
      </c>
      <c r="L415" s="2">
        <v>0</v>
      </c>
      <c r="M415" s="2">
        <v>0</v>
      </c>
      <c r="N415" s="2">
        <v>5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1</v>
      </c>
      <c r="X415" s="2">
        <v>0</v>
      </c>
      <c r="Y415" s="2">
        <v>0</v>
      </c>
      <c r="Z415" s="2">
        <v>1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1</v>
      </c>
      <c r="AH415" s="2">
        <v>0</v>
      </c>
      <c r="AI415" s="2">
        <v>1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1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1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>
        <v>0</v>
      </c>
      <c r="CO415" s="2">
        <v>0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0</v>
      </c>
      <c r="DB415" s="2">
        <v>0</v>
      </c>
      <c r="DC415" s="2">
        <v>0</v>
      </c>
      <c r="DD415" s="2">
        <v>0</v>
      </c>
      <c r="DE415" s="2">
        <v>0</v>
      </c>
      <c r="DF415" s="2">
        <v>0</v>
      </c>
      <c r="DG415" s="2">
        <v>0</v>
      </c>
      <c r="DH415" s="2">
        <v>0</v>
      </c>
      <c r="DI415" s="2">
        <v>0</v>
      </c>
      <c r="DJ415" s="2">
        <v>0</v>
      </c>
      <c r="DK415" s="2">
        <v>0</v>
      </c>
      <c r="DL415" s="2">
        <v>0</v>
      </c>
      <c r="DM415" s="2">
        <v>0</v>
      </c>
      <c r="DN415" s="2">
        <v>0</v>
      </c>
      <c r="DO415" s="2">
        <v>0</v>
      </c>
      <c r="DP415" s="2">
        <v>0</v>
      </c>
      <c r="DQ415" s="2">
        <v>0</v>
      </c>
      <c r="DR415" s="2">
        <v>0</v>
      </c>
      <c r="DS415" s="2">
        <v>0</v>
      </c>
    </row>
    <row r="416" spans="1:123">
      <c r="A416" s="2" t="s">
        <v>7</v>
      </c>
      <c r="B416" s="2" t="s">
        <v>664</v>
      </c>
      <c r="C416" s="2">
        <v>7</v>
      </c>
      <c r="D416" s="2">
        <v>2</v>
      </c>
      <c r="E416" s="2">
        <v>0.12</v>
      </c>
      <c r="F416" s="2">
        <v>3.5</v>
      </c>
      <c r="G416" s="2" t="s">
        <v>438</v>
      </c>
      <c r="H416">
        <f>IF(AND(OR(لوحة_القيادة!$C$4="الكل", A416=لوحة_القيادة!$C$4), IF(لوحة_القيادة!$C$5="الكل", TRUE, INDEX($V416:$AG416, 1, VALUE(لوحة_القيادة!$C$5))&gt;0)), 1, 0)</f>
        <v>0</v>
      </c>
      <c r="I416">
        <f>IF(H416=1, SUM($H$2:H416), "")</f>
        <v>0</v>
      </c>
      <c r="J416" s="2">
        <v>0</v>
      </c>
      <c r="K416" s="2">
        <v>1</v>
      </c>
      <c r="L416" s="2">
        <v>0</v>
      </c>
      <c r="M416" s="2">
        <v>0</v>
      </c>
      <c r="N416" s="2">
        <v>6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1</v>
      </c>
      <c r="X416" s="2">
        <v>0</v>
      </c>
      <c r="Y416" s="2">
        <v>0</v>
      </c>
      <c r="Z416" s="2">
        <v>1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1</v>
      </c>
      <c r="AI416" s="2">
        <v>1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1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1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0</v>
      </c>
      <c r="CW416" s="2">
        <v>0</v>
      </c>
      <c r="CX416" s="2">
        <v>0</v>
      </c>
      <c r="CY416" s="2">
        <v>0</v>
      </c>
      <c r="CZ416" s="2">
        <v>0</v>
      </c>
      <c r="DA416" s="2">
        <v>0</v>
      </c>
      <c r="DB416" s="2">
        <v>0</v>
      </c>
      <c r="DC416" s="2">
        <v>0</v>
      </c>
      <c r="DD416" s="2">
        <v>0</v>
      </c>
      <c r="DE416" s="2">
        <v>0</v>
      </c>
      <c r="DF416" s="2">
        <v>0</v>
      </c>
      <c r="DG416" s="2">
        <v>0</v>
      </c>
      <c r="DH416" s="2">
        <v>0</v>
      </c>
      <c r="DI416" s="2">
        <v>0</v>
      </c>
      <c r="DJ416" s="2">
        <v>0</v>
      </c>
      <c r="DK416" s="2">
        <v>0</v>
      </c>
      <c r="DL416" s="2">
        <v>0</v>
      </c>
      <c r="DM416" s="2">
        <v>0</v>
      </c>
      <c r="DN416" s="2">
        <v>0</v>
      </c>
      <c r="DO416" s="2">
        <v>0</v>
      </c>
      <c r="DP416" s="2">
        <v>0</v>
      </c>
      <c r="DQ416" s="2">
        <v>0</v>
      </c>
      <c r="DR416" s="2">
        <v>0</v>
      </c>
      <c r="DS416" s="2">
        <v>0</v>
      </c>
    </row>
    <row r="417" spans="1:123">
      <c r="A417" s="2" t="s">
        <v>17</v>
      </c>
      <c r="B417" s="2" t="s">
        <v>665</v>
      </c>
      <c r="C417" s="2">
        <v>7</v>
      </c>
      <c r="D417" s="2">
        <v>2</v>
      </c>
      <c r="E417" s="2">
        <v>0.12</v>
      </c>
      <c r="F417" s="2">
        <v>3.5</v>
      </c>
      <c r="G417" s="2" t="s">
        <v>291</v>
      </c>
      <c r="H417">
        <f>IF(AND(OR(لوحة_القيادة!$C$4="الكل", A417=لوحة_القيادة!$C$4), IF(لوحة_القيادة!$C$5="الكل", TRUE, INDEX($V417:$AG417, 1, VALUE(لوحة_القيادة!$C$5))&gt;0)), 1, 0)</f>
        <v>0</v>
      </c>
      <c r="I417">
        <f>IF(H417=1, SUM($H$2:H417), "")</f>
        <v>0</v>
      </c>
      <c r="J417" s="2">
        <v>2</v>
      </c>
      <c r="K417" s="2">
        <v>5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1</v>
      </c>
      <c r="W417" s="2">
        <v>1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1</v>
      </c>
      <c r="AJ417" s="2">
        <v>1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1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1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  <c r="CV417" s="2">
        <v>0</v>
      </c>
      <c r="CW417" s="2">
        <v>0</v>
      </c>
      <c r="CX417" s="2">
        <v>0</v>
      </c>
      <c r="CY417" s="2">
        <v>0</v>
      </c>
      <c r="CZ417" s="2">
        <v>0</v>
      </c>
      <c r="DA417" s="2">
        <v>0</v>
      </c>
      <c r="DB417" s="2">
        <v>0</v>
      </c>
      <c r="DC417" s="2">
        <v>0</v>
      </c>
      <c r="DD417" s="2">
        <v>0</v>
      </c>
      <c r="DE417" s="2">
        <v>0</v>
      </c>
      <c r="DF417" s="2">
        <v>0</v>
      </c>
      <c r="DG417" s="2">
        <v>0</v>
      </c>
      <c r="DH417" s="2">
        <v>0</v>
      </c>
      <c r="DI417" s="2">
        <v>0</v>
      </c>
      <c r="DJ417" s="2">
        <v>0</v>
      </c>
      <c r="DK417" s="2">
        <v>0</v>
      </c>
      <c r="DL417" s="2">
        <v>0</v>
      </c>
      <c r="DM417" s="2">
        <v>0</v>
      </c>
      <c r="DN417" s="2">
        <v>0</v>
      </c>
      <c r="DO417" s="2">
        <v>0</v>
      </c>
      <c r="DP417" s="2">
        <v>0</v>
      </c>
      <c r="DQ417" s="2">
        <v>0</v>
      </c>
      <c r="DR417" s="2">
        <v>0</v>
      </c>
      <c r="DS417" s="2">
        <v>0</v>
      </c>
    </row>
    <row r="418" spans="1:123">
      <c r="A418" s="2" t="s">
        <v>17</v>
      </c>
      <c r="B418" s="2" t="s">
        <v>666</v>
      </c>
      <c r="C418" s="2">
        <v>7</v>
      </c>
      <c r="D418" s="2">
        <v>4</v>
      </c>
      <c r="E418" s="2">
        <v>0.12</v>
      </c>
      <c r="F418" s="2">
        <v>1.75</v>
      </c>
      <c r="G418" s="2" t="s">
        <v>667</v>
      </c>
      <c r="H418">
        <f>IF(AND(OR(لوحة_القيادة!$C$4="الكل", A418=لوحة_القيادة!$C$4), IF(لوحة_القيادة!$C$5="الكل", TRUE, INDEX($V418:$AG418, 1, VALUE(لوحة_القيادة!$C$5))&gt;0)), 1, 0)</f>
        <v>0</v>
      </c>
      <c r="I418">
        <f>IF(H418=1, SUM($H$2:H418), "")</f>
        <v>0</v>
      </c>
      <c r="J418" s="2">
        <v>0</v>
      </c>
      <c r="K418" s="2">
        <v>4</v>
      </c>
      <c r="L418" s="2">
        <v>0</v>
      </c>
      <c r="M418" s="2">
        <v>2</v>
      </c>
      <c r="N418" s="2">
        <v>1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2</v>
      </c>
      <c r="X418" s="2">
        <v>0</v>
      </c>
      <c r="Y418" s="2">
        <v>1</v>
      </c>
      <c r="Z418" s="2">
        <v>1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1</v>
      </c>
      <c r="AI418" s="2">
        <v>1</v>
      </c>
      <c r="AJ418" s="2">
        <v>1</v>
      </c>
      <c r="AK418" s="2">
        <v>0</v>
      </c>
      <c r="AL418" s="2">
        <v>0</v>
      </c>
      <c r="AM418" s="2">
        <v>1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1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1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1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  <c r="CN418" s="2">
        <v>0</v>
      </c>
      <c r="CO418" s="2">
        <v>0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0</v>
      </c>
      <c r="CW418" s="2">
        <v>0</v>
      </c>
      <c r="CX418" s="2">
        <v>0</v>
      </c>
      <c r="CY418" s="2">
        <v>0</v>
      </c>
      <c r="CZ418" s="2">
        <v>0</v>
      </c>
      <c r="DA418" s="2">
        <v>0</v>
      </c>
      <c r="DB418" s="2">
        <v>0</v>
      </c>
      <c r="DC418" s="2">
        <v>0</v>
      </c>
      <c r="DD418" s="2">
        <v>0</v>
      </c>
      <c r="DE418" s="2">
        <v>0</v>
      </c>
      <c r="DF418" s="2">
        <v>0</v>
      </c>
      <c r="DG418" s="2">
        <v>0</v>
      </c>
      <c r="DH418" s="2">
        <v>0</v>
      </c>
      <c r="DI418" s="2">
        <v>0</v>
      </c>
      <c r="DJ418" s="2">
        <v>0</v>
      </c>
      <c r="DK418" s="2">
        <v>0</v>
      </c>
      <c r="DL418" s="2">
        <v>1</v>
      </c>
      <c r="DM418" s="2">
        <v>0</v>
      </c>
      <c r="DN418" s="2">
        <v>0</v>
      </c>
      <c r="DO418" s="2">
        <v>0</v>
      </c>
      <c r="DP418" s="2">
        <v>0</v>
      </c>
      <c r="DQ418" s="2">
        <v>0</v>
      </c>
      <c r="DR418" s="2">
        <v>0</v>
      </c>
      <c r="DS418" s="2">
        <v>0</v>
      </c>
    </row>
    <row r="419" spans="1:123">
      <c r="A419" s="2" t="s">
        <v>18</v>
      </c>
      <c r="B419" s="2" t="s">
        <v>668</v>
      </c>
      <c r="C419" s="2">
        <v>7</v>
      </c>
      <c r="D419" s="2">
        <v>1</v>
      </c>
      <c r="E419" s="2">
        <v>0.12</v>
      </c>
      <c r="F419" s="2">
        <v>7</v>
      </c>
      <c r="G419" s="2" t="s">
        <v>24</v>
      </c>
      <c r="H419">
        <f>IF(AND(OR(لوحة_القيادة!$C$4="الكل", A419=لوحة_القيادة!$C$4), IF(لوحة_القيادة!$C$5="الكل", TRUE, INDEX($V419:$AG419, 1, VALUE(لوحة_القيادة!$C$5))&gt;0)), 1, 0)</f>
        <v>0</v>
      </c>
      <c r="I419">
        <f>IF(H419=1, SUM($H$2:H419), "")</f>
        <v>0</v>
      </c>
      <c r="J419" s="2">
        <v>0</v>
      </c>
      <c r="K419" s="2">
        <v>7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1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1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1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0</v>
      </c>
      <c r="CW419" s="2">
        <v>0</v>
      </c>
      <c r="CX419" s="2">
        <v>0</v>
      </c>
      <c r="CY419" s="2">
        <v>0</v>
      </c>
      <c r="CZ419" s="2">
        <v>0</v>
      </c>
      <c r="DA419" s="2">
        <v>0</v>
      </c>
      <c r="DB419" s="2">
        <v>0</v>
      </c>
      <c r="DC419" s="2">
        <v>0</v>
      </c>
      <c r="DD419" s="2">
        <v>0</v>
      </c>
      <c r="DE419" s="2">
        <v>0</v>
      </c>
      <c r="DF419" s="2">
        <v>0</v>
      </c>
      <c r="DG419" s="2">
        <v>0</v>
      </c>
      <c r="DH419" s="2">
        <v>0</v>
      </c>
      <c r="DI419" s="2">
        <v>0</v>
      </c>
      <c r="DJ419" s="2">
        <v>0</v>
      </c>
      <c r="DK419" s="2">
        <v>0</v>
      </c>
      <c r="DL419" s="2">
        <v>0</v>
      </c>
      <c r="DM419" s="2">
        <v>0</v>
      </c>
      <c r="DN419" s="2">
        <v>0</v>
      </c>
      <c r="DO419" s="2">
        <v>0</v>
      </c>
      <c r="DP419" s="2">
        <v>0</v>
      </c>
      <c r="DQ419" s="2">
        <v>0</v>
      </c>
      <c r="DR419" s="2">
        <v>0</v>
      </c>
      <c r="DS419" s="2">
        <v>0</v>
      </c>
    </row>
    <row r="420" spans="1:123">
      <c r="A420" s="2" t="s">
        <v>8</v>
      </c>
      <c r="B420" s="2" t="s">
        <v>669</v>
      </c>
      <c r="C420" s="2">
        <v>6</v>
      </c>
      <c r="D420" s="2">
        <v>3</v>
      </c>
      <c r="E420" s="2">
        <v>0.1</v>
      </c>
      <c r="F420" s="2">
        <v>2</v>
      </c>
      <c r="G420" s="2" t="s">
        <v>619</v>
      </c>
      <c r="H420">
        <f>IF(AND(OR(لوحة_القيادة!$C$4="الكل", A420=لوحة_القيادة!$C$4), IF(لوحة_القيادة!$C$5="الكل", TRUE, INDEX($V420:$AG420, 1, VALUE(لوحة_القيادة!$C$5))&gt;0)), 1, 0)</f>
        <v>0</v>
      </c>
      <c r="I420">
        <f>IF(H420=1, SUM($H$2:H420), "")</f>
        <v>0</v>
      </c>
      <c r="J420" s="2">
        <v>0</v>
      </c>
      <c r="K420" s="2">
        <v>0</v>
      </c>
      <c r="L420" s="2">
        <v>0</v>
      </c>
      <c r="M420" s="2">
        <v>0</v>
      </c>
      <c r="N420" s="2">
        <v>4</v>
      </c>
      <c r="O420" s="2">
        <v>2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2</v>
      </c>
      <c r="AA420" s="2">
        <v>1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1</v>
      </c>
      <c r="AI420" s="2">
        <v>2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1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1</v>
      </c>
      <c r="BQ420" s="2">
        <v>1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0</v>
      </c>
      <c r="CW420" s="2">
        <v>0</v>
      </c>
      <c r="CX420" s="2">
        <v>0</v>
      </c>
      <c r="CY420" s="2">
        <v>0</v>
      </c>
      <c r="CZ420" s="2">
        <v>0</v>
      </c>
      <c r="DA420" s="2">
        <v>0</v>
      </c>
      <c r="DB420" s="2">
        <v>0</v>
      </c>
      <c r="DC420" s="2">
        <v>0</v>
      </c>
      <c r="DD420" s="2">
        <v>0</v>
      </c>
      <c r="DE420" s="2">
        <v>0</v>
      </c>
      <c r="DF420" s="2">
        <v>0</v>
      </c>
      <c r="DG420" s="2">
        <v>0</v>
      </c>
      <c r="DH420" s="2">
        <v>0</v>
      </c>
      <c r="DI420" s="2">
        <v>0</v>
      </c>
      <c r="DJ420" s="2">
        <v>0</v>
      </c>
      <c r="DK420" s="2">
        <v>0</v>
      </c>
      <c r="DL420" s="2">
        <v>0</v>
      </c>
      <c r="DM420" s="2">
        <v>0</v>
      </c>
      <c r="DN420" s="2">
        <v>0</v>
      </c>
      <c r="DO420" s="2">
        <v>0</v>
      </c>
      <c r="DP420" s="2">
        <v>0</v>
      </c>
      <c r="DQ420" s="2">
        <v>0</v>
      </c>
      <c r="DR420" s="2">
        <v>0</v>
      </c>
      <c r="DS420" s="2">
        <v>0</v>
      </c>
    </row>
    <row r="421" spans="1:123">
      <c r="A421" s="2" t="s">
        <v>15</v>
      </c>
      <c r="B421" s="2" t="s">
        <v>670</v>
      </c>
      <c r="C421" s="2">
        <v>6</v>
      </c>
      <c r="D421" s="2">
        <v>2</v>
      </c>
      <c r="E421" s="2">
        <v>0.1</v>
      </c>
      <c r="F421" s="2">
        <v>3</v>
      </c>
      <c r="G421" s="2" t="s">
        <v>481</v>
      </c>
      <c r="H421">
        <f>IF(AND(OR(لوحة_القيادة!$C$4="الكل", A421=لوحة_القيادة!$C$4), IF(لوحة_القيادة!$C$5="الكل", TRUE, INDEX($V421:$AG421, 1, VALUE(لوحة_القيادة!$C$5))&gt;0)), 1, 0)</f>
        <v>0</v>
      </c>
      <c r="I421">
        <f>IF(H421=1, SUM($H$2:H421), "")</f>
        <v>0</v>
      </c>
      <c r="J421" s="2">
        <v>0</v>
      </c>
      <c r="K421" s="2">
        <v>0</v>
      </c>
      <c r="L421" s="2">
        <v>2</v>
      </c>
      <c r="M421" s="2">
        <v>0</v>
      </c>
      <c r="N421" s="2">
        <v>0</v>
      </c>
      <c r="O421" s="2">
        <v>0</v>
      </c>
      <c r="P421" s="2">
        <v>4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1</v>
      </c>
      <c r="Y421" s="2">
        <v>0</v>
      </c>
      <c r="Z421" s="2">
        <v>0</v>
      </c>
      <c r="AA421" s="2">
        <v>0</v>
      </c>
      <c r="AB421" s="2">
        <v>1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1</v>
      </c>
      <c r="AI421" s="2">
        <v>1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1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1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0</v>
      </c>
      <c r="CW421" s="2">
        <v>0</v>
      </c>
      <c r="CX421" s="2">
        <v>0</v>
      </c>
      <c r="CY421" s="2">
        <v>0</v>
      </c>
      <c r="CZ421" s="2">
        <v>0</v>
      </c>
      <c r="DA421" s="2">
        <v>0</v>
      </c>
      <c r="DB421" s="2">
        <v>0</v>
      </c>
      <c r="DC421" s="2">
        <v>0</v>
      </c>
      <c r="DD421" s="2">
        <v>0</v>
      </c>
      <c r="DE421" s="2">
        <v>0</v>
      </c>
      <c r="DF421" s="2">
        <v>0</v>
      </c>
      <c r="DG421" s="2">
        <v>0</v>
      </c>
      <c r="DH421" s="2">
        <v>0</v>
      </c>
      <c r="DI421" s="2">
        <v>0</v>
      </c>
      <c r="DJ421" s="2">
        <v>0</v>
      </c>
      <c r="DK421" s="2">
        <v>0</v>
      </c>
      <c r="DL421" s="2">
        <v>0</v>
      </c>
      <c r="DM421" s="2">
        <v>0</v>
      </c>
      <c r="DN421" s="2">
        <v>0</v>
      </c>
      <c r="DO421" s="2">
        <v>0</v>
      </c>
      <c r="DP421" s="2">
        <v>0</v>
      </c>
      <c r="DQ421" s="2">
        <v>0</v>
      </c>
      <c r="DR421" s="2">
        <v>0</v>
      </c>
      <c r="DS421" s="2">
        <v>0</v>
      </c>
    </row>
    <row r="422" spans="1:123">
      <c r="A422" s="2" t="s">
        <v>8</v>
      </c>
      <c r="B422" s="2" t="s">
        <v>671</v>
      </c>
      <c r="C422" s="2">
        <v>5</v>
      </c>
      <c r="D422" s="2">
        <v>1</v>
      </c>
      <c r="E422" s="2">
        <v>0.08</v>
      </c>
      <c r="F422" s="2">
        <v>5</v>
      </c>
      <c r="G422" s="2" t="s">
        <v>26</v>
      </c>
      <c r="H422">
        <f>IF(AND(OR(لوحة_القيادة!$C$4="الكل", A422=لوحة_القيادة!$C$4), IF(لوحة_القيادة!$C$5="الكل", TRUE, INDEX($V422:$AG422, 1, VALUE(لوحة_القيادة!$C$5))&gt;0)), 1, 0)</f>
        <v>0</v>
      </c>
      <c r="I422">
        <f>IF(H422=1, SUM($H$2:H422), "")</f>
        <v>0</v>
      </c>
      <c r="J422" s="2">
        <v>0</v>
      </c>
      <c r="K422" s="2">
        <v>0</v>
      </c>
      <c r="L422" s="2">
        <v>0</v>
      </c>
      <c r="M422" s="2">
        <v>5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1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1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1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0</v>
      </c>
      <c r="CW422" s="2">
        <v>0</v>
      </c>
      <c r="CX422" s="2">
        <v>0</v>
      </c>
      <c r="CY422" s="2">
        <v>0</v>
      </c>
      <c r="CZ422" s="2">
        <v>0</v>
      </c>
      <c r="DA422" s="2">
        <v>0</v>
      </c>
      <c r="DB422" s="2">
        <v>0</v>
      </c>
      <c r="DC422" s="2">
        <v>0</v>
      </c>
      <c r="DD422" s="2">
        <v>0</v>
      </c>
      <c r="DE422" s="2">
        <v>0</v>
      </c>
      <c r="DF422" s="2">
        <v>0</v>
      </c>
      <c r="DG422" s="2">
        <v>0</v>
      </c>
      <c r="DH422" s="2">
        <v>0</v>
      </c>
      <c r="DI422" s="2">
        <v>0</v>
      </c>
      <c r="DJ422" s="2">
        <v>0</v>
      </c>
      <c r="DK422" s="2">
        <v>0</v>
      </c>
      <c r="DL422" s="2">
        <v>0</v>
      </c>
      <c r="DM422" s="2">
        <v>0</v>
      </c>
      <c r="DN422" s="2">
        <v>0</v>
      </c>
      <c r="DO422" s="2">
        <v>0</v>
      </c>
      <c r="DP422" s="2">
        <v>0</v>
      </c>
      <c r="DQ422" s="2">
        <v>0</v>
      </c>
      <c r="DR422" s="2">
        <v>0</v>
      </c>
      <c r="DS422" s="2">
        <v>0</v>
      </c>
    </row>
    <row r="423" spans="1:123">
      <c r="A423" s="2" t="s">
        <v>11</v>
      </c>
      <c r="B423" s="2" t="s">
        <v>672</v>
      </c>
      <c r="C423" s="2">
        <v>5</v>
      </c>
      <c r="D423" s="2">
        <v>1</v>
      </c>
      <c r="E423" s="2">
        <v>0.08</v>
      </c>
      <c r="F423" s="2">
        <v>5</v>
      </c>
      <c r="G423" s="2" t="s">
        <v>25</v>
      </c>
      <c r="H423">
        <f>IF(AND(OR(لوحة_القيادة!$C$4="الكل", A423=لوحة_القيادة!$C$4), IF(لوحة_القيادة!$C$5="الكل", TRUE, INDEX($V423:$AG423, 1, VALUE(لوحة_القيادة!$C$5))&gt;0)), 1, 0)</f>
        <v>0</v>
      </c>
      <c r="I423">
        <f>IF(H423=1, SUM($H$2:H423), "")</f>
        <v>0</v>
      </c>
      <c r="J423" s="2">
        <v>0</v>
      </c>
      <c r="K423" s="2">
        <v>0</v>
      </c>
      <c r="L423" s="2">
        <v>5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1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1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1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0</v>
      </c>
      <c r="CN423" s="2">
        <v>0</v>
      </c>
      <c r="CO423" s="2">
        <v>0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0</v>
      </c>
      <c r="CW423" s="2">
        <v>0</v>
      </c>
      <c r="CX423" s="2">
        <v>0</v>
      </c>
      <c r="CY423" s="2">
        <v>0</v>
      </c>
      <c r="CZ423" s="2">
        <v>0</v>
      </c>
      <c r="DA423" s="2">
        <v>0</v>
      </c>
      <c r="DB423" s="2">
        <v>0</v>
      </c>
      <c r="DC423" s="2">
        <v>0</v>
      </c>
      <c r="DD423" s="2">
        <v>0</v>
      </c>
      <c r="DE423" s="2">
        <v>0</v>
      </c>
      <c r="DF423" s="2">
        <v>0</v>
      </c>
      <c r="DG423" s="2">
        <v>0</v>
      </c>
      <c r="DH423" s="2">
        <v>0</v>
      </c>
      <c r="DI423" s="2">
        <v>0</v>
      </c>
      <c r="DJ423" s="2">
        <v>0</v>
      </c>
      <c r="DK423" s="2">
        <v>0</v>
      </c>
      <c r="DL423" s="2">
        <v>0</v>
      </c>
      <c r="DM423" s="2">
        <v>0</v>
      </c>
      <c r="DN423" s="2">
        <v>0</v>
      </c>
      <c r="DO423" s="2">
        <v>0</v>
      </c>
      <c r="DP423" s="2">
        <v>0</v>
      </c>
      <c r="DQ423" s="2">
        <v>0</v>
      </c>
      <c r="DR423" s="2">
        <v>0</v>
      </c>
      <c r="DS423" s="2">
        <v>0</v>
      </c>
    </row>
    <row r="424" spans="1:123">
      <c r="A424" s="2" t="s">
        <v>13</v>
      </c>
      <c r="B424" s="2" t="s">
        <v>673</v>
      </c>
      <c r="C424" s="2">
        <v>5</v>
      </c>
      <c r="D424" s="2">
        <v>4</v>
      </c>
      <c r="E424" s="2">
        <v>0.08</v>
      </c>
      <c r="F424" s="2">
        <v>1.25</v>
      </c>
      <c r="G424" s="2" t="s">
        <v>440</v>
      </c>
      <c r="H424">
        <f>IF(AND(OR(لوحة_القيادة!$C$4="الكل", A424=لوحة_القيادة!$C$4), IF(لوحة_القيادة!$C$5="الكل", TRUE, INDEX($V424:$AG424, 1, VALUE(لوحة_القيادة!$C$5))&gt;0)), 1, 0)</f>
        <v>0</v>
      </c>
      <c r="I424">
        <f>IF(H424=1, SUM($H$2:H424), "")</f>
        <v>0</v>
      </c>
      <c r="J424" s="2">
        <v>3</v>
      </c>
      <c r="K424" s="2">
        <v>1</v>
      </c>
      <c r="L424" s="2">
        <v>0</v>
      </c>
      <c r="M424" s="2">
        <v>1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2</v>
      </c>
      <c r="W424" s="2">
        <v>1</v>
      </c>
      <c r="X424" s="2">
        <v>0</v>
      </c>
      <c r="Y424" s="2">
        <v>1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3</v>
      </c>
      <c r="AJ424" s="2">
        <v>0</v>
      </c>
      <c r="AK424" s="2">
        <v>0</v>
      </c>
      <c r="AL424" s="2">
        <v>0</v>
      </c>
      <c r="AM424" s="2">
        <v>1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1</v>
      </c>
      <c r="BM424" s="2">
        <v>1</v>
      </c>
      <c r="BN424" s="2">
        <v>0</v>
      </c>
      <c r="BO424" s="2">
        <v>1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0</v>
      </c>
      <c r="CW424" s="2">
        <v>0</v>
      </c>
      <c r="CX424" s="2">
        <v>0</v>
      </c>
      <c r="CY424" s="2">
        <v>0</v>
      </c>
      <c r="CZ424" s="2">
        <v>0</v>
      </c>
      <c r="DA424" s="2">
        <v>0</v>
      </c>
      <c r="DB424" s="2">
        <v>0</v>
      </c>
      <c r="DC424" s="2">
        <v>0</v>
      </c>
      <c r="DD424" s="2">
        <v>0</v>
      </c>
      <c r="DE424" s="2">
        <v>0</v>
      </c>
      <c r="DF424" s="2">
        <v>0</v>
      </c>
      <c r="DG424" s="2">
        <v>0</v>
      </c>
      <c r="DH424" s="2">
        <v>1</v>
      </c>
      <c r="DI424" s="2">
        <v>0</v>
      </c>
      <c r="DJ424" s="2">
        <v>0</v>
      </c>
      <c r="DK424" s="2">
        <v>0</v>
      </c>
      <c r="DL424" s="2">
        <v>0</v>
      </c>
      <c r="DM424" s="2">
        <v>0</v>
      </c>
      <c r="DN424" s="2">
        <v>0</v>
      </c>
      <c r="DO424" s="2">
        <v>0</v>
      </c>
      <c r="DP424" s="2">
        <v>0</v>
      </c>
      <c r="DQ424" s="2">
        <v>0</v>
      </c>
      <c r="DR424" s="2">
        <v>0</v>
      </c>
      <c r="DS424" s="2">
        <v>0</v>
      </c>
    </row>
    <row r="425" spans="1:123">
      <c r="A425" s="2" t="s">
        <v>14</v>
      </c>
      <c r="B425" s="2" t="s">
        <v>674</v>
      </c>
      <c r="C425" s="2">
        <v>5</v>
      </c>
      <c r="D425" s="2">
        <v>1</v>
      </c>
      <c r="E425" s="2">
        <v>0.08</v>
      </c>
      <c r="F425" s="2">
        <v>5</v>
      </c>
      <c r="G425" s="2" t="s">
        <v>24</v>
      </c>
      <c r="H425">
        <f>IF(AND(OR(لوحة_القيادة!$C$4="الكل", A425=لوحة_القيادة!$C$4), IF(لوحة_القيادة!$C$5="الكل", TRUE, INDEX($V425:$AG425, 1, VALUE(لوحة_القيادة!$C$5))&gt;0)), 1, 0)</f>
        <v>0</v>
      </c>
      <c r="I425">
        <f>IF(H425=1, SUM($H$2:H425), "")</f>
        <v>0</v>
      </c>
      <c r="J425" s="2">
        <v>0</v>
      </c>
      <c r="K425" s="2">
        <v>5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1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1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1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0</v>
      </c>
      <c r="CN425" s="2">
        <v>0</v>
      </c>
      <c r="CO425" s="2">
        <v>0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0</v>
      </c>
      <c r="CW425" s="2">
        <v>0</v>
      </c>
      <c r="CX425" s="2">
        <v>0</v>
      </c>
      <c r="CY425" s="2">
        <v>0</v>
      </c>
      <c r="CZ425" s="2">
        <v>0</v>
      </c>
      <c r="DA425" s="2">
        <v>0</v>
      </c>
      <c r="DB425" s="2">
        <v>0</v>
      </c>
      <c r="DC425" s="2">
        <v>0</v>
      </c>
      <c r="DD425" s="2">
        <v>0</v>
      </c>
      <c r="DE425" s="2">
        <v>0</v>
      </c>
      <c r="DF425" s="2">
        <v>0</v>
      </c>
      <c r="DG425" s="2">
        <v>0</v>
      </c>
      <c r="DH425" s="2">
        <v>0</v>
      </c>
      <c r="DI425" s="2">
        <v>0</v>
      </c>
      <c r="DJ425" s="2">
        <v>0</v>
      </c>
      <c r="DK425" s="2">
        <v>0</v>
      </c>
      <c r="DL425" s="2">
        <v>0</v>
      </c>
      <c r="DM425" s="2">
        <v>0</v>
      </c>
      <c r="DN425" s="2">
        <v>0</v>
      </c>
      <c r="DO425" s="2">
        <v>0</v>
      </c>
      <c r="DP425" s="2">
        <v>0</v>
      </c>
      <c r="DQ425" s="2">
        <v>0</v>
      </c>
      <c r="DR425" s="2">
        <v>0</v>
      </c>
      <c r="DS425" s="2">
        <v>0</v>
      </c>
    </row>
    <row r="426" spans="1:123">
      <c r="A426" s="2" t="s">
        <v>14</v>
      </c>
      <c r="B426" s="2" t="s">
        <v>675</v>
      </c>
      <c r="C426" s="2">
        <v>5</v>
      </c>
      <c r="D426" s="2">
        <v>2</v>
      </c>
      <c r="E426" s="2">
        <v>0.08</v>
      </c>
      <c r="F426" s="2">
        <v>2.5</v>
      </c>
      <c r="G426" s="2" t="s">
        <v>23</v>
      </c>
      <c r="H426">
        <f>IF(AND(OR(لوحة_القيادة!$C$4="الكل", A426=لوحة_القيادة!$C$4), IF(لوحة_القيادة!$C$5="الكل", TRUE, INDEX($V426:$AG426, 1, VALUE(لوحة_القيادة!$C$5))&gt;0)), 1, 0)</f>
        <v>0</v>
      </c>
      <c r="I426">
        <f>IF(H426=1, SUM($H$2:H426), "")</f>
        <v>0</v>
      </c>
      <c r="J426" s="2">
        <v>5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2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1</v>
      </c>
      <c r="AJ426" s="2">
        <v>1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1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1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0</v>
      </c>
      <c r="DB426" s="2">
        <v>0</v>
      </c>
      <c r="DC426" s="2">
        <v>0</v>
      </c>
      <c r="DD426" s="2">
        <v>0</v>
      </c>
      <c r="DE426" s="2">
        <v>0</v>
      </c>
      <c r="DF426" s="2">
        <v>0</v>
      </c>
      <c r="DG426" s="2">
        <v>0</v>
      </c>
      <c r="DH426" s="2">
        <v>0</v>
      </c>
      <c r="DI426" s="2">
        <v>0</v>
      </c>
      <c r="DJ426" s="2">
        <v>0</v>
      </c>
      <c r="DK426" s="2">
        <v>0</v>
      </c>
      <c r="DL426" s="2">
        <v>0</v>
      </c>
      <c r="DM426" s="2">
        <v>0</v>
      </c>
      <c r="DN426" s="2">
        <v>0</v>
      </c>
      <c r="DO426" s="2">
        <v>0</v>
      </c>
      <c r="DP426" s="2">
        <v>0</v>
      </c>
      <c r="DQ426" s="2">
        <v>0</v>
      </c>
      <c r="DR426" s="2">
        <v>0</v>
      </c>
      <c r="DS426" s="2">
        <v>0</v>
      </c>
    </row>
    <row r="427" spans="1:123">
      <c r="A427" s="2" t="s">
        <v>14</v>
      </c>
      <c r="B427" s="2" t="s">
        <v>676</v>
      </c>
      <c r="C427" s="2">
        <v>5</v>
      </c>
      <c r="D427" s="2">
        <v>2</v>
      </c>
      <c r="E427" s="2">
        <v>0.08</v>
      </c>
      <c r="F427" s="2">
        <v>2.5</v>
      </c>
      <c r="G427" s="2" t="s">
        <v>597</v>
      </c>
      <c r="H427">
        <f>IF(AND(OR(لوحة_القيادة!$C$4="الكل", A427=لوحة_القيادة!$C$4), IF(لوحة_القيادة!$C$5="الكل", TRUE, INDEX($V427:$AG427, 1, VALUE(لوحة_القيادة!$C$5))&gt;0)), 1, 0)</f>
        <v>0</v>
      </c>
      <c r="I427">
        <f>IF(H427=1, SUM($H$2:H427), "")</f>
        <v>0</v>
      </c>
      <c r="J427" s="2">
        <v>0</v>
      </c>
      <c r="K427" s="2">
        <v>0</v>
      </c>
      <c r="L427" s="2">
        <v>0</v>
      </c>
      <c r="M427" s="2">
        <v>0</v>
      </c>
      <c r="N427" s="2">
        <v>4</v>
      </c>
      <c r="O427" s="2">
        <v>0</v>
      </c>
      <c r="P427" s="2">
        <v>1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1</v>
      </c>
      <c r="AA427" s="2">
        <v>0</v>
      </c>
      <c r="AB427" s="2">
        <v>1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2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1</v>
      </c>
      <c r="BQ427" s="2">
        <v>0</v>
      </c>
      <c r="BR427" s="2">
        <v>1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0</v>
      </c>
      <c r="CN427" s="2">
        <v>0</v>
      </c>
      <c r="CO427" s="2">
        <v>0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0</v>
      </c>
      <c r="CW427" s="2">
        <v>0</v>
      </c>
      <c r="CX427" s="2">
        <v>0</v>
      </c>
      <c r="CY427" s="2">
        <v>0</v>
      </c>
      <c r="CZ427" s="2">
        <v>0</v>
      </c>
      <c r="DA427" s="2">
        <v>0</v>
      </c>
      <c r="DB427" s="2">
        <v>0</v>
      </c>
      <c r="DC427" s="2">
        <v>0</v>
      </c>
      <c r="DD427" s="2">
        <v>0</v>
      </c>
      <c r="DE427" s="2">
        <v>0</v>
      </c>
      <c r="DF427" s="2">
        <v>0</v>
      </c>
      <c r="DG427" s="2">
        <v>0</v>
      </c>
      <c r="DH427" s="2">
        <v>0</v>
      </c>
      <c r="DI427" s="2">
        <v>0</v>
      </c>
      <c r="DJ427" s="2">
        <v>0</v>
      </c>
      <c r="DK427" s="2">
        <v>0</v>
      </c>
      <c r="DL427" s="2">
        <v>0</v>
      </c>
      <c r="DM427" s="2">
        <v>0</v>
      </c>
      <c r="DN427" s="2">
        <v>0</v>
      </c>
      <c r="DO427" s="2">
        <v>0</v>
      </c>
      <c r="DP427" s="2">
        <v>0</v>
      </c>
      <c r="DQ427" s="2">
        <v>0</v>
      </c>
      <c r="DR427" s="2">
        <v>0</v>
      </c>
      <c r="DS427" s="2">
        <v>0</v>
      </c>
    </row>
    <row r="428" spans="1:123">
      <c r="A428" s="2" t="s">
        <v>18</v>
      </c>
      <c r="B428" s="2" t="s">
        <v>677</v>
      </c>
      <c r="C428" s="2">
        <v>5</v>
      </c>
      <c r="D428" s="2">
        <v>1</v>
      </c>
      <c r="E428" s="2">
        <v>0.08</v>
      </c>
      <c r="F428" s="2">
        <v>5</v>
      </c>
      <c r="G428" s="2" t="s">
        <v>24</v>
      </c>
      <c r="H428">
        <f>IF(AND(OR(لوحة_القيادة!$C$4="الكل", A428=لوحة_القيادة!$C$4), IF(لوحة_القيادة!$C$5="الكل", TRUE, INDEX($V428:$AG428, 1, VALUE(لوحة_القيادة!$C$5))&gt;0)), 1, 0)</f>
        <v>0</v>
      </c>
      <c r="I428">
        <f>IF(H428=1, SUM($H$2:H428), "")</f>
        <v>0</v>
      </c>
      <c r="J428" s="2">
        <v>0</v>
      </c>
      <c r="K428" s="2">
        <v>5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1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1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1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0</v>
      </c>
      <c r="DB428" s="2">
        <v>0</v>
      </c>
      <c r="DC428" s="2">
        <v>0</v>
      </c>
      <c r="DD428" s="2">
        <v>0</v>
      </c>
      <c r="DE428" s="2">
        <v>0</v>
      </c>
      <c r="DF428" s="2">
        <v>0</v>
      </c>
      <c r="DG428" s="2">
        <v>0</v>
      </c>
      <c r="DH428" s="2">
        <v>0</v>
      </c>
      <c r="DI428" s="2">
        <v>0</v>
      </c>
      <c r="DJ428" s="2">
        <v>0</v>
      </c>
      <c r="DK428" s="2">
        <v>0</v>
      </c>
      <c r="DL428" s="2">
        <v>0</v>
      </c>
      <c r="DM428" s="2">
        <v>0</v>
      </c>
      <c r="DN428" s="2">
        <v>0</v>
      </c>
      <c r="DO428" s="2">
        <v>0</v>
      </c>
      <c r="DP428" s="2">
        <v>0</v>
      </c>
      <c r="DQ428" s="2">
        <v>0</v>
      </c>
      <c r="DR428" s="2">
        <v>0</v>
      </c>
      <c r="DS428" s="2">
        <v>0</v>
      </c>
    </row>
    <row r="429" spans="1:123">
      <c r="A429" s="2" t="s">
        <v>11</v>
      </c>
      <c r="B429" s="2" t="s">
        <v>678</v>
      </c>
      <c r="C429" s="2">
        <v>4</v>
      </c>
      <c r="D429" s="2">
        <v>1</v>
      </c>
      <c r="E429" s="2">
        <v>0.07000000000000001</v>
      </c>
      <c r="F429" s="2">
        <v>4</v>
      </c>
      <c r="G429" s="2" t="s">
        <v>25</v>
      </c>
      <c r="H429">
        <f>IF(AND(OR(لوحة_القيادة!$C$4="الكل", A429=لوحة_القيادة!$C$4), IF(لوحة_القيادة!$C$5="الكل", TRUE, INDEX($V429:$AG429, 1, VALUE(لوحة_القيادة!$C$5))&gt;0)), 1, 0)</f>
        <v>0</v>
      </c>
      <c r="I429">
        <f>IF(H429=1, SUM($H$2:H429), "")</f>
        <v>0</v>
      </c>
      <c r="J429" s="2">
        <v>0</v>
      </c>
      <c r="K429" s="2">
        <v>0</v>
      </c>
      <c r="L429" s="2">
        <v>4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1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1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1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>
        <v>0</v>
      </c>
      <c r="CN429" s="2">
        <v>0</v>
      </c>
      <c r="CO429" s="2">
        <v>0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  <c r="CV429" s="2">
        <v>0</v>
      </c>
      <c r="CW429" s="2">
        <v>0</v>
      </c>
      <c r="CX429" s="2">
        <v>0</v>
      </c>
      <c r="CY429" s="2">
        <v>0</v>
      </c>
      <c r="CZ429" s="2">
        <v>0</v>
      </c>
      <c r="DA429" s="2">
        <v>0</v>
      </c>
      <c r="DB429" s="2">
        <v>0</v>
      </c>
      <c r="DC429" s="2">
        <v>0</v>
      </c>
      <c r="DD429" s="2">
        <v>0</v>
      </c>
      <c r="DE429" s="2">
        <v>0</v>
      </c>
      <c r="DF429" s="2">
        <v>0</v>
      </c>
      <c r="DG429" s="2">
        <v>0</v>
      </c>
      <c r="DH429" s="2">
        <v>0</v>
      </c>
      <c r="DI429" s="2">
        <v>0</v>
      </c>
      <c r="DJ429" s="2">
        <v>0</v>
      </c>
      <c r="DK429" s="2">
        <v>0</v>
      </c>
      <c r="DL429" s="2">
        <v>0</v>
      </c>
      <c r="DM429" s="2">
        <v>0</v>
      </c>
      <c r="DN429" s="2">
        <v>0</v>
      </c>
      <c r="DO429" s="2">
        <v>0</v>
      </c>
      <c r="DP429" s="2">
        <v>0</v>
      </c>
      <c r="DQ429" s="2">
        <v>0</v>
      </c>
      <c r="DR429" s="2">
        <v>0</v>
      </c>
      <c r="DS429" s="2">
        <v>0</v>
      </c>
    </row>
    <row r="430" spans="1:123">
      <c r="A430" s="2" t="s">
        <v>15</v>
      </c>
      <c r="B430" s="2" t="s">
        <v>679</v>
      </c>
      <c r="C430" s="2">
        <v>4</v>
      </c>
      <c r="D430" s="2">
        <v>1</v>
      </c>
      <c r="E430" s="2">
        <v>0.07000000000000001</v>
      </c>
      <c r="F430" s="2">
        <v>4</v>
      </c>
      <c r="G430" s="2" t="s">
        <v>24</v>
      </c>
      <c r="H430">
        <f>IF(AND(OR(لوحة_القيادة!$C$4="الكل", A430=لوحة_القيادة!$C$4), IF(لوحة_القيادة!$C$5="الكل", TRUE, INDEX($V430:$AG430, 1, VALUE(لوحة_القيادة!$C$5))&gt;0)), 1, 0)</f>
        <v>0</v>
      </c>
      <c r="I430">
        <f>IF(H430=1, SUM($H$2:H430), "")</f>
        <v>0</v>
      </c>
      <c r="J430" s="2">
        <v>0</v>
      </c>
      <c r="K430" s="2">
        <v>4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1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1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1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0</v>
      </c>
      <c r="DB430" s="2">
        <v>0</v>
      </c>
      <c r="DC430" s="2">
        <v>0</v>
      </c>
      <c r="DD430" s="2">
        <v>0</v>
      </c>
      <c r="DE430" s="2">
        <v>0</v>
      </c>
      <c r="DF430" s="2">
        <v>0</v>
      </c>
      <c r="DG430" s="2">
        <v>0</v>
      </c>
      <c r="DH430" s="2">
        <v>0</v>
      </c>
      <c r="DI430" s="2">
        <v>0</v>
      </c>
      <c r="DJ430" s="2">
        <v>0</v>
      </c>
      <c r="DK430" s="2">
        <v>0</v>
      </c>
      <c r="DL430" s="2">
        <v>0</v>
      </c>
      <c r="DM430" s="2">
        <v>0</v>
      </c>
      <c r="DN430" s="2">
        <v>0</v>
      </c>
      <c r="DO430" s="2">
        <v>0</v>
      </c>
      <c r="DP430" s="2">
        <v>0</v>
      </c>
      <c r="DQ430" s="2">
        <v>0</v>
      </c>
      <c r="DR430" s="2">
        <v>0</v>
      </c>
      <c r="DS430" s="2">
        <v>0</v>
      </c>
    </row>
    <row r="431" spans="1:123">
      <c r="A431" s="2" t="s">
        <v>18</v>
      </c>
      <c r="B431" s="2" t="s">
        <v>680</v>
      </c>
      <c r="C431" s="2">
        <v>4</v>
      </c>
      <c r="D431" s="2">
        <v>1</v>
      </c>
      <c r="E431" s="2">
        <v>0.07000000000000001</v>
      </c>
      <c r="F431" s="2">
        <v>4</v>
      </c>
      <c r="G431" s="2" t="s">
        <v>24</v>
      </c>
      <c r="H431">
        <f>IF(AND(OR(لوحة_القيادة!$C$4="الكل", A431=لوحة_القيادة!$C$4), IF(لوحة_القيادة!$C$5="الكل", TRUE, INDEX($V431:$AG431, 1, VALUE(لوحة_القيادة!$C$5))&gt;0)), 1, 0)</f>
        <v>0</v>
      </c>
      <c r="I431">
        <f>IF(H431=1, SUM($H$2:H431), "")</f>
        <v>0</v>
      </c>
      <c r="J431" s="2">
        <v>0</v>
      </c>
      <c r="K431" s="2">
        <v>4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1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1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1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0</v>
      </c>
      <c r="DB431" s="2">
        <v>0</v>
      </c>
      <c r="DC431" s="2">
        <v>0</v>
      </c>
      <c r="DD431" s="2">
        <v>0</v>
      </c>
      <c r="DE431" s="2">
        <v>0</v>
      </c>
      <c r="DF431" s="2">
        <v>0</v>
      </c>
      <c r="DG431" s="2">
        <v>0</v>
      </c>
      <c r="DH431" s="2">
        <v>0</v>
      </c>
      <c r="DI431" s="2">
        <v>0</v>
      </c>
      <c r="DJ431" s="2">
        <v>0</v>
      </c>
      <c r="DK431" s="2">
        <v>0</v>
      </c>
      <c r="DL431" s="2">
        <v>0</v>
      </c>
      <c r="DM431" s="2">
        <v>0</v>
      </c>
      <c r="DN431" s="2">
        <v>0</v>
      </c>
      <c r="DO431" s="2">
        <v>0</v>
      </c>
      <c r="DP431" s="2">
        <v>0</v>
      </c>
      <c r="DQ431" s="2">
        <v>0</v>
      </c>
      <c r="DR431" s="2">
        <v>0</v>
      </c>
      <c r="DS431" s="2">
        <v>0</v>
      </c>
    </row>
    <row r="432" spans="1:123">
      <c r="A432" s="2" t="s">
        <v>18</v>
      </c>
      <c r="B432" s="2" t="s">
        <v>681</v>
      </c>
      <c r="C432" s="2">
        <v>4</v>
      </c>
      <c r="D432" s="2">
        <v>1</v>
      </c>
      <c r="E432" s="2">
        <v>0.07000000000000001</v>
      </c>
      <c r="F432" s="2">
        <v>4</v>
      </c>
      <c r="G432" s="2" t="s">
        <v>23</v>
      </c>
      <c r="H432">
        <f>IF(AND(OR(لوحة_القيادة!$C$4="الكل", A432=لوحة_القيادة!$C$4), IF(لوحة_القيادة!$C$5="الكل", TRUE, INDEX($V432:$AG432, 1, VALUE(لوحة_القيادة!$C$5))&gt;0)), 1, 0)</f>
        <v>0</v>
      </c>
      <c r="I432">
        <f>IF(H432=1, SUM($H$2:H432), "")</f>
        <v>0</v>
      </c>
      <c r="J432" s="2">
        <v>4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1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1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1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0</v>
      </c>
      <c r="DB432" s="2">
        <v>0</v>
      </c>
      <c r="DC432" s="2">
        <v>0</v>
      </c>
      <c r="DD432" s="2">
        <v>0</v>
      </c>
      <c r="DE432" s="2">
        <v>0</v>
      </c>
      <c r="DF432" s="2">
        <v>0</v>
      </c>
      <c r="DG432" s="2">
        <v>0</v>
      </c>
      <c r="DH432" s="2">
        <v>0</v>
      </c>
      <c r="DI432" s="2">
        <v>0</v>
      </c>
      <c r="DJ432" s="2">
        <v>0</v>
      </c>
      <c r="DK432" s="2">
        <v>0</v>
      </c>
      <c r="DL432" s="2">
        <v>0</v>
      </c>
      <c r="DM432" s="2">
        <v>0</v>
      </c>
      <c r="DN432" s="2">
        <v>0</v>
      </c>
      <c r="DO432" s="2">
        <v>0</v>
      </c>
      <c r="DP432" s="2">
        <v>0</v>
      </c>
      <c r="DQ432" s="2">
        <v>0</v>
      </c>
      <c r="DR432" s="2">
        <v>0</v>
      </c>
      <c r="DS432" s="2">
        <v>0</v>
      </c>
    </row>
    <row r="433" spans="1:123">
      <c r="A433" s="2" t="s">
        <v>18</v>
      </c>
      <c r="B433" s="2" t="s">
        <v>682</v>
      </c>
      <c r="C433" s="2">
        <v>4</v>
      </c>
      <c r="D433" s="2">
        <v>1</v>
      </c>
      <c r="E433" s="2">
        <v>0.07000000000000001</v>
      </c>
      <c r="F433" s="2">
        <v>4</v>
      </c>
      <c r="G433" s="2" t="s">
        <v>24</v>
      </c>
      <c r="H433">
        <f>IF(AND(OR(لوحة_القيادة!$C$4="الكل", A433=لوحة_القيادة!$C$4), IF(لوحة_القيادة!$C$5="الكل", TRUE, INDEX($V433:$AG433, 1, VALUE(لوحة_القيادة!$C$5))&gt;0)), 1, 0)</f>
        <v>0</v>
      </c>
      <c r="I433">
        <f>IF(H433=1, SUM($H$2:H433), "")</f>
        <v>0</v>
      </c>
      <c r="J433" s="2">
        <v>0</v>
      </c>
      <c r="K433" s="2">
        <v>4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1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1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1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0</v>
      </c>
      <c r="CW433" s="2">
        <v>0</v>
      </c>
      <c r="CX433" s="2">
        <v>0</v>
      </c>
      <c r="CY433" s="2">
        <v>0</v>
      </c>
      <c r="CZ433" s="2">
        <v>0</v>
      </c>
      <c r="DA433" s="2">
        <v>0</v>
      </c>
      <c r="DB433" s="2">
        <v>0</v>
      </c>
      <c r="DC433" s="2">
        <v>0</v>
      </c>
      <c r="DD433" s="2">
        <v>0</v>
      </c>
      <c r="DE433" s="2">
        <v>0</v>
      </c>
      <c r="DF433" s="2">
        <v>0</v>
      </c>
      <c r="DG433" s="2">
        <v>0</v>
      </c>
      <c r="DH433" s="2">
        <v>0</v>
      </c>
      <c r="DI433" s="2">
        <v>0</v>
      </c>
      <c r="DJ433" s="2">
        <v>0</v>
      </c>
      <c r="DK433" s="2">
        <v>0</v>
      </c>
      <c r="DL433" s="2">
        <v>0</v>
      </c>
      <c r="DM433" s="2">
        <v>0</v>
      </c>
      <c r="DN433" s="2">
        <v>0</v>
      </c>
      <c r="DO433" s="2">
        <v>0</v>
      </c>
      <c r="DP433" s="2">
        <v>0</v>
      </c>
      <c r="DQ433" s="2">
        <v>0</v>
      </c>
      <c r="DR433" s="2">
        <v>0</v>
      </c>
      <c r="DS433" s="2">
        <v>0</v>
      </c>
    </row>
    <row r="434" spans="1:123">
      <c r="A434" s="2" t="s">
        <v>19</v>
      </c>
      <c r="B434" s="2" t="s">
        <v>683</v>
      </c>
      <c r="C434" s="2">
        <v>4</v>
      </c>
      <c r="D434" s="2">
        <v>3</v>
      </c>
      <c r="E434" s="2">
        <v>0.07000000000000001</v>
      </c>
      <c r="F434" s="2">
        <v>1.33</v>
      </c>
      <c r="G434" s="2" t="s">
        <v>566</v>
      </c>
      <c r="H434">
        <f>IF(AND(OR(لوحة_القيادة!$C$4="الكل", A434=لوحة_القيادة!$C$4), IF(لوحة_القيادة!$C$5="الكل", TRUE, INDEX($V434:$AG434, 1, VALUE(لوحة_القيادة!$C$5))&gt;0)), 1, 0)</f>
        <v>0</v>
      </c>
      <c r="I434">
        <f>IF(H434=1, SUM($H$2:H434), "")</f>
        <v>0</v>
      </c>
      <c r="J434" s="2">
        <v>1</v>
      </c>
      <c r="K434" s="2">
        <v>0</v>
      </c>
      <c r="L434" s="2">
        <v>3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1</v>
      </c>
      <c r="W434" s="2">
        <v>0</v>
      </c>
      <c r="X434" s="2">
        <v>2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2</v>
      </c>
      <c r="AH434" s="2">
        <v>0</v>
      </c>
      <c r="AI434" s="2">
        <v>1</v>
      </c>
      <c r="AJ434" s="2">
        <v>0</v>
      </c>
      <c r="AK434" s="2">
        <v>0</v>
      </c>
      <c r="AL434" s="2">
        <v>0</v>
      </c>
      <c r="AM434" s="2">
        <v>0</v>
      </c>
      <c r="AN434" s="2">
        <v>1</v>
      </c>
      <c r="AO434" s="2">
        <v>0</v>
      </c>
      <c r="AP434" s="2">
        <v>1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1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0</v>
      </c>
      <c r="CW434" s="2">
        <v>0</v>
      </c>
      <c r="CX434" s="2">
        <v>0</v>
      </c>
      <c r="CY434" s="2">
        <v>0</v>
      </c>
      <c r="CZ434" s="2">
        <v>0</v>
      </c>
      <c r="DA434" s="2">
        <v>0</v>
      </c>
      <c r="DB434" s="2">
        <v>0</v>
      </c>
      <c r="DC434" s="2">
        <v>0</v>
      </c>
      <c r="DD434" s="2">
        <v>0</v>
      </c>
      <c r="DE434" s="2">
        <v>0</v>
      </c>
      <c r="DF434" s="2">
        <v>0</v>
      </c>
      <c r="DG434" s="2">
        <v>0</v>
      </c>
      <c r="DH434" s="2">
        <v>0</v>
      </c>
      <c r="DI434" s="2">
        <v>0</v>
      </c>
      <c r="DJ434" s="2">
        <v>0</v>
      </c>
      <c r="DK434" s="2">
        <v>0</v>
      </c>
      <c r="DL434" s="2">
        <v>0</v>
      </c>
      <c r="DM434" s="2">
        <v>0</v>
      </c>
      <c r="DN434" s="2">
        <v>0</v>
      </c>
      <c r="DO434" s="2">
        <v>0</v>
      </c>
      <c r="DP434" s="2">
        <v>0</v>
      </c>
      <c r="DQ434" s="2">
        <v>0</v>
      </c>
      <c r="DR434" s="2">
        <v>0</v>
      </c>
      <c r="DS434" s="2">
        <v>0</v>
      </c>
    </row>
    <row r="435" spans="1:123">
      <c r="A435" s="2" t="s">
        <v>22</v>
      </c>
      <c r="B435" s="2" t="s">
        <v>684</v>
      </c>
      <c r="C435" s="2">
        <v>4</v>
      </c>
      <c r="D435" s="2">
        <v>1</v>
      </c>
      <c r="E435" s="2">
        <v>0.07000000000000001</v>
      </c>
      <c r="F435" s="2">
        <v>4</v>
      </c>
      <c r="G435" s="2" t="s">
        <v>28</v>
      </c>
      <c r="H435">
        <f>IF(AND(OR(لوحة_القيادة!$C$4="الكل", A435=لوحة_القيادة!$C$4), IF(لوحة_القيادة!$C$5="الكل", TRUE, INDEX($V435:$AG435, 1, VALUE(لوحة_القيادة!$C$5))&gt;0)), 1, 0)</f>
        <v>0</v>
      </c>
      <c r="I435">
        <f>IF(H435=1, SUM($H$2:H435), "")</f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4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1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1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0</v>
      </c>
      <c r="CW435" s="2">
        <v>0</v>
      </c>
      <c r="CX435" s="2">
        <v>0</v>
      </c>
      <c r="CY435" s="2">
        <v>0</v>
      </c>
      <c r="CZ435" s="2">
        <v>0</v>
      </c>
      <c r="DA435" s="2">
        <v>0</v>
      </c>
      <c r="DB435" s="2">
        <v>0</v>
      </c>
      <c r="DC435" s="2">
        <v>0</v>
      </c>
      <c r="DD435" s="2">
        <v>0</v>
      </c>
      <c r="DE435" s="2">
        <v>0</v>
      </c>
      <c r="DF435" s="2">
        <v>0</v>
      </c>
      <c r="DG435" s="2">
        <v>0</v>
      </c>
      <c r="DH435" s="2">
        <v>0</v>
      </c>
      <c r="DI435" s="2">
        <v>0</v>
      </c>
      <c r="DJ435" s="2">
        <v>0</v>
      </c>
      <c r="DK435" s="2">
        <v>0</v>
      </c>
      <c r="DL435" s="2">
        <v>0</v>
      </c>
      <c r="DM435" s="2">
        <v>1</v>
      </c>
      <c r="DN435" s="2">
        <v>0</v>
      </c>
      <c r="DO435" s="2">
        <v>0</v>
      </c>
      <c r="DP435" s="2">
        <v>0</v>
      </c>
      <c r="DQ435" s="2">
        <v>0</v>
      </c>
      <c r="DR435" s="2">
        <v>0</v>
      </c>
      <c r="DS435" s="2">
        <v>0</v>
      </c>
    </row>
    <row r="436" spans="1:123">
      <c r="A436" s="2" t="s">
        <v>11</v>
      </c>
      <c r="B436" s="2" t="s">
        <v>685</v>
      </c>
      <c r="C436" s="2">
        <v>3</v>
      </c>
      <c r="D436" s="2">
        <v>1</v>
      </c>
      <c r="E436" s="2">
        <v>0.05</v>
      </c>
      <c r="F436" s="2">
        <v>3</v>
      </c>
      <c r="G436" s="2" t="s">
        <v>24</v>
      </c>
      <c r="H436">
        <f>IF(AND(OR(لوحة_القيادة!$C$4="الكل", A436=لوحة_القيادة!$C$4), IF(لوحة_القيادة!$C$5="الكل", TRUE, INDEX($V436:$AG436, 1, VALUE(لوحة_القيادة!$C$5))&gt;0)), 1, 0)</f>
        <v>0</v>
      </c>
      <c r="I436">
        <f>IF(H436=1, SUM($H$2:H436), "")</f>
        <v>0</v>
      </c>
      <c r="J436" s="2">
        <v>0</v>
      </c>
      <c r="K436" s="2">
        <v>3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1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1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1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0</v>
      </c>
      <c r="CW436" s="2">
        <v>0</v>
      </c>
      <c r="CX436" s="2">
        <v>0</v>
      </c>
      <c r="CY436" s="2">
        <v>0</v>
      </c>
      <c r="CZ436" s="2">
        <v>0</v>
      </c>
      <c r="DA436" s="2">
        <v>0</v>
      </c>
      <c r="DB436" s="2">
        <v>0</v>
      </c>
      <c r="DC436" s="2">
        <v>0</v>
      </c>
      <c r="DD436" s="2">
        <v>0</v>
      </c>
      <c r="DE436" s="2">
        <v>0</v>
      </c>
      <c r="DF436" s="2">
        <v>0</v>
      </c>
      <c r="DG436" s="2">
        <v>0</v>
      </c>
      <c r="DH436" s="2">
        <v>0</v>
      </c>
      <c r="DI436" s="2">
        <v>0</v>
      </c>
      <c r="DJ436" s="2">
        <v>0</v>
      </c>
      <c r="DK436" s="2">
        <v>0</v>
      </c>
      <c r="DL436" s="2">
        <v>0</v>
      </c>
      <c r="DM436" s="2">
        <v>0</v>
      </c>
      <c r="DN436" s="2">
        <v>0</v>
      </c>
      <c r="DO436" s="2">
        <v>0</v>
      </c>
      <c r="DP436" s="2">
        <v>0</v>
      </c>
      <c r="DQ436" s="2">
        <v>0</v>
      </c>
      <c r="DR436" s="2">
        <v>0</v>
      </c>
      <c r="DS436" s="2">
        <v>0</v>
      </c>
    </row>
    <row r="437" spans="1:123">
      <c r="A437" s="2" t="s">
        <v>17</v>
      </c>
      <c r="B437" s="2" t="s">
        <v>686</v>
      </c>
      <c r="C437" s="2">
        <v>3</v>
      </c>
      <c r="D437" s="2">
        <v>1</v>
      </c>
      <c r="E437" s="2">
        <v>0.05</v>
      </c>
      <c r="F437" s="2">
        <v>3</v>
      </c>
      <c r="G437" s="2" t="s">
        <v>25</v>
      </c>
      <c r="H437">
        <f>IF(AND(OR(لوحة_القيادة!$C$4="الكل", A437=لوحة_القيادة!$C$4), IF(لوحة_القيادة!$C$5="الكل", TRUE, INDEX($V437:$AG437, 1, VALUE(لوحة_القيادة!$C$5))&gt;0)), 1, 0)</f>
        <v>0</v>
      </c>
      <c r="I437">
        <f>IF(H437=1, SUM($H$2:H437), "")</f>
        <v>0</v>
      </c>
      <c r="J437" s="2">
        <v>0</v>
      </c>
      <c r="K437" s="2">
        <v>0</v>
      </c>
      <c r="L437" s="2">
        <v>3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1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1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1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0</v>
      </c>
      <c r="DB437" s="2">
        <v>0</v>
      </c>
      <c r="DC437" s="2">
        <v>0</v>
      </c>
      <c r="DD437" s="2">
        <v>0</v>
      </c>
      <c r="DE437" s="2">
        <v>0</v>
      </c>
      <c r="DF437" s="2">
        <v>0</v>
      </c>
      <c r="DG437" s="2">
        <v>0</v>
      </c>
      <c r="DH437" s="2">
        <v>0</v>
      </c>
      <c r="DI437" s="2">
        <v>0</v>
      </c>
      <c r="DJ437" s="2">
        <v>0</v>
      </c>
      <c r="DK437" s="2">
        <v>0</v>
      </c>
      <c r="DL437" s="2">
        <v>0</v>
      </c>
      <c r="DM437" s="2">
        <v>0</v>
      </c>
      <c r="DN437" s="2">
        <v>0</v>
      </c>
      <c r="DO437" s="2">
        <v>0</v>
      </c>
      <c r="DP437" s="2">
        <v>0</v>
      </c>
      <c r="DQ437" s="2">
        <v>0</v>
      </c>
      <c r="DR437" s="2">
        <v>0</v>
      </c>
      <c r="DS437" s="2">
        <v>0</v>
      </c>
    </row>
    <row r="438" spans="1:123">
      <c r="A438" s="2" t="s">
        <v>18</v>
      </c>
      <c r="B438" s="2" t="s">
        <v>687</v>
      </c>
      <c r="C438" s="2">
        <v>3</v>
      </c>
      <c r="D438" s="2">
        <v>1</v>
      </c>
      <c r="E438" s="2">
        <v>0.05</v>
      </c>
      <c r="F438" s="2">
        <v>3</v>
      </c>
      <c r="G438" s="2" t="s">
        <v>29</v>
      </c>
      <c r="H438">
        <f>IF(AND(OR(لوحة_القيادة!$C$4="الكل", A438=لوحة_القيادة!$C$4), IF(لوحة_القيادة!$C$5="الكل", TRUE, INDEX($V438:$AG438, 1, VALUE(لوحة_القيادة!$C$5))&gt;0)), 1, 0)</f>
        <v>0</v>
      </c>
      <c r="I438">
        <f>IF(H438=1, SUM($H$2:H438), "")</f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3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1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1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1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0</v>
      </c>
      <c r="CW438" s="2">
        <v>0</v>
      </c>
      <c r="CX438" s="2">
        <v>0</v>
      </c>
      <c r="CY438" s="2">
        <v>0</v>
      </c>
      <c r="CZ438" s="2">
        <v>0</v>
      </c>
      <c r="DA438" s="2">
        <v>0</v>
      </c>
      <c r="DB438" s="2">
        <v>0</v>
      </c>
      <c r="DC438" s="2">
        <v>0</v>
      </c>
      <c r="DD438" s="2">
        <v>0</v>
      </c>
      <c r="DE438" s="2">
        <v>0</v>
      </c>
      <c r="DF438" s="2">
        <v>0</v>
      </c>
      <c r="DG438" s="2">
        <v>0</v>
      </c>
      <c r="DH438" s="2">
        <v>0</v>
      </c>
      <c r="DI438" s="2">
        <v>0</v>
      </c>
      <c r="DJ438" s="2">
        <v>0</v>
      </c>
      <c r="DK438" s="2">
        <v>0</v>
      </c>
      <c r="DL438" s="2">
        <v>0</v>
      </c>
      <c r="DM438" s="2">
        <v>0</v>
      </c>
      <c r="DN438" s="2">
        <v>0</v>
      </c>
      <c r="DO438" s="2">
        <v>0</v>
      </c>
      <c r="DP438" s="2">
        <v>0</v>
      </c>
      <c r="DQ438" s="2">
        <v>0</v>
      </c>
      <c r="DR438" s="2">
        <v>0</v>
      </c>
      <c r="DS438" s="2">
        <v>0</v>
      </c>
    </row>
    <row r="439" spans="1:123">
      <c r="A439" s="2" t="s">
        <v>8</v>
      </c>
      <c r="B439" s="2" t="s">
        <v>688</v>
      </c>
      <c r="C439" s="2">
        <v>2</v>
      </c>
      <c r="D439" s="2">
        <v>1</v>
      </c>
      <c r="E439" s="2">
        <v>0.03</v>
      </c>
      <c r="F439" s="2">
        <v>2</v>
      </c>
      <c r="G439" s="2" t="s">
        <v>24</v>
      </c>
      <c r="H439">
        <f>IF(AND(OR(لوحة_القيادة!$C$4="الكل", A439=لوحة_القيادة!$C$4), IF(لوحة_القيادة!$C$5="الكل", TRUE, INDEX($V439:$AG439, 1, VALUE(لوحة_القيادة!$C$5))&gt;0)), 1, 0)</f>
        <v>0</v>
      </c>
      <c r="I439">
        <f>IF(H439=1, SUM($H$2:H439), "")</f>
        <v>0</v>
      </c>
      <c r="J439" s="2">
        <v>0</v>
      </c>
      <c r="K439" s="2">
        <v>2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1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1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0</v>
      </c>
      <c r="CW439" s="2">
        <v>0</v>
      </c>
      <c r="CX439" s="2">
        <v>0</v>
      </c>
      <c r="CY439" s="2">
        <v>0</v>
      </c>
      <c r="CZ439" s="2">
        <v>0</v>
      </c>
      <c r="DA439" s="2">
        <v>0</v>
      </c>
      <c r="DB439" s="2">
        <v>0</v>
      </c>
      <c r="DC439" s="2">
        <v>0</v>
      </c>
      <c r="DD439" s="2">
        <v>0</v>
      </c>
      <c r="DE439" s="2">
        <v>0</v>
      </c>
      <c r="DF439" s="2">
        <v>0</v>
      </c>
      <c r="DG439" s="2">
        <v>0</v>
      </c>
      <c r="DH439" s="2">
        <v>0</v>
      </c>
      <c r="DI439" s="2">
        <v>1</v>
      </c>
      <c r="DJ439" s="2">
        <v>0</v>
      </c>
      <c r="DK439" s="2">
        <v>0</v>
      </c>
      <c r="DL439" s="2">
        <v>0</v>
      </c>
      <c r="DM439" s="2">
        <v>0</v>
      </c>
      <c r="DN439" s="2">
        <v>0</v>
      </c>
      <c r="DO439" s="2">
        <v>0</v>
      </c>
      <c r="DP439" s="2">
        <v>0</v>
      </c>
      <c r="DQ439" s="2">
        <v>0</v>
      </c>
      <c r="DR439" s="2">
        <v>0</v>
      </c>
      <c r="DS439" s="2">
        <v>0</v>
      </c>
    </row>
    <row r="440" spans="1:123">
      <c r="A440" s="2" t="s">
        <v>10</v>
      </c>
      <c r="B440" s="2" t="s">
        <v>689</v>
      </c>
      <c r="C440" s="2">
        <v>2</v>
      </c>
      <c r="D440" s="2">
        <v>2</v>
      </c>
      <c r="E440" s="2">
        <v>0.03</v>
      </c>
      <c r="F440" s="2">
        <v>1</v>
      </c>
      <c r="G440" s="2" t="s">
        <v>376</v>
      </c>
      <c r="H440">
        <f>IF(AND(OR(لوحة_القيادة!$C$4="الكل", A440=لوحة_القيادة!$C$4), IF(لوحة_القيادة!$C$5="الكل", TRUE, INDEX($V440:$AG440, 1, VALUE(لوحة_القيادة!$C$5))&gt;0)), 1, 0)</f>
        <v>0</v>
      </c>
      <c r="I440">
        <f>IF(H440=1, SUM($H$2:H440), "")</f>
        <v>0</v>
      </c>
      <c r="J440" s="2">
        <v>0</v>
      </c>
      <c r="K440" s="2">
        <v>0</v>
      </c>
      <c r="L440" s="2">
        <v>0</v>
      </c>
      <c r="M440" s="2">
        <v>1</v>
      </c>
      <c r="N440" s="2">
        <v>1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1</v>
      </c>
      <c r="Z440" s="2">
        <v>1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1</v>
      </c>
      <c r="AJ440" s="2">
        <v>1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1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1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0</v>
      </c>
      <c r="CW440" s="2">
        <v>0</v>
      </c>
      <c r="CX440" s="2">
        <v>0</v>
      </c>
      <c r="CY440" s="2">
        <v>0</v>
      </c>
      <c r="CZ440" s="2">
        <v>0</v>
      </c>
      <c r="DA440" s="2">
        <v>0</v>
      </c>
      <c r="DB440" s="2">
        <v>0</v>
      </c>
      <c r="DC440" s="2">
        <v>0</v>
      </c>
      <c r="DD440" s="2">
        <v>0</v>
      </c>
      <c r="DE440" s="2">
        <v>0</v>
      </c>
      <c r="DF440" s="2">
        <v>0</v>
      </c>
      <c r="DG440" s="2">
        <v>0</v>
      </c>
      <c r="DH440" s="2">
        <v>0</v>
      </c>
      <c r="DI440" s="2">
        <v>0</v>
      </c>
      <c r="DJ440" s="2">
        <v>0</v>
      </c>
      <c r="DK440" s="2">
        <v>0</v>
      </c>
      <c r="DL440" s="2">
        <v>0</v>
      </c>
      <c r="DM440" s="2">
        <v>0</v>
      </c>
      <c r="DN440" s="2">
        <v>0</v>
      </c>
      <c r="DO440" s="2">
        <v>0</v>
      </c>
      <c r="DP440" s="2">
        <v>0</v>
      </c>
      <c r="DQ440" s="2">
        <v>0</v>
      </c>
      <c r="DR440" s="2">
        <v>0</v>
      </c>
      <c r="DS440" s="2">
        <v>0</v>
      </c>
    </row>
    <row r="441" spans="1:123">
      <c r="A441" s="2" t="s">
        <v>14</v>
      </c>
      <c r="B441" s="2" t="s">
        <v>690</v>
      </c>
      <c r="C441" s="2">
        <v>2</v>
      </c>
      <c r="D441" s="2">
        <v>2</v>
      </c>
      <c r="E441" s="2">
        <v>0.03</v>
      </c>
      <c r="F441" s="2">
        <v>1</v>
      </c>
      <c r="G441" s="2" t="s">
        <v>463</v>
      </c>
      <c r="H441">
        <f>IF(AND(OR(لوحة_القيادة!$C$4="الكل", A441=لوحة_القيادة!$C$4), IF(لوحة_القيادة!$C$5="الكل", TRUE, INDEX($V441:$AG441, 1, VALUE(لوحة_القيادة!$C$5))&gt;0)), 1, 0)</f>
        <v>0</v>
      </c>
      <c r="I441">
        <f>IF(H441=1, SUM($H$2:H441), "")</f>
        <v>0</v>
      </c>
      <c r="J441" s="2">
        <v>0</v>
      </c>
      <c r="K441" s="2">
        <v>0</v>
      </c>
      <c r="L441" s="2">
        <v>0</v>
      </c>
      <c r="M441" s="2">
        <v>1</v>
      </c>
      <c r="N441" s="2">
        <v>0</v>
      </c>
      <c r="O441" s="2">
        <v>1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1</v>
      </c>
      <c r="Z441" s="2">
        <v>0</v>
      </c>
      <c r="AA441" s="2">
        <v>1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1</v>
      </c>
      <c r="AK441" s="2">
        <v>0</v>
      </c>
      <c r="AL441" s="2">
        <v>0</v>
      </c>
      <c r="AM441" s="2">
        <v>1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1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0</v>
      </c>
      <c r="DB441" s="2">
        <v>0</v>
      </c>
      <c r="DC441" s="2">
        <v>0</v>
      </c>
      <c r="DD441" s="2">
        <v>0</v>
      </c>
      <c r="DE441" s="2">
        <v>0</v>
      </c>
      <c r="DF441" s="2">
        <v>0</v>
      </c>
      <c r="DG441" s="2">
        <v>0</v>
      </c>
      <c r="DH441" s="2">
        <v>0</v>
      </c>
      <c r="DI441" s="2">
        <v>0</v>
      </c>
      <c r="DJ441" s="2">
        <v>0</v>
      </c>
      <c r="DK441" s="2">
        <v>0</v>
      </c>
      <c r="DL441" s="2">
        <v>0</v>
      </c>
      <c r="DM441" s="2">
        <v>1</v>
      </c>
      <c r="DN441" s="2">
        <v>0</v>
      </c>
      <c r="DO441" s="2">
        <v>0</v>
      </c>
      <c r="DP441" s="2">
        <v>0</v>
      </c>
      <c r="DQ441" s="2">
        <v>0</v>
      </c>
      <c r="DR441" s="2">
        <v>0</v>
      </c>
      <c r="DS441" s="2">
        <v>0</v>
      </c>
    </row>
    <row r="442" spans="1:123">
      <c r="A442" s="2" t="s">
        <v>14</v>
      </c>
      <c r="B442" s="2" t="s">
        <v>691</v>
      </c>
      <c r="C442" s="2">
        <v>2</v>
      </c>
      <c r="D442" s="2">
        <v>1</v>
      </c>
      <c r="E442" s="2">
        <v>0.03</v>
      </c>
      <c r="F442" s="2">
        <v>2</v>
      </c>
      <c r="G442" s="2" t="s">
        <v>23</v>
      </c>
      <c r="H442">
        <f>IF(AND(OR(لوحة_القيادة!$C$4="الكل", A442=لوحة_القيادة!$C$4), IF(لوحة_القيادة!$C$5="الكل", TRUE, INDEX($V442:$AG442, 1, VALUE(لوحة_القيادة!$C$5))&gt;0)), 1, 0)</f>
        <v>0</v>
      </c>
      <c r="I442">
        <f>IF(H442=1, SUM($H$2:H442), "")</f>
        <v>0</v>
      </c>
      <c r="J442" s="2">
        <v>2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1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1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0</v>
      </c>
      <c r="CW442" s="2">
        <v>0</v>
      </c>
      <c r="CX442" s="2">
        <v>0</v>
      </c>
      <c r="CY442" s="2">
        <v>0</v>
      </c>
      <c r="CZ442" s="2">
        <v>0</v>
      </c>
      <c r="DA442" s="2">
        <v>0</v>
      </c>
      <c r="DB442" s="2">
        <v>0</v>
      </c>
      <c r="DC442" s="2">
        <v>0</v>
      </c>
      <c r="DD442" s="2">
        <v>0</v>
      </c>
      <c r="DE442" s="2">
        <v>0</v>
      </c>
      <c r="DF442" s="2">
        <v>0</v>
      </c>
      <c r="DG442" s="2">
        <v>0</v>
      </c>
      <c r="DH442" s="2">
        <v>1</v>
      </c>
      <c r="DI442" s="2">
        <v>0</v>
      </c>
      <c r="DJ442" s="2">
        <v>0</v>
      </c>
      <c r="DK442" s="2">
        <v>0</v>
      </c>
      <c r="DL442" s="2">
        <v>0</v>
      </c>
      <c r="DM442" s="2">
        <v>0</v>
      </c>
      <c r="DN442" s="2">
        <v>0</v>
      </c>
      <c r="DO442" s="2">
        <v>0</v>
      </c>
      <c r="DP442" s="2">
        <v>0</v>
      </c>
      <c r="DQ442" s="2">
        <v>0</v>
      </c>
      <c r="DR442" s="2">
        <v>0</v>
      </c>
      <c r="DS442" s="2">
        <v>0</v>
      </c>
    </row>
    <row r="443" spans="1:123">
      <c r="A443" s="2" t="s">
        <v>15</v>
      </c>
      <c r="B443" s="2" t="s">
        <v>692</v>
      </c>
      <c r="C443" s="2">
        <v>2</v>
      </c>
      <c r="D443" s="2">
        <v>1</v>
      </c>
      <c r="E443" s="2">
        <v>0.03</v>
      </c>
      <c r="F443" s="2">
        <v>2</v>
      </c>
      <c r="G443" s="2" t="s">
        <v>24</v>
      </c>
      <c r="H443">
        <f>IF(AND(OR(لوحة_القيادة!$C$4="الكل", A443=لوحة_القيادة!$C$4), IF(لوحة_القيادة!$C$5="الكل", TRUE, INDEX($V443:$AG443, 1, VALUE(لوحة_القيادة!$C$5))&gt;0)), 1, 0)</f>
        <v>0</v>
      </c>
      <c r="I443">
        <f>IF(H443=1, SUM($H$2:H443), "")</f>
        <v>0</v>
      </c>
      <c r="J443" s="2">
        <v>0</v>
      </c>
      <c r="K443" s="2">
        <v>2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1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1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1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>
        <v>0</v>
      </c>
      <c r="CN443" s="2">
        <v>0</v>
      </c>
      <c r="CO443" s="2">
        <v>0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0</v>
      </c>
      <c r="CW443" s="2">
        <v>0</v>
      </c>
      <c r="CX443" s="2">
        <v>0</v>
      </c>
      <c r="CY443" s="2">
        <v>0</v>
      </c>
      <c r="CZ443" s="2">
        <v>0</v>
      </c>
      <c r="DA443" s="2">
        <v>0</v>
      </c>
      <c r="DB443" s="2">
        <v>0</v>
      </c>
      <c r="DC443" s="2">
        <v>0</v>
      </c>
      <c r="DD443" s="2">
        <v>0</v>
      </c>
      <c r="DE443" s="2">
        <v>0</v>
      </c>
      <c r="DF443" s="2">
        <v>0</v>
      </c>
      <c r="DG443" s="2">
        <v>0</v>
      </c>
      <c r="DH443" s="2">
        <v>0</v>
      </c>
      <c r="DI443" s="2">
        <v>0</v>
      </c>
      <c r="DJ443" s="2">
        <v>0</v>
      </c>
      <c r="DK443" s="2">
        <v>0</v>
      </c>
      <c r="DL443" s="2">
        <v>0</v>
      </c>
      <c r="DM443" s="2">
        <v>0</v>
      </c>
      <c r="DN443" s="2">
        <v>0</v>
      </c>
      <c r="DO443" s="2">
        <v>0</v>
      </c>
      <c r="DP443" s="2">
        <v>0</v>
      </c>
      <c r="DQ443" s="2">
        <v>0</v>
      </c>
      <c r="DR443" s="2">
        <v>0</v>
      </c>
      <c r="DS443" s="2">
        <v>0</v>
      </c>
    </row>
    <row r="444" spans="1:123">
      <c r="A444" s="2" t="s">
        <v>15</v>
      </c>
      <c r="B444" s="2" t="s">
        <v>693</v>
      </c>
      <c r="C444" s="2">
        <v>2</v>
      </c>
      <c r="D444" s="2">
        <v>1</v>
      </c>
      <c r="E444" s="2">
        <v>0.03</v>
      </c>
      <c r="F444" s="2">
        <v>2</v>
      </c>
      <c r="G444" s="2" t="s">
        <v>26</v>
      </c>
      <c r="H444">
        <f>IF(AND(OR(لوحة_القيادة!$C$4="الكل", A444=لوحة_القيادة!$C$4), IF(لوحة_القيادة!$C$5="الكل", TRUE, INDEX($V444:$AG444, 1, VALUE(لوحة_القيادة!$C$5))&gt;0)), 1, 0)</f>
        <v>0</v>
      </c>
      <c r="I444">
        <f>IF(H444=1, SUM($H$2:H444), "")</f>
        <v>0</v>
      </c>
      <c r="J444" s="2">
        <v>0</v>
      </c>
      <c r="K444" s="2">
        <v>0</v>
      </c>
      <c r="L444" s="2">
        <v>0</v>
      </c>
      <c r="M444" s="2">
        <v>2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1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1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1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0</v>
      </c>
      <c r="CW444" s="2">
        <v>0</v>
      </c>
      <c r="CX444" s="2">
        <v>0</v>
      </c>
      <c r="CY444" s="2">
        <v>0</v>
      </c>
      <c r="CZ444" s="2">
        <v>0</v>
      </c>
      <c r="DA444" s="2">
        <v>0</v>
      </c>
      <c r="DB444" s="2">
        <v>0</v>
      </c>
      <c r="DC444" s="2">
        <v>0</v>
      </c>
      <c r="DD444" s="2">
        <v>0</v>
      </c>
      <c r="DE444" s="2">
        <v>0</v>
      </c>
      <c r="DF444" s="2">
        <v>0</v>
      </c>
      <c r="DG444" s="2">
        <v>0</v>
      </c>
      <c r="DH444" s="2">
        <v>0</v>
      </c>
      <c r="DI444" s="2">
        <v>0</v>
      </c>
      <c r="DJ444" s="2">
        <v>0</v>
      </c>
      <c r="DK444" s="2">
        <v>0</v>
      </c>
      <c r="DL444" s="2">
        <v>0</v>
      </c>
      <c r="DM444" s="2">
        <v>0</v>
      </c>
      <c r="DN444" s="2">
        <v>0</v>
      </c>
      <c r="DO444" s="2">
        <v>0</v>
      </c>
      <c r="DP444" s="2">
        <v>0</v>
      </c>
      <c r="DQ444" s="2">
        <v>0</v>
      </c>
      <c r="DR444" s="2">
        <v>0</v>
      </c>
      <c r="DS444" s="2">
        <v>0</v>
      </c>
    </row>
    <row r="445" spans="1:123">
      <c r="A445" s="2" t="s">
        <v>16</v>
      </c>
      <c r="B445" s="2" t="s">
        <v>694</v>
      </c>
      <c r="C445" s="2">
        <v>2</v>
      </c>
      <c r="D445" s="2">
        <v>1</v>
      </c>
      <c r="E445" s="2">
        <v>0.03</v>
      </c>
      <c r="F445" s="2">
        <v>2</v>
      </c>
      <c r="G445" s="2" t="s">
        <v>26</v>
      </c>
      <c r="H445">
        <f>IF(AND(OR(لوحة_القيادة!$C$4="الكل", A445=لوحة_القيادة!$C$4), IF(لوحة_القيادة!$C$5="الكل", TRUE, INDEX($V445:$AG445, 1, VALUE(لوحة_القيادة!$C$5))&gt;0)), 1, 0)</f>
        <v>0</v>
      </c>
      <c r="I445">
        <f>IF(H445=1, SUM($H$2:H445), "")</f>
        <v>0</v>
      </c>
      <c r="J445" s="2">
        <v>0</v>
      </c>
      <c r="K445" s="2">
        <v>0</v>
      </c>
      <c r="L445" s="2">
        <v>0</v>
      </c>
      <c r="M445" s="2">
        <v>2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1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1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2">
        <v>0</v>
      </c>
      <c r="CX445" s="2">
        <v>0</v>
      </c>
      <c r="CY445" s="2">
        <v>0</v>
      </c>
      <c r="CZ445" s="2">
        <v>0</v>
      </c>
      <c r="DA445" s="2">
        <v>0</v>
      </c>
      <c r="DB445" s="2">
        <v>0</v>
      </c>
      <c r="DC445" s="2">
        <v>0</v>
      </c>
      <c r="DD445" s="2">
        <v>0</v>
      </c>
      <c r="DE445" s="2">
        <v>0</v>
      </c>
      <c r="DF445" s="2">
        <v>0</v>
      </c>
      <c r="DG445" s="2">
        <v>0</v>
      </c>
      <c r="DH445" s="2">
        <v>0</v>
      </c>
      <c r="DI445" s="2">
        <v>0</v>
      </c>
      <c r="DJ445" s="2">
        <v>0</v>
      </c>
      <c r="DK445" s="2">
        <v>1</v>
      </c>
      <c r="DL445" s="2">
        <v>0</v>
      </c>
      <c r="DM445" s="2">
        <v>0</v>
      </c>
      <c r="DN445" s="2">
        <v>0</v>
      </c>
      <c r="DO445" s="2">
        <v>0</v>
      </c>
      <c r="DP445" s="2">
        <v>0</v>
      </c>
      <c r="DQ445" s="2">
        <v>0</v>
      </c>
      <c r="DR445" s="2">
        <v>0</v>
      </c>
      <c r="DS445" s="2">
        <v>0</v>
      </c>
    </row>
    <row r="446" spans="1:123">
      <c r="A446" s="2" t="s">
        <v>17</v>
      </c>
      <c r="B446" s="2" t="s">
        <v>695</v>
      </c>
      <c r="C446" s="2">
        <v>2</v>
      </c>
      <c r="D446" s="2">
        <v>1</v>
      </c>
      <c r="E446" s="2">
        <v>0.03</v>
      </c>
      <c r="F446" s="2">
        <v>2</v>
      </c>
      <c r="G446" s="2" t="s">
        <v>26</v>
      </c>
      <c r="H446">
        <f>IF(AND(OR(لوحة_القيادة!$C$4="الكل", A446=لوحة_القيادة!$C$4), IF(لوحة_القيادة!$C$5="الكل", TRUE, INDEX($V446:$AG446, 1, VALUE(لوحة_القيادة!$C$5))&gt;0)), 1, 0)</f>
        <v>0</v>
      </c>
      <c r="I446">
        <f>IF(H446=1, SUM($H$2:H446), "")</f>
        <v>0</v>
      </c>
      <c r="J446" s="2">
        <v>0</v>
      </c>
      <c r="K446" s="2">
        <v>0</v>
      </c>
      <c r="L446" s="2">
        <v>0</v>
      </c>
      <c r="M446" s="2">
        <v>2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1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1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1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0</v>
      </c>
      <c r="DB446" s="2">
        <v>0</v>
      </c>
      <c r="DC446" s="2">
        <v>0</v>
      </c>
      <c r="DD446" s="2">
        <v>0</v>
      </c>
      <c r="DE446" s="2">
        <v>0</v>
      </c>
      <c r="DF446" s="2">
        <v>0</v>
      </c>
      <c r="DG446" s="2">
        <v>0</v>
      </c>
      <c r="DH446" s="2">
        <v>0</v>
      </c>
      <c r="DI446" s="2">
        <v>0</v>
      </c>
      <c r="DJ446" s="2">
        <v>0</v>
      </c>
      <c r="DK446" s="2">
        <v>0</v>
      </c>
      <c r="DL446" s="2">
        <v>0</v>
      </c>
      <c r="DM446" s="2">
        <v>0</v>
      </c>
      <c r="DN446" s="2">
        <v>0</v>
      </c>
      <c r="DO446" s="2">
        <v>0</v>
      </c>
      <c r="DP446" s="2">
        <v>0</v>
      </c>
      <c r="DQ446" s="2">
        <v>0</v>
      </c>
      <c r="DR446" s="2">
        <v>0</v>
      </c>
      <c r="DS446" s="2">
        <v>0</v>
      </c>
    </row>
    <row r="447" spans="1:123">
      <c r="A447" s="2" t="s">
        <v>17</v>
      </c>
      <c r="B447" s="2" t="s">
        <v>696</v>
      </c>
      <c r="C447" s="2">
        <v>2</v>
      </c>
      <c r="D447" s="2">
        <v>1</v>
      </c>
      <c r="E447" s="2">
        <v>0.03</v>
      </c>
      <c r="F447" s="2">
        <v>2</v>
      </c>
      <c r="G447" s="2" t="s">
        <v>27</v>
      </c>
      <c r="H447">
        <f>IF(AND(OR(لوحة_القيادة!$C$4="الكل", A447=لوحة_القيادة!$C$4), IF(لوحة_القيادة!$C$5="الكل", TRUE, INDEX($V447:$AG447, 1, VALUE(لوحة_القيادة!$C$5))&gt;0)), 1, 0)</f>
        <v>0</v>
      </c>
      <c r="I447">
        <f>IF(H447=1, SUM($H$2:H447), "")</f>
        <v>0</v>
      </c>
      <c r="J447" s="2">
        <v>0</v>
      </c>
      <c r="K447" s="2">
        <v>0</v>
      </c>
      <c r="L447" s="2">
        <v>0</v>
      </c>
      <c r="M447" s="2">
        <v>0</v>
      </c>
      <c r="N447" s="2">
        <v>2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1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1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1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0</v>
      </c>
      <c r="DB447" s="2">
        <v>0</v>
      </c>
      <c r="DC447" s="2">
        <v>0</v>
      </c>
      <c r="DD447" s="2">
        <v>0</v>
      </c>
      <c r="DE447" s="2">
        <v>0</v>
      </c>
      <c r="DF447" s="2">
        <v>0</v>
      </c>
      <c r="DG447" s="2">
        <v>0</v>
      </c>
      <c r="DH447" s="2">
        <v>0</v>
      </c>
      <c r="DI447" s="2">
        <v>0</v>
      </c>
      <c r="DJ447" s="2">
        <v>0</v>
      </c>
      <c r="DK447" s="2">
        <v>0</v>
      </c>
      <c r="DL447" s="2">
        <v>0</v>
      </c>
      <c r="DM447" s="2">
        <v>0</v>
      </c>
      <c r="DN447" s="2">
        <v>0</v>
      </c>
      <c r="DO447" s="2">
        <v>0</v>
      </c>
      <c r="DP447" s="2">
        <v>0</v>
      </c>
      <c r="DQ447" s="2">
        <v>0</v>
      </c>
      <c r="DR447" s="2">
        <v>0</v>
      </c>
      <c r="DS447" s="2">
        <v>0</v>
      </c>
    </row>
    <row r="448" spans="1:123">
      <c r="A448" s="2" t="s">
        <v>18</v>
      </c>
      <c r="B448" s="2" t="s">
        <v>697</v>
      </c>
      <c r="C448" s="2">
        <v>2</v>
      </c>
      <c r="D448" s="2">
        <v>1</v>
      </c>
      <c r="E448" s="2">
        <v>0.03</v>
      </c>
      <c r="F448" s="2">
        <v>2</v>
      </c>
      <c r="G448" s="2" t="s">
        <v>26</v>
      </c>
      <c r="H448">
        <f>IF(AND(OR(لوحة_القيادة!$C$4="الكل", A448=لوحة_القيادة!$C$4), IF(لوحة_القيادة!$C$5="الكل", TRUE, INDEX($V448:$AG448, 1, VALUE(لوحة_القيادة!$C$5))&gt;0)), 1, 0)</f>
        <v>0</v>
      </c>
      <c r="I448">
        <f>IF(H448=1, SUM($H$2:H448), "")</f>
        <v>0</v>
      </c>
      <c r="J448" s="2">
        <v>0</v>
      </c>
      <c r="K448" s="2">
        <v>0</v>
      </c>
      <c r="L448" s="2">
        <v>0</v>
      </c>
      <c r="M448" s="2">
        <v>2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1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1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1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0</v>
      </c>
      <c r="CW448" s="2">
        <v>0</v>
      </c>
      <c r="CX448" s="2">
        <v>0</v>
      </c>
      <c r="CY448" s="2">
        <v>0</v>
      </c>
      <c r="CZ448" s="2">
        <v>0</v>
      </c>
      <c r="DA448" s="2">
        <v>0</v>
      </c>
      <c r="DB448" s="2">
        <v>0</v>
      </c>
      <c r="DC448" s="2">
        <v>0</v>
      </c>
      <c r="DD448" s="2">
        <v>0</v>
      </c>
      <c r="DE448" s="2">
        <v>0</v>
      </c>
      <c r="DF448" s="2">
        <v>0</v>
      </c>
      <c r="DG448" s="2">
        <v>0</v>
      </c>
      <c r="DH448" s="2">
        <v>0</v>
      </c>
      <c r="DI448" s="2">
        <v>0</v>
      </c>
      <c r="DJ448" s="2">
        <v>0</v>
      </c>
      <c r="DK448" s="2">
        <v>0</v>
      </c>
      <c r="DL448" s="2">
        <v>0</v>
      </c>
      <c r="DM448" s="2">
        <v>0</v>
      </c>
      <c r="DN448" s="2">
        <v>0</v>
      </c>
      <c r="DO448" s="2">
        <v>0</v>
      </c>
      <c r="DP448" s="2">
        <v>0</v>
      </c>
      <c r="DQ448" s="2">
        <v>0</v>
      </c>
      <c r="DR448" s="2">
        <v>0</v>
      </c>
      <c r="DS448" s="2">
        <v>0</v>
      </c>
    </row>
    <row r="449" spans="1:123">
      <c r="A449" s="2" t="s">
        <v>6</v>
      </c>
      <c r="B449" s="2" t="s">
        <v>698</v>
      </c>
      <c r="C449" s="2">
        <v>1</v>
      </c>
      <c r="D449" s="2">
        <v>1</v>
      </c>
      <c r="E449" s="2">
        <v>0.02</v>
      </c>
      <c r="F449" s="2">
        <v>1</v>
      </c>
      <c r="G449" s="2" t="s">
        <v>24</v>
      </c>
      <c r="H449">
        <f>IF(AND(OR(لوحة_القيادة!$C$4="الكل", A449=لوحة_القيادة!$C$4), IF(لوحة_القيادة!$C$5="الكل", TRUE, INDEX($V449:$AG449, 1, VALUE(لوحة_القيادة!$C$5))&gt;0)), 1, 0)</f>
        <v>0</v>
      </c>
      <c r="I449">
        <f>IF(H449=1, SUM($H$2:H449), "")</f>
        <v>0</v>
      </c>
      <c r="J449" s="2">
        <v>0</v>
      </c>
      <c r="K449" s="2">
        <v>1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1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1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1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0</v>
      </c>
      <c r="CW449" s="2">
        <v>0</v>
      </c>
      <c r="CX449" s="2">
        <v>0</v>
      </c>
      <c r="CY449" s="2">
        <v>0</v>
      </c>
      <c r="CZ449" s="2">
        <v>0</v>
      </c>
      <c r="DA449" s="2">
        <v>0</v>
      </c>
      <c r="DB449" s="2">
        <v>0</v>
      </c>
      <c r="DC449" s="2">
        <v>0</v>
      </c>
      <c r="DD449" s="2">
        <v>0</v>
      </c>
      <c r="DE449" s="2">
        <v>0</v>
      </c>
      <c r="DF449" s="2">
        <v>0</v>
      </c>
      <c r="DG449" s="2">
        <v>0</v>
      </c>
      <c r="DH449" s="2">
        <v>0</v>
      </c>
      <c r="DI449" s="2">
        <v>0</v>
      </c>
      <c r="DJ449" s="2">
        <v>0</v>
      </c>
      <c r="DK449" s="2">
        <v>0</v>
      </c>
      <c r="DL449" s="2">
        <v>0</v>
      </c>
      <c r="DM449" s="2">
        <v>0</v>
      </c>
      <c r="DN449" s="2">
        <v>0</v>
      </c>
      <c r="DO449" s="2">
        <v>0</v>
      </c>
      <c r="DP449" s="2">
        <v>0</v>
      </c>
      <c r="DQ449" s="2">
        <v>0</v>
      </c>
      <c r="DR449" s="2">
        <v>0</v>
      </c>
      <c r="DS449" s="2">
        <v>0</v>
      </c>
    </row>
    <row r="450" spans="1:123">
      <c r="A450" s="2" t="s">
        <v>11</v>
      </c>
      <c r="B450" s="2" t="s">
        <v>699</v>
      </c>
      <c r="C450" s="2">
        <v>1</v>
      </c>
      <c r="D450" s="2">
        <v>1</v>
      </c>
      <c r="E450" s="2">
        <v>0.02</v>
      </c>
      <c r="F450" s="2">
        <v>1</v>
      </c>
      <c r="G450" s="2" t="s">
        <v>24</v>
      </c>
      <c r="H450">
        <f>IF(AND(OR(لوحة_القيادة!$C$4="الكل", A450=لوحة_القيادة!$C$4), IF(لوحة_القيادة!$C$5="الكل", TRUE, INDEX($V450:$AG450, 1, VALUE(لوحة_القيادة!$C$5))&gt;0)), 1, 0)</f>
        <v>0</v>
      </c>
      <c r="I450">
        <f>IF(H450=1, SUM($H$2:H450), "")</f>
        <v>0</v>
      </c>
      <c r="J450" s="2">
        <v>0</v>
      </c>
      <c r="K450" s="2">
        <v>1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1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1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1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0</v>
      </c>
      <c r="DB450" s="2">
        <v>0</v>
      </c>
      <c r="DC450" s="2">
        <v>0</v>
      </c>
      <c r="DD450" s="2">
        <v>0</v>
      </c>
      <c r="DE450" s="2">
        <v>0</v>
      </c>
      <c r="DF450" s="2">
        <v>0</v>
      </c>
      <c r="DG450" s="2">
        <v>0</v>
      </c>
      <c r="DH450" s="2">
        <v>0</v>
      </c>
      <c r="DI450" s="2">
        <v>0</v>
      </c>
      <c r="DJ450" s="2">
        <v>0</v>
      </c>
      <c r="DK450" s="2">
        <v>0</v>
      </c>
      <c r="DL450" s="2">
        <v>0</v>
      </c>
      <c r="DM450" s="2">
        <v>0</v>
      </c>
      <c r="DN450" s="2">
        <v>0</v>
      </c>
      <c r="DO450" s="2">
        <v>0</v>
      </c>
      <c r="DP450" s="2">
        <v>0</v>
      </c>
      <c r="DQ450" s="2">
        <v>0</v>
      </c>
      <c r="DR450" s="2">
        <v>0</v>
      </c>
      <c r="DS450" s="2">
        <v>0</v>
      </c>
    </row>
    <row r="451" spans="1:123">
      <c r="A451" s="2" t="s">
        <v>11</v>
      </c>
      <c r="B451" s="2" t="s">
        <v>700</v>
      </c>
      <c r="C451" s="2">
        <v>1</v>
      </c>
      <c r="D451" s="2">
        <v>1</v>
      </c>
      <c r="E451" s="2">
        <v>0.02</v>
      </c>
      <c r="F451" s="2">
        <v>1</v>
      </c>
      <c r="G451" s="2" t="s">
        <v>23</v>
      </c>
      <c r="H451">
        <f>IF(AND(OR(لوحة_القيادة!$C$4="الكل", A451=لوحة_القيادة!$C$4), IF(لوحة_القيادة!$C$5="الكل", TRUE, INDEX($V451:$AG451, 1, VALUE(لوحة_القيادة!$C$5))&gt;0)), 1, 0)</f>
        <v>0</v>
      </c>
      <c r="I451">
        <f>IF(H451=1, SUM($H$2:H451), "")</f>
        <v>0</v>
      </c>
      <c r="J451" s="2">
        <v>1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1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1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1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0</v>
      </c>
      <c r="DB451" s="2">
        <v>0</v>
      </c>
      <c r="DC451" s="2">
        <v>0</v>
      </c>
      <c r="DD451" s="2">
        <v>0</v>
      </c>
      <c r="DE451" s="2">
        <v>0</v>
      </c>
      <c r="DF451" s="2">
        <v>0</v>
      </c>
      <c r="DG451" s="2">
        <v>0</v>
      </c>
      <c r="DH451" s="2">
        <v>0</v>
      </c>
      <c r="DI451" s="2">
        <v>0</v>
      </c>
      <c r="DJ451" s="2">
        <v>0</v>
      </c>
      <c r="DK451" s="2">
        <v>0</v>
      </c>
      <c r="DL451" s="2">
        <v>0</v>
      </c>
      <c r="DM451" s="2">
        <v>0</v>
      </c>
      <c r="DN451" s="2">
        <v>0</v>
      </c>
      <c r="DO451" s="2">
        <v>0</v>
      </c>
      <c r="DP451" s="2">
        <v>0</v>
      </c>
      <c r="DQ451" s="2">
        <v>0</v>
      </c>
      <c r="DR451" s="2">
        <v>0</v>
      </c>
      <c r="DS451" s="2">
        <v>0</v>
      </c>
    </row>
    <row r="452" spans="1:123">
      <c r="A452" s="2" t="s">
        <v>13</v>
      </c>
      <c r="B452" s="2" t="s">
        <v>701</v>
      </c>
      <c r="C452" s="2">
        <v>1</v>
      </c>
      <c r="D452" s="2">
        <v>1</v>
      </c>
      <c r="E452" s="2">
        <v>0.02</v>
      </c>
      <c r="F452" s="2">
        <v>1</v>
      </c>
      <c r="G452" s="2" t="s">
        <v>25</v>
      </c>
      <c r="H452">
        <f>IF(AND(OR(لوحة_القيادة!$C$4="الكل", A452=لوحة_القيادة!$C$4), IF(لوحة_القيادة!$C$5="الكل", TRUE, INDEX($V452:$AG452, 1, VALUE(لوحة_القيادة!$C$5))&gt;0)), 1, 0)</f>
        <v>0</v>
      </c>
      <c r="I452">
        <f>IF(H452=1, SUM($H$2:H452), "")</f>
        <v>0</v>
      </c>
      <c r="J452" s="2">
        <v>0</v>
      </c>
      <c r="K452" s="2">
        <v>0</v>
      </c>
      <c r="L452" s="2">
        <v>1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1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1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1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0</v>
      </c>
      <c r="DB452" s="2">
        <v>0</v>
      </c>
      <c r="DC452" s="2">
        <v>0</v>
      </c>
      <c r="DD452" s="2">
        <v>0</v>
      </c>
      <c r="DE452" s="2">
        <v>0</v>
      </c>
      <c r="DF452" s="2">
        <v>0</v>
      </c>
      <c r="DG452" s="2">
        <v>0</v>
      </c>
      <c r="DH452" s="2">
        <v>0</v>
      </c>
      <c r="DI452" s="2">
        <v>0</v>
      </c>
      <c r="DJ452" s="2">
        <v>0</v>
      </c>
      <c r="DK452" s="2">
        <v>0</v>
      </c>
      <c r="DL452" s="2">
        <v>0</v>
      </c>
      <c r="DM452" s="2">
        <v>0</v>
      </c>
      <c r="DN452" s="2">
        <v>0</v>
      </c>
      <c r="DO452" s="2">
        <v>0</v>
      </c>
      <c r="DP452" s="2">
        <v>0</v>
      </c>
      <c r="DQ452" s="2">
        <v>0</v>
      </c>
      <c r="DR452" s="2">
        <v>0</v>
      </c>
      <c r="DS452" s="2">
        <v>0</v>
      </c>
    </row>
    <row r="453" spans="1:123">
      <c r="A453" s="2" t="s">
        <v>14</v>
      </c>
      <c r="B453" s="2" t="s">
        <v>702</v>
      </c>
      <c r="C453" s="2">
        <v>1</v>
      </c>
      <c r="D453" s="2">
        <v>1</v>
      </c>
      <c r="E453" s="2">
        <v>0.02</v>
      </c>
      <c r="F453" s="2">
        <v>1</v>
      </c>
      <c r="G453" s="2" t="s">
        <v>27</v>
      </c>
      <c r="H453">
        <f>IF(AND(OR(لوحة_القيادة!$C$4="الكل", A453=لوحة_القيادة!$C$4), IF(لوحة_القيادة!$C$5="الكل", TRUE, INDEX($V453:$AG453, 1, VALUE(لوحة_القيادة!$C$5))&gt;0)), 1, 0)</f>
        <v>0</v>
      </c>
      <c r="I453">
        <f>IF(H453=1, SUM($H$2:H453), "")</f>
        <v>0</v>
      </c>
      <c r="J453" s="2">
        <v>0</v>
      </c>
      <c r="K453" s="2">
        <v>0</v>
      </c>
      <c r="L453" s="2">
        <v>0</v>
      </c>
      <c r="M453" s="2">
        <v>0</v>
      </c>
      <c r="N453" s="2">
        <v>1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1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1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1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0</v>
      </c>
      <c r="DB453" s="2">
        <v>0</v>
      </c>
      <c r="DC453" s="2">
        <v>0</v>
      </c>
      <c r="DD453" s="2">
        <v>0</v>
      </c>
      <c r="DE453" s="2">
        <v>0</v>
      </c>
      <c r="DF453" s="2">
        <v>0</v>
      </c>
      <c r="DG453" s="2">
        <v>0</v>
      </c>
      <c r="DH453" s="2">
        <v>0</v>
      </c>
      <c r="DI453" s="2">
        <v>0</v>
      </c>
      <c r="DJ453" s="2">
        <v>0</v>
      </c>
      <c r="DK453" s="2">
        <v>0</v>
      </c>
      <c r="DL453" s="2">
        <v>0</v>
      </c>
      <c r="DM453" s="2">
        <v>0</v>
      </c>
      <c r="DN453" s="2">
        <v>0</v>
      </c>
      <c r="DO453" s="2">
        <v>0</v>
      </c>
      <c r="DP453" s="2">
        <v>0</v>
      </c>
      <c r="DQ453" s="2">
        <v>0</v>
      </c>
      <c r="DR453" s="2">
        <v>0</v>
      </c>
      <c r="DS453" s="2">
        <v>0</v>
      </c>
    </row>
    <row r="454" spans="1:123">
      <c r="A454" s="2" t="s">
        <v>15</v>
      </c>
      <c r="B454" s="2" t="s">
        <v>703</v>
      </c>
      <c r="C454" s="2">
        <v>1</v>
      </c>
      <c r="D454" s="2">
        <v>1</v>
      </c>
      <c r="E454" s="2">
        <v>0.02</v>
      </c>
      <c r="F454" s="2">
        <v>1</v>
      </c>
      <c r="G454" s="2" t="s">
        <v>23</v>
      </c>
      <c r="H454">
        <f>IF(AND(OR(لوحة_القيادة!$C$4="الكل", A454=لوحة_القيادة!$C$4), IF(لوحة_القيادة!$C$5="الكل", TRUE, INDEX($V454:$AG454, 1, VALUE(لوحة_القيادة!$C$5))&gt;0)), 1, 0)</f>
        <v>0</v>
      </c>
      <c r="I454">
        <f>IF(H454=1, SUM($H$2:H454), "")</f>
        <v>0</v>
      </c>
      <c r="J454" s="2">
        <v>1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1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1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1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0</v>
      </c>
      <c r="DB454" s="2">
        <v>0</v>
      </c>
      <c r="DC454" s="2">
        <v>0</v>
      </c>
      <c r="DD454" s="2">
        <v>0</v>
      </c>
      <c r="DE454" s="2">
        <v>0</v>
      </c>
      <c r="DF454" s="2">
        <v>0</v>
      </c>
      <c r="DG454" s="2">
        <v>0</v>
      </c>
      <c r="DH454" s="2">
        <v>0</v>
      </c>
      <c r="DI454" s="2">
        <v>0</v>
      </c>
      <c r="DJ454" s="2">
        <v>0</v>
      </c>
      <c r="DK454" s="2">
        <v>0</v>
      </c>
      <c r="DL454" s="2">
        <v>0</v>
      </c>
      <c r="DM454" s="2">
        <v>0</v>
      </c>
      <c r="DN454" s="2">
        <v>0</v>
      </c>
      <c r="DO454" s="2">
        <v>0</v>
      </c>
      <c r="DP454" s="2">
        <v>0</v>
      </c>
      <c r="DQ454" s="2">
        <v>0</v>
      </c>
      <c r="DR454" s="2">
        <v>0</v>
      </c>
      <c r="DS454" s="2">
        <v>0</v>
      </c>
    </row>
    <row r="455" spans="1:123">
      <c r="A455" s="2" t="s">
        <v>16</v>
      </c>
      <c r="B455" s="2" t="s">
        <v>704</v>
      </c>
      <c r="C455" s="2">
        <v>1</v>
      </c>
      <c r="D455" s="2">
        <v>1</v>
      </c>
      <c r="E455" s="2">
        <v>0.02</v>
      </c>
      <c r="F455" s="2">
        <v>1</v>
      </c>
      <c r="G455" s="2" t="s">
        <v>23</v>
      </c>
      <c r="H455">
        <f>IF(AND(OR(لوحة_القيادة!$C$4="الكل", A455=لوحة_القيادة!$C$4), IF(لوحة_القيادة!$C$5="الكل", TRUE, INDEX($V455:$AG455, 1, VALUE(لوحة_القيادة!$C$5))&gt;0)), 1, 0)</f>
        <v>0</v>
      </c>
      <c r="I455">
        <f>IF(H455=1, SUM($H$2:H455), "")</f>
        <v>0</v>
      </c>
      <c r="J455" s="2">
        <v>1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1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1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1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0</v>
      </c>
      <c r="CW455" s="2">
        <v>0</v>
      </c>
      <c r="CX455" s="2">
        <v>0</v>
      </c>
      <c r="CY455" s="2">
        <v>0</v>
      </c>
      <c r="CZ455" s="2">
        <v>0</v>
      </c>
      <c r="DA455" s="2">
        <v>0</v>
      </c>
      <c r="DB455" s="2">
        <v>0</v>
      </c>
      <c r="DC455" s="2">
        <v>0</v>
      </c>
      <c r="DD455" s="2">
        <v>0</v>
      </c>
      <c r="DE455" s="2">
        <v>0</v>
      </c>
      <c r="DF455" s="2">
        <v>0</v>
      </c>
      <c r="DG455" s="2">
        <v>0</v>
      </c>
      <c r="DH455" s="2">
        <v>0</v>
      </c>
      <c r="DI455" s="2">
        <v>0</v>
      </c>
      <c r="DJ455" s="2">
        <v>0</v>
      </c>
      <c r="DK455" s="2">
        <v>0</v>
      </c>
      <c r="DL455" s="2">
        <v>0</v>
      </c>
      <c r="DM455" s="2">
        <v>0</v>
      </c>
      <c r="DN455" s="2">
        <v>0</v>
      </c>
      <c r="DO455" s="2">
        <v>0</v>
      </c>
      <c r="DP455" s="2">
        <v>0</v>
      </c>
      <c r="DQ455" s="2">
        <v>0</v>
      </c>
      <c r="DR455" s="2">
        <v>0</v>
      </c>
      <c r="DS455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0B981"/>
  </sheetPr>
  <dimension ref="A1:H26"/>
  <sheetViews>
    <sheetView rightToLeft="1" workbookViewId="0"/>
  </sheetViews>
  <sheetFormatPr defaultRowHeight="15"/>
  <cols>
    <col min="1" max="1" width="30.7109375" customWidth="1"/>
    <col min="2" max="5" width="25.7109375" customWidth="1"/>
    <col min="6" max="6" width="40.7109375" customWidth="1"/>
    <col min="7" max="8" width="25.7109375" customWidth="1"/>
  </cols>
  <sheetData>
    <row r="1" spans="1:8">
      <c r="A1" s="3" t="s">
        <v>705</v>
      </c>
      <c r="B1" s="3"/>
      <c r="C1" s="3"/>
      <c r="D1" s="3"/>
      <c r="E1" s="3"/>
      <c r="F1" s="3"/>
      <c r="G1" s="3"/>
      <c r="H1" s="3"/>
    </row>
    <row r="2" spans="1:8">
      <c r="A2" s="3"/>
      <c r="B2" s="3"/>
      <c r="C2" s="3"/>
      <c r="D2" s="3"/>
      <c r="E2" s="3"/>
      <c r="F2" s="3"/>
      <c r="G2" s="3"/>
      <c r="H2" s="3"/>
    </row>
    <row r="4" spans="1:8">
      <c r="A4" s="1" t="s">
        <v>35</v>
      </c>
      <c r="B4" s="1" t="s">
        <v>37</v>
      </c>
      <c r="C4" s="1" t="s">
        <v>39</v>
      </c>
      <c r="D4" s="1" t="s">
        <v>40</v>
      </c>
      <c r="E4" s="1" t="s">
        <v>706</v>
      </c>
      <c r="F4" s="1" t="s">
        <v>707</v>
      </c>
      <c r="G4" s="1" t="s">
        <v>38</v>
      </c>
      <c r="H4" s="1" t="s">
        <v>708</v>
      </c>
    </row>
    <row r="5" spans="1:8">
      <c r="A5" s="2" t="s">
        <v>13</v>
      </c>
      <c r="B5" s="2">
        <v>35997</v>
      </c>
      <c r="C5" s="2">
        <v>599.95</v>
      </c>
      <c r="D5" s="2">
        <v>25.92</v>
      </c>
      <c r="E5" s="2">
        <v>44</v>
      </c>
      <c r="F5" s="2" t="s">
        <v>709</v>
      </c>
      <c r="G5" s="2">
        <v>1389</v>
      </c>
      <c r="H5" s="2" t="s">
        <v>710</v>
      </c>
    </row>
    <row r="6" spans="1:8">
      <c r="A6" s="2" t="s">
        <v>11</v>
      </c>
      <c r="B6" s="2">
        <v>23001</v>
      </c>
      <c r="C6" s="2">
        <v>383.35</v>
      </c>
      <c r="D6" s="2">
        <v>33.87</v>
      </c>
      <c r="E6" s="2">
        <v>45</v>
      </c>
      <c r="F6" s="2" t="s">
        <v>711</v>
      </c>
      <c r="G6" s="2">
        <v>679</v>
      </c>
      <c r="H6" s="2" t="s">
        <v>710</v>
      </c>
    </row>
    <row r="7" spans="1:8">
      <c r="A7" s="2" t="s">
        <v>1</v>
      </c>
      <c r="B7" s="2">
        <v>18315</v>
      </c>
      <c r="C7" s="2">
        <v>305.25</v>
      </c>
      <c r="D7" s="2">
        <v>24.1</v>
      </c>
      <c r="E7" s="2">
        <v>20</v>
      </c>
      <c r="F7" s="2" t="s">
        <v>712</v>
      </c>
      <c r="G7" s="2">
        <v>760</v>
      </c>
      <c r="H7" s="2" t="s">
        <v>710</v>
      </c>
    </row>
    <row r="8" spans="1:8">
      <c r="A8" s="2" t="s">
        <v>7</v>
      </c>
      <c r="B8" s="2">
        <v>18213</v>
      </c>
      <c r="C8" s="2">
        <v>303.55</v>
      </c>
      <c r="D8" s="2">
        <v>23.56</v>
      </c>
      <c r="E8" s="2">
        <v>16</v>
      </c>
      <c r="F8" s="2" t="s">
        <v>713</v>
      </c>
      <c r="G8" s="2">
        <v>773</v>
      </c>
      <c r="H8" s="2" t="s">
        <v>710</v>
      </c>
    </row>
    <row r="9" spans="1:8">
      <c r="A9" s="2" t="s">
        <v>16</v>
      </c>
      <c r="B9" s="2">
        <v>16025</v>
      </c>
      <c r="C9" s="2">
        <v>267.08</v>
      </c>
      <c r="D9" s="2">
        <v>24.32</v>
      </c>
      <c r="E9" s="2">
        <v>44</v>
      </c>
      <c r="F9" s="2" t="s">
        <v>714</v>
      </c>
      <c r="G9" s="2">
        <v>659</v>
      </c>
      <c r="H9" s="2" t="s">
        <v>715</v>
      </c>
    </row>
    <row r="10" spans="1:8">
      <c r="A10" s="2" t="s">
        <v>20</v>
      </c>
      <c r="B10" s="2">
        <v>15562</v>
      </c>
      <c r="C10" s="2">
        <v>259.37</v>
      </c>
      <c r="D10" s="2">
        <v>28.35</v>
      </c>
      <c r="E10" s="2">
        <v>9</v>
      </c>
      <c r="F10" s="2" t="s">
        <v>716</v>
      </c>
      <c r="G10" s="2">
        <v>549</v>
      </c>
      <c r="H10" s="2" t="s">
        <v>710</v>
      </c>
    </row>
    <row r="11" spans="1:8">
      <c r="A11" s="2" t="s">
        <v>22</v>
      </c>
      <c r="B11" s="2">
        <v>14471</v>
      </c>
      <c r="C11" s="2">
        <v>241.18</v>
      </c>
      <c r="D11" s="2">
        <v>23.61</v>
      </c>
      <c r="E11" s="2">
        <v>19</v>
      </c>
      <c r="F11" s="2" t="s">
        <v>717</v>
      </c>
      <c r="G11" s="2">
        <v>613</v>
      </c>
      <c r="H11" s="2" t="s">
        <v>710</v>
      </c>
    </row>
    <row r="12" spans="1:8">
      <c r="A12" s="2" t="s">
        <v>6</v>
      </c>
      <c r="B12" s="2">
        <v>13549</v>
      </c>
      <c r="C12" s="2">
        <v>225.82</v>
      </c>
      <c r="D12" s="2">
        <v>18.82</v>
      </c>
      <c r="E12" s="2">
        <v>18</v>
      </c>
      <c r="F12" s="2" t="s">
        <v>718</v>
      </c>
      <c r="G12" s="2">
        <v>720</v>
      </c>
      <c r="H12" s="2" t="s">
        <v>710</v>
      </c>
    </row>
    <row r="13" spans="1:8">
      <c r="A13" s="2" t="s">
        <v>3</v>
      </c>
      <c r="B13" s="2">
        <v>12851</v>
      </c>
      <c r="C13" s="2">
        <v>214.18</v>
      </c>
      <c r="D13" s="2">
        <v>26.28</v>
      </c>
      <c r="E13" s="2">
        <v>8</v>
      </c>
      <c r="F13" s="2" t="s">
        <v>719</v>
      </c>
      <c r="G13" s="2">
        <v>489</v>
      </c>
      <c r="H13" s="2" t="s">
        <v>720</v>
      </c>
    </row>
    <row r="14" spans="1:8">
      <c r="A14" s="2" t="s">
        <v>18</v>
      </c>
      <c r="B14" s="2">
        <v>7731</v>
      </c>
      <c r="C14" s="2">
        <v>128.85</v>
      </c>
      <c r="D14" s="2">
        <v>19.62</v>
      </c>
      <c r="E14" s="2">
        <v>47</v>
      </c>
      <c r="F14" s="2" t="s">
        <v>721</v>
      </c>
      <c r="G14" s="2">
        <v>394</v>
      </c>
      <c r="H14" s="2" t="s">
        <v>722</v>
      </c>
    </row>
    <row r="15" spans="1:8">
      <c r="A15" s="2" t="s">
        <v>8</v>
      </c>
      <c r="B15" s="2">
        <v>5711</v>
      </c>
      <c r="C15" s="2">
        <v>95.18000000000001</v>
      </c>
      <c r="D15" s="2">
        <v>27.59</v>
      </c>
      <c r="E15" s="2">
        <v>26</v>
      </c>
      <c r="F15" s="2" t="s">
        <v>723</v>
      </c>
      <c r="G15" s="2">
        <v>207</v>
      </c>
      <c r="H15" s="2" t="s">
        <v>710</v>
      </c>
    </row>
    <row r="16" spans="1:8">
      <c r="A16" s="2" t="s">
        <v>10</v>
      </c>
      <c r="B16" s="2">
        <v>5057</v>
      </c>
      <c r="C16" s="2">
        <v>84.28</v>
      </c>
      <c r="D16" s="2">
        <v>13.7</v>
      </c>
      <c r="E16" s="2">
        <v>26</v>
      </c>
      <c r="F16" s="2" t="s">
        <v>724</v>
      </c>
      <c r="G16" s="2">
        <v>369</v>
      </c>
      <c r="H16" s="2" t="s">
        <v>720</v>
      </c>
    </row>
    <row r="17" spans="1:8">
      <c r="A17" s="2" t="s">
        <v>21</v>
      </c>
      <c r="B17" s="2">
        <v>5002</v>
      </c>
      <c r="C17" s="2">
        <v>83.37</v>
      </c>
      <c r="D17" s="2">
        <v>21.02</v>
      </c>
      <c r="E17" s="2">
        <v>5</v>
      </c>
      <c r="F17" s="2" t="s">
        <v>725</v>
      </c>
      <c r="G17" s="2">
        <v>238</v>
      </c>
      <c r="H17" s="2" t="s">
        <v>710</v>
      </c>
    </row>
    <row r="18" spans="1:8">
      <c r="A18" s="2" t="s">
        <v>9</v>
      </c>
      <c r="B18" s="2">
        <v>4395</v>
      </c>
      <c r="C18" s="2">
        <v>73.25</v>
      </c>
      <c r="D18" s="2">
        <v>14.04</v>
      </c>
      <c r="E18" s="2">
        <v>16</v>
      </c>
      <c r="F18" s="2" t="s">
        <v>726</v>
      </c>
      <c r="G18" s="2">
        <v>313</v>
      </c>
      <c r="H18" s="2" t="s">
        <v>710</v>
      </c>
    </row>
    <row r="19" spans="1:8">
      <c r="A19" s="2" t="s">
        <v>17</v>
      </c>
      <c r="B19" s="2">
        <v>3618</v>
      </c>
      <c r="C19" s="2">
        <v>60.3</v>
      </c>
      <c r="D19" s="2">
        <v>17.82</v>
      </c>
      <c r="E19" s="2">
        <v>31</v>
      </c>
      <c r="F19" s="2" t="s">
        <v>727</v>
      </c>
      <c r="G19" s="2">
        <v>203</v>
      </c>
      <c r="H19" s="2" t="s">
        <v>722</v>
      </c>
    </row>
    <row r="20" spans="1:8">
      <c r="A20" s="2" t="s">
        <v>15</v>
      </c>
      <c r="B20" s="2">
        <v>2413</v>
      </c>
      <c r="C20" s="2">
        <v>40.22</v>
      </c>
      <c r="D20" s="2">
        <v>20.11</v>
      </c>
      <c r="E20" s="2">
        <v>18</v>
      </c>
      <c r="F20" s="2" t="s">
        <v>728</v>
      </c>
      <c r="G20" s="2">
        <v>120</v>
      </c>
      <c r="H20" s="2" t="s">
        <v>710</v>
      </c>
    </row>
    <row r="21" spans="1:8">
      <c r="A21" s="2" t="s">
        <v>2</v>
      </c>
      <c r="B21" s="2">
        <v>2030</v>
      </c>
      <c r="C21" s="2">
        <v>33.83</v>
      </c>
      <c r="D21" s="2">
        <v>14.82</v>
      </c>
      <c r="E21" s="2">
        <v>4</v>
      </c>
      <c r="F21" s="2" t="s">
        <v>729</v>
      </c>
      <c r="G21" s="2">
        <v>137</v>
      </c>
      <c r="H21" s="2" t="s">
        <v>730</v>
      </c>
    </row>
    <row r="22" spans="1:8">
      <c r="A22" s="2" t="s">
        <v>14</v>
      </c>
      <c r="B22" s="2">
        <v>1530</v>
      </c>
      <c r="C22" s="2">
        <v>25.5</v>
      </c>
      <c r="D22" s="2">
        <v>9.109999999999999</v>
      </c>
      <c r="E22" s="2">
        <v>29</v>
      </c>
      <c r="F22" s="2" t="s">
        <v>731</v>
      </c>
      <c r="G22" s="2">
        <v>168</v>
      </c>
      <c r="H22" s="2" t="s">
        <v>730</v>
      </c>
    </row>
    <row r="23" spans="1:8">
      <c r="A23" s="2" t="s">
        <v>5</v>
      </c>
      <c r="B23" s="2">
        <v>891</v>
      </c>
      <c r="C23" s="2">
        <v>14.85</v>
      </c>
      <c r="D23" s="2">
        <v>11.57</v>
      </c>
      <c r="E23" s="2">
        <v>6</v>
      </c>
      <c r="F23" s="2" t="s">
        <v>732</v>
      </c>
      <c r="G23" s="2">
        <v>77</v>
      </c>
      <c r="H23" s="2" t="s">
        <v>715</v>
      </c>
    </row>
    <row r="24" spans="1:8">
      <c r="A24" s="2" t="s">
        <v>12</v>
      </c>
      <c r="B24" s="2">
        <v>803</v>
      </c>
      <c r="C24" s="2">
        <v>13.38</v>
      </c>
      <c r="D24" s="2">
        <v>11.64</v>
      </c>
      <c r="E24" s="2">
        <v>7</v>
      </c>
      <c r="F24" s="2" t="s">
        <v>733</v>
      </c>
      <c r="G24" s="2">
        <v>69</v>
      </c>
      <c r="H24" s="2" t="s">
        <v>710</v>
      </c>
    </row>
    <row r="25" spans="1:8">
      <c r="A25" s="2" t="s">
        <v>4</v>
      </c>
      <c r="B25" s="2">
        <v>800</v>
      </c>
      <c r="C25" s="2">
        <v>13.33</v>
      </c>
      <c r="D25" s="2">
        <v>5.67</v>
      </c>
      <c r="E25" s="2">
        <v>6</v>
      </c>
      <c r="F25" s="2" t="s">
        <v>734</v>
      </c>
      <c r="G25" s="2">
        <v>141</v>
      </c>
      <c r="H25" s="2" t="s">
        <v>722</v>
      </c>
    </row>
    <row r="26" spans="1:8">
      <c r="A26" s="2" t="s">
        <v>19</v>
      </c>
      <c r="B26" s="2">
        <v>443</v>
      </c>
      <c r="C26" s="2">
        <v>7.38</v>
      </c>
      <c r="D26" s="2">
        <v>7.26</v>
      </c>
      <c r="E26" s="2">
        <v>10</v>
      </c>
      <c r="F26" s="2" t="s">
        <v>735</v>
      </c>
      <c r="G26" s="2">
        <v>61</v>
      </c>
      <c r="H26" s="2" t="s">
        <v>722</v>
      </c>
    </row>
  </sheetData>
  <mergeCells count="1">
    <mergeCell ref="A1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563EB"/>
  </sheetPr>
  <dimension ref="A1:AA500"/>
  <sheetViews>
    <sheetView rightToLeft="1" workbookViewId="0"/>
  </sheetViews>
  <sheetFormatPr defaultRowHeight="15"/>
  <cols>
    <col min="1" max="1" width="5.7109375" customWidth="1"/>
    <col min="2" max="2" width="8.7109375" customWidth="1"/>
    <col min="3" max="3" width="25.7109375" customWidth="1"/>
    <col min="4" max="4" width="35.7109375" customWidth="1"/>
    <col min="5" max="8" width="18.7109375" customWidth="1"/>
    <col min="9" max="9" width="25.7109375" customWidth="1"/>
    <col min="10" max="10" width="20.7109375" customWidth="1"/>
  </cols>
  <sheetData>
    <row r="1" spans="2:10" s="4" customFormat="1" ht="20" customHeight="1"/>
    <row r="2" spans="2:10" s="4" customFormat="1" ht="20" customHeight="1">
      <c r="B2" s="3" t="s">
        <v>736</v>
      </c>
      <c r="C2" s="3"/>
      <c r="D2" s="3"/>
      <c r="E2" s="3"/>
      <c r="F2" s="3"/>
      <c r="G2" s="3"/>
      <c r="H2" s="3"/>
      <c r="I2" s="3"/>
      <c r="J2" s="3"/>
    </row>
    <row r="3" spans="2:10" s="4" customFormat="1" ht="20" customHeight="1">
      <c r="B3" s="3"/>
      <c r="C3" s="3"/>
      <c r="D3" s="3"/>
      <c r="E3" s="3"/>
      <c r="F3" s="3"/>
      <c r="G3" s="3"/>
      <c r="H3" s="3"/>
      <c r="I3" s="3"/>
      <c r="J3" s="3"/>
    </row>
    <row r="4" spans="2:10" s="4" customFormat="1" ht="20" customHeight="1">
      <c r="B4" s="5" t="s">
        <v>737</v>
      </c>
      <c r="C4" s="6" t="s">
        <v>0</v>
      </c>
    </row>
    <row r="5" spans="2:10" s="4" customFormat="1" ht="20" customHeight="1">
      <c r="B5" s="5" t="s">
        <v>738</v>
      </c>
      <c r="C5" s="6" t="s">
        <v>0</v>
      </c>
    </row>
    <row r="6" spans="2:10" s="4" customFormat="1" ht="20" customHeight="1"/>
    <row r="7" spans="2:10" s="4" customFormat="1" ht="20" customHeight="1">
      <c r="B7" s="7" t="s">
        <v>706</v>
      </c>
      <c r="D7" s="7" t="s">
        <v>38</v>
      </c>
      <c r="F7" s="7" t="s">
        <v>37</v>
      </c>
      <c r="H7" s="7" t="s">
        <v>39</v>
      </c>
      <c r="J7" s="7" t="s">
        <v>708</v>
      </c>
    </row>
    <row r="8" spans="2:10" s="4" customFormat="1" ht="20" customHeight="1">
      <c r="B8" s="8">
        <f>MAX(البيانات_الأساسية!I:I)</f>
        <v>0</v>
      </c>
      <c r="D8" s="8">
        <f>IF($C$5="الكل", SUMIFS(البيانات_الأساسية!D:D, البيانات_الأساسية!H:H, 1), SUMIFS(INDEX(البيانات_الأساسية!$V:$AG, 0, VALUE($C$5)), البيانات_الأساسية!H:H, 1))</f>
        <v>0</v>
      </c>
      <c r="F8" s="8">
        <f>IF($C$5="الكل", SUMIFS(البيانات_الأساسية!C:C, البيانات_الأساسية!H:H, 1), SUMIFS(INDEX(البيانات_الأساسية!$J:$U, 0, VALUE($C$5)), البيانات_الأساسية!H:H, 1))</f>
        <v>0</v>
      </c>
      <c r="H8" s="8">
        <f>ROUND(F8/60, 2)</f>
        <v>0</v>
      </c>
      <c r="J8" s="8">
        <f>IF(MAX(AA100:AA106)=0, "لا يوجد", INDEX(Z100:Z106, MATCH(MAX(AA100:AA106), AA100:AA106, 0)))</f>
        <v>0</v>
      </c>
    </row>
    <row r="9" spans="2:10" s="4" customFormat="1" ht="20" customHeight="1"/>
    <row r="10" spans="2:10" s="4" customFormat="1" ht="20" customHeight="1"/>
    <row r="11" spans="2:10" s="4" customFormat="1" ht="20" customHeight="1">
      <c r="B11" s="9" t="s">
        <v>741</v>
      </c>
      <c r="C11" s="9"/>
      <c r="D11" s="9"/>
      <c r="E11" s="9"/>
      <c r="F11" s="9"/>
      <c r="G11" s="9"/>
      <c r="H11" s="9"/>
      <c r="I11" s="9"/>
      <c r="J11" s="9"/>
    </row>
    <row r="12" spans="2:10" s="4" customFormat="1" ht="20" customHeight="1"/>
    <row r="13" spans="2:10" s="4" customFormat="1" ht="20" customHeight="1">
      <c r="B13" s="1" t="s">
        <v>742</v>
      </c>
      <c r="C13" s="1" t="s">
        <v>35</v>
      </c>
      <c r="D13" s="1" t="s">
        <v>36</v>
      </c>
      <c r="E13" s="1" t="s">
        <v>743</v>
      </c>
      <c r="F13" s="1" t="s">
        <v>37</v>
      </c>
      <c r="G13" s="1" t="s">
        <v>39</v>
      </c>
      <c r="H13" s="1" t="s">
        <v>744</v>
      </c>
      <c r="I13" s="1" t="s">
        <v>41</v>
      </c>
    </row>
    <row r="14" spans="2:10" s="4" customFormat="1" ht="20" customHeight="1">
      <c r="B14" s="2">
        <f>IF(C14="","", 1)</f>
        <v>0</v>
      </c>
      <c r="C14" s="2">
        <f>IFERROR(INDEX(البيانات_الأساسية!A:A, MATCH(1, البيانات_الأساسية!$I:$I, 0)), "")</f>
        <v>0</v>
      </c>
      <c r="D14" s="2">
        <f>IFERROR(INDEX(البيانات_الأساسية!B:B, MATCH(1, البيانات_الأساسية!$I:$I, 0)), "")</f>
        <v>0</v>
      </c>
      <c r="E14" s="2">
        <f>IFERROR(IF($C$5="الكل", INDEX(البيانات_الأساسية!D:D, MATCH(1, البيانات_الأساسية!$I:$I, 0)), INDEX(البيانات_الأساسية!$V:$AG, MATCH(1, البيانات_الأساسية!$I:$I, 0), VALUE($C$5))), "")</f>
        <v>0</v>
      </c>
      <c r="F14" s="2">
        <f>IFERROR(IF($C$5="الكل", INDEX(البيانات_الأساسية!C:C, MATCH(1, البيانات_الأساسية!$I:$I, 0)), INDEX(البيانات_الأساسية!$J:$U, MATCH(1, البيانات_الأساسية!$I:$I, 0), VALUE($C$5))), "")</f>
        <v>0</v>
      </c>
      <c r="G14" s="2">
        <f>IFERROR(ROUND(F14/60, 2), "")</f>
        <v>0</v>
      </c>
      <c r="H14" s="2">
        <f>IFERROR(ROUND(F14/E14, 2), "")</f>
        <v>0</v>
      </c>
      <c r="I14" s="2">
        <f>IFERROR(IF($C$5="الكل", INDEX(البيانات_الأساسية!G:G, MATCH(1, البيانات_الأساسية!$I:$I, 0)), $C$5), "")</f>
        <v>0</v>
      </c>
    </row>
    <row r="15" spans="2:10" s="4" customFormat="1" ht="20" customHeight="1">
      <c r="B15" s="2">
        <f>IF(C15="","", 2)</f>
        <v>0</v>
      </c>
      <c r="C15" s="2">
        <f>IFERROR(INDEX(البيانات_الأساسية!A:A, MATCH(2, البيانات_الأساسية!$I:$I, 0)), "")</f>
        <v>0</v>
      </c>
      <c r="D15" s="2">
        <f>IFERROR(INDEX(البيانات_الأساسية!B:B, MATCH(2, البيانات_الأساسية!$I:$I, 0)), "")</f>
        <v>0</v>
      </c>
      <c r="E15" s="2">
        <f>IFERROR(IF($C$5="الكل", INDEX(البيانات_الأساسية!D:D, MATCH(2, البيانات_الأساسية!$I:$I, 0)), INDEX(البيانات_الأساسية!$V:$AG, MATCH(2, البيانات_الأساسية!$I:$I, 0), VALUE($C$5))), "")</f>
        <v>0</v>
      </c>
      <c r="F15" s="2">
        <f>IFERROR(IF($C$5="الكل", INDEX(البيانات_الأساسية!C:C, MATCH(2, البيانات_الأساسية!$I:$I, 0)), INDEX(البيانات_الأساسية!$J:$U, MATCH(2, البيانات_الأساسية!$I:$I, 0), VALUE($C$5))), "")</f>
        <v>0</v>
      </c>
      <c r="G15" s="2">
        <f>IFERROR(ROUND(F15/60, 2), "")</f>
        <v>0</v>
      </c>
      <c r="H15" s="2">
        <f>IFERROR(ROUND(F15/E15, 2), "")</f>
        <v>0</v>
      </c>
      <c r="I15" s="2">
        <f>IFERROR(IF($C$5="الكل", INDEX(البيانات_الأساسية!G:G, MATCH(2, البيانات_الأساسية!$I:$I, 0)), $C$5), "")</f>
        <v>0</v>
      </c>
    </row>
    <row r="16" spans="2:10" s="4" customFormat="1" ht="20" customHeight="1">
      <c r="B16" s="2">
        <f>IF(C16="","", 3)</f>
        <v>0</v>
      </c>
      <c r="C16" s="2">
        <f>IFERROR(INDEX(البيانات_الأساسية!A:A, MATCH(3, البيانات_الأساسية!$I:$I, 0)), "")</f>
        <v>0</v>
      </c>
      <c r="D16" s="2">
        <f>IFERROR(INDEX(البيانات_الأساسية!B:B, MATCH(3, البيانات_الأساسية!$I:$I, 0)), "")</f>
        <v>0</v>
      </c>
      <c r="E16" s="2">
        <f>IFERROR(IF($C$5="الكل", INDEX(البيانات_الأساسية!D:D, MATCH(3, البيانات_الأساسية!$I:$I, 0)), INDEX(البيانات_الأساسية!$V:$AG, MATCH(3, البيانات_الأساسية!$I:$I, 0), VALUE($C$5))), "")</f>
        <v>0</v>
      </c>
      <c r="F16" s="2">
        <f>IFERROR(IF($C$5="الكل", INDEX(البيانات_الأساسية!C:C, MATCH(3, البيانات_الأساسية!$I:$I, 0)), INDEX(البيانات_الأساسية!$J:$U, MATCH(3, البيانات_الأساسية!$I:$I, 0), VALUE($C$5))), "")</f>
        <v>0</v>
      </c>
      <c r="G16" s="2">
        <f>IFERROR(ROUND(F16/60, 2), "")</f>
        <v>0</v>
      </c>
      <c r="H16" s="2">
        <f>IFERROR(ROUND(F16/E16, 2), "")</f>
        <v>0</v>
      </c>
      <c r="I16" s="2">
        <f>IFERROR(IF($C$5="الكل", INDEX(البيانات_الأساسية!G:G, MATCH(3, البيانات_الأساسية!$I:$I, 0)), $C$5), "")</f>
        <v>0</v>
      </c>
    </row>
    <row r="17" spans="2:9" s="4" customFormat="1" ht="20" customHeight="1">
      <c r="B17" s="2">
        <f>IF(C17="","", 4)</f>
        <v>0</v>
      </c>
      <c r="C17" s="2">
        <f>IFERROR(INDEX(البيانات_الأساسية!A:A, MATCH(4, البيانات_الأساسية!$I:$I, 0)), "")</f>
        <v>0</v>
      </c>
      <c r="D17" s="2">
        <f>IFERROR(INDEX(البيانات_الأساسية!B:B, MATCH(4, البيانات_الأساسية!$I:$I, 0)), "")</f>
        <v>0</v>
      </c>
      <c r="E17" s="2">
        <f>IFERROR(IF($C$5="الكل", INDEX(البيانات_الأساسية!D:D, MATCH(4, البيانات_الأساسية!$I:$I, 0)), INDEX(البيانات_الأساسية!$V:$AG, MATCH(4, البيانات_الأساسية!$I:$I, 0), VALUE($C$5))), "")</f>
        <v>0</v>
      </c>
      <c r="F17" s="2">
        <f>IFERROR(IF($C$5="الكل", INDEX(البيانات_الأساسية!C:C, MATCH(4, البيانات_الأساسية!$I:$I, 0)), INDEX(البيانات_الأساسية!$J:$U, MATCH(4, البيانات_الأساسية!$I:$I, 0), VALUE($C$5))), "")</f>
        <v>0</v>
      </c>
      <c r="G17" s="2">
        <f>IFERROR(ROUND(F17/60, 2), "")</f>
        <v>0</v>
      </c>
      <c r="H17" s="2">
        <f>IFERROR(ROUND(F17/E17, 2), "")</f>
        <v>0</v>
      </c>
      <c r="I17" s="2">
        <f>IFERROR(IF($C$5="الكل", INDEX(البيانات_الأساسية!G:G, MATCH(4, البيانات_الأساسية!$I:$I, 0)), $C$5), "")</f>
        <v>0</v>
      </c>
    </row>
    <row r="18" spans="2:9" s="4" customFormat="1" ht="20" customHeight="1">
      <c r="B18" s="2">
        <f>IF(C18="","", 5)</f>
        <v>0</v>
      </c>
      <c r="C18" s="2">
        <f>IFERROR(INDEX(البيانات_الأساسية!A:A, MATCH(5, البيانات_الأساسية!$I:$I, 0)), "")</f>
        <v>0</v>
      </c>
      <c r="D18" s="2">
        <f>IFERROR(INDEX(البيانات_الأساسية!B:B, MATCH(5, البيانات_الأساسية!$I:$I, 0)), "")</f>
        <v>0</v>
      </c>
      <c r="E18" s="2">
        <f>IFERROR(IF($C$5="الكل", INDEX(البيانات_الأساسية!D:D, MATCH(5, البيانات_الأساسية!$I:$I, 0)), INDEX(البيانات_الأساسية!$V:$AG, MATCH(5, البيانات_الأساسية!$I:$I, 0), VALUE($C$5))), "")</f>
        <v>0</v>
      </c>
      <c r="F18" s="2">
        <f>IFERROR(IF($C$5="الكل", INDEX(البيانات_الأساسية!C:C, MATCH(5, البيانات_الأساسية!$I:$I, 0)), INDEX(البيانات_الأساسية!$J:$U, MATCH(5, البيانات_الأساسية!$I:$I, 0), VALUE($C$5))), "")</f>
        <v>0</v>
      </c>
      <c r="G18" s="2">
        <f>IFERROR(ROUND(F18/60, 2), "")</f>
        <v>0</v>
      </c>
      <c r="H18" s="2">
        <f>IFERROR(ROUND(F18/E18, 2), "")</f>
        <v>0</v>
      </c>
      <c r="I18" s="2">
        <f>IFERROR(IF($C$5="الكل", INDEX(البيانات_الأساسية!G:G, MATCH(5, البيانات_الأساسية!$I:$I, 0)), $C$5), "")</f>
        <v>0</v>
      </c>
    </row>
    <row r="19" spans="2:9" s="4" customFormat="1" ht="20" customHeight="1">
      <c r="B19" s="2">
        <f>IF(C19="","", 6)</f>
        <v>0</v>
      </c>
      <c r="C19" s="2">
        <f>IFERROR(INDEX(البيانات_الأساسية!A:A, MATCH(6, البيانات_الأساسية!$I:$I, 0)), "")</f>
        <v>0</v>
      </c>
      <c r="D19" s="2">
        <f>IFERROR(INDEX(البيانات_الأساسية!B:B, MATCH(6, البيانات_الأساسية!$I:$I, 0)), "")</f>
        <v>0</v>
      </c>
      <c r="E19" s="2">
        <f>IFERROR(IF($C$5="الكل", INDEX(البيانات_الأساسية!D:D, MATCH(6, البيانات_الأساسية!$I:$I, 0)), INDEX(البيانات_الأساسية!$V:$AG, MATCH(6, البيانات_الأساسية!$I:$I, 0), VALUE($C$5))), "")</f>
        <v>0</v>
      </c>
      <c r="F19" s="2">
        <f>IFERROR(IF($C$5="الكل", INDEX(البيانات_الأساسية!C:C, MATCH(6, البيانات_الأساسية!$I:$I, 0)), INDEX(البيانات_الأساسية!$J:$U, MATCH(6, البيانات_الأساسية!$I:$I, 0), VALUE($C$5))), "")</f>
        <v>0</v>
      </c>
      <c r="G19" s="2">
        <f>IFERROR(ROUND(F19/60, 2), "")</f>
        <v>0</v>
      </c>
      <c r="H19" s="2">
        <f>IFERROR(ROUND(F19/E19, 2), "")</f>
        <v>0</v>
      </c>
      <c r="I19" s="2">
        <f>IFERROR(IF($C$5="الكل", INDEX(البيانات_الأساسية!G:G, MATCH(6, البيانات_الأساسية!$I:$I, 0)), $C$5), "")</f>
        <v>0</v>
      </c>
    </row>
    <row r="20" spans="2:9" s="4" customFormat="1" ht="20" customHeight="1">
      <c r="B20" s="2">
        <f>IF(C20="","", 7)</f>
        <v>0</v>
      </c>
      <c r="C20" s="2">
        <f>IFERROR(INDEX(البيانات_الأساسية!A:A, MATCH(7, البيانات_الأساسية!$I:$I, 0)), "")</f>
        <v>0</v>
      </c>
      <c r="D20" s="2">
        <f>IFERROR(INDEX(البيانات_الأساسية!B:B, MATCH(7, البيانات_الأساسية!$I:$I, 0)), "")</f>
        <v>0</v>
      </c>
      <c r="E20" s="2">
        <f>IFERROR(IF($C$5="الكل", INDEX(البيانات_الأساسية!D:D, MATCH(7, البيانات_الأساسية!$I:$I, 0)), INDEX(البيانات_الأساسية!$V:$AG, MATCH(7, البيانات_الأساسية!$I:$I, 0), VALUE($C$5))), "")</f>
        <v>0</v>
      </c>
      <c r="F20" s="2">
        <f>IFERROR(IF($C$5="الكل", INDEX(البيانات_الأساسية!C:C, MATCH(7, البيانات_الأساسية!$I:$I, 0)), INDEX(البيانات_الأساسية!$J:$U, MATCH(7, البيانات_الأساسية!$I:$I, 0), VALUE($C$5))), "")</f>
        <v>0</v>
      </c>
      <c r="G20" s="2">
        <f>IFERROR(ROUND(F20/60, 2), "")</f>
        <v>0</v>
      </c>
      <c r="H20" s="2">
        <f>IFERROR(ROUND(F20/E20, 2), "")</f>
        <v>0</v>
      </c>
      <c r="I20" s="2">
        <f>IFERROR(IF($C$5="الكل", INDEX(البيانات_الأساسية!G:G, MATCH(7, البيانات_الأساسية!$I:$I, 0)), $C$5), "")</f>
        <v>0</v>
      </c>
    </row>
    <row r="21" spans="2:9" s="4" customFormat="1" ht="20" customHeight="1">
      <c r="B21" s="2">
        <f>IF(C21="","", 8)</f>
        <v>0</v>
      </c>
      <c r="C21" s="2">
        <f>IFERROR(INDEX(البيانات_الأساسية!A:A, MATCH(8, البيانات_الأساسية!$I:$I, 0)), "")</f>
        <v>0</v>
      </c>
      <c r="D21" s="2">
        <f>IFERROR(INDEX(البيانات_الأساسية!B:B, MATCH(8, البيانات_الأساسية!$I:$I, 0)), "")</f>
        <v>0</v>
      </c>
      <c r="E21" s="2">
        <f>IFERROR(IF($C$5="الكل", INDEX(البيانات_الأساسية!D:D, MATCH(8, البيانات_الأساسية!$I:$I, 0)), INDEX(البيانات_الأساسية!$V:$AG, MATCH(8, البيانات_الأساسية!$I:$I, 0), VALUE($C$5))), "")</f>
        <v>0</v>
      </c>
      <c r="F21" s="2">
        <f>IFERROR(IF($C$5="الكل", INDEX(البيانات_الأساسية!C:C, MATCH(8, البيانات_الأساسية!$I:$I, 0)), INDEX(البيانات_الأساسية!$J:$U, MATCH(8, البيانات_الأساسية!$I:$I, 0), VALUE($C$5))), "")</f>
        <v>0</v>
      </c>
      <c r="G21" s="2">
        <f>IFERROR(ROUND(F21/60, 2), "")</f>
        <v>0</v>
      </c>
      <c r="H21" s="2">
        <f>IFERROR(ROUND(F21/E21, 2), "")</f>
        <v>0</v>
      </c>
      <c r="I21" s="2">
        <f>IFERROR(IF($C$5="الكل", INDEX(البيانات_الأساسية!G:G, MATCH(8, البيانات_الأساسية!$I:$I, 0)), $C$5), "")</f>
        <v>0</v>
      </c>
    </row>
    <row r="22" spans="2:9" s="4" customFormat="1" ht="20" customHeight="1">
      <c r="B22" s="2">
        <f>IF(C22="","", 9)</f>
        <v>0</v>
      </c>
      <c r="C22" s="2">
        <f>IFERROR(INDEX(البيانات_الأساسية!A:A, MATCH(9, البيانات_الأساسية!$I:$I, 0)), "")</f>
        <v>0</v>
      </c>
      <c r="D22" s="2">
        <f>IFERROR(INDEX(البيانات_الأساسية!B:B, MATCH(9, البيانات_الأساسية!$I:$I, 0)), "")</f>
        <v>0</v>
      </c>
      <c r="E22" s="2">
        <f>IFERROR(IF($C$5="الكل", INDEX(البيانات_الأساسية!D:D, MATCH(9, البيانات_الأساسية!$I:$I, 0)), INDEX(البيانات_الأساسية!$V:$AG, MATCH(9, البيانات_الأساسية!$I:$I, 0), VALUE($C$5))), "")</f>
        <v>0</v>
      </c>
      <c r="F22" s="2">
        <f>IFERROR(IF($C$5="الكل", INDEX(البيانات_الأساسية!C:C, MATCH(9, البيانات_الأساسية!$I:$I, 0)), INDEX(البيانات_الأساسية!$J:$U, MATCH(9, البيانات_الأساسية!$I:$I, 0), VALUE($C$5))), "")</f>
        <v>0</v>
      </c>
      <c r="G22" s="2">
        <f>IFERROR(ROUND(F22/60, 2), "")</f>
        <v>0</v>
      </c>
      <c r="H22" s="2">
        <f>IFERROR(ROUND(F22/E22, 2), "")</f>
        <v>0</v>
      </c>
      <c r="I22" s="2">
        <f>IFERROR(IF($C$5="الكل", INDEX(البيانات_الأساسية!G:G, MATCH(9, البيانات_الأساسية!$I:$I, 0)), $C$5), "")</f>
        <v>0</v>
      </c>
    </row>
    <row r="23" spans="2:9" s="4" customFormat="1" ht="20" customHeight="1">
      <c r="B23" s="2">
        <f>IF(C23="","", 10)</f>
        <v>0</v>
      </c>
      <c r="C23" s="2">
        <f>IFERROR(INDEX(البيانات_الأساسية!A:A, MATCH(10, البيانات_الأساسية!$I:$I, 0)), "")</f>
        <v>0</v>
      </c>
      <c r="D23" s="2">
        <f>IFERROR(INDEX(البيانات_الأساسية!B:B, MATCH(10, البيانات_الأساسية!$I:$I, 0)), "")</f>
        <v>0</v>
      </c>
      <c r="E23" s="2">
        <f>IFERROR(IF($C$5="الكل", INDEX(البيانات_الأساسية!D:D, MATCH(10, البيانات_الأساسية!$I:$I, 0)), INDEX(البيانات_الأساسية!$V:$AG, MATCH(10, البيانات_الأساسية!$I:$I, 0), VALUE($C$5))), "")</f>
        <v>0</v>
      </c>
      <c r="F23" s="2">
        <f>IFERROR(IF($C$5="الكل", INDEX(البيانات_الأساسية!C:C, MATCH(10, البيانات_الأساسية!$I:$I, 0)), INDEX(البيانات_الأساسية!$J:$U, MATCH(10, البيانات_الأساسية!$I:$I, 0), VALUE($C$5))), "")</f>
        <v>0</v>
      </c>
      <c r="G23" s="2">
        <f>IFERROR(ROUND(F23/60, 2), "")</f>
        <v>0</v>
      </c>
      <c r="H23" s="2">
        <f>IFERROR(ROUND(F23/E23, 2), "")</f>
        <v>0</v>
      </c>
      <c r="I23" s="2">
        <f>IFERROR(IF($C$5="الكل", INDEX(البيانات_الأساسية!G:G, MATCH(10, البيانات_الأساسية!$I:$I, 0)), $C$5), "")</f>
        <v>0</v>
      </c>
    </row>
    <row r="24" spans="2:9" s="4" customFormat="1" ht="20" customHeight="1">
      <c r="B24" s="2">
        <f>IF(C24="","", 11)</f>
        <v>0</v>
      </c>
      <c r="C24" s="2">
        <f>IFERROR(INDEX(البيانات_الأساسية!A:A, MATCH(11, البيانات_الأساسية!$I:$I, 0)), "")</f>
        <v>0</v>
      </c>
      <c r="D24" s="2">
        <f>IFERROR(INDEX(البيانات_الأساسية!B:B, MATCH(11, البيانات_الأساسية!$I:$I, 0)), "")</f>
        <v>0</v>
      </c>
      <c r="E24" s="2">
        <f>IFERROR(IF($C$5="الكل", INDEX(البيانات_الأساسية!D:D, MATCH(11, البيانات_الأساسية!$I:$I, 0)), INDEX(البيانات_الأساسية!$V:$AG, MATCH(11, البيانات_الأساسية!$I:$I, 0), VALUE($C$5))), "")</f>
        <v>0</v>
      </c>
      <c r="F24" s="2">
        <f>IFERROR(IF($C$5="الكل", INDEX(البيانات_الأساسية!C:C, MATCH(11, البيانات_الأساسية!$I:$I, 0)), INDEX(البيانات_الأساسية!$J:$U, MATCH(11, البيانات_الأساسية!$I:$I, 0), VALUE($C$5))), "")</f>
        <v>0</v>
      </c>
      <c r="G24" s="2">
        <f>IFERROR(ROUND(F24/60, 2), "")</f>
        <v>0</v>
      </c>
      <c r="H24" s="2">
        <f>IFERROR(ROUND(F24/E24, 2), "")</f>
        <v>0</v>
      </c>
      <c r="I24" s="2">
        <f>IFERROR(IF($C$5="الكل", INDEX(البيانات_الأساسية!G:G, MATCH(11, البيانات_الأساسية!$I:$I, 0)), $C$5), "")</f>
        <v>0</v>
      </c>
    </row>
    <row r="25" spans="2:9" s="4" customFormat="1" ht="20" customHeight="1">
      <c r="B25" s="2">
        <f>IF(C25="","", 12)</f>
        <v>0</v>
      </c>
      <c r="C25" s="2">
        <f>IFERROR(INDEX(البيانات_الأساسية!A:A, MATCH(12, البيانات_الأساسية!$I:$I, 0)), "")</f>
        <v>0</v>
      </c>
      <c r="D25" s="2">
        <f>IFERROR(INDEX(البيانات_الأساسية!B:B, MATCH(12, البيانات_الأساسية!$I:$I, 0)), "")</f>
        <v>0</v>
      </c>
      <c r="E25" s="2">
        <f>IFERROR(IF($C$5="الكل", INDEX(البيانات_الأساسية!D:D, MATCH(12, البيانات_الأساسية!$I:$I, 0)), INDEX(البيانات_الأساسية!$V:$AG, MATCH(12, البيانات_الأساسية!$I:$I, 0), VALUE($C$5))), "")</f>
        <v>0</v>
      </c>
      <c r="F25" s="2">
        <f>IFERROR(IF($C$5="الكل", INDEX(البيانات_الأساسية!C:C, MATCH(12, البيانات_الأساسية!$I:$I, 0)), INDEX(البيانات_الأساسية!$J:$U, MATCH(12, البيانات_الأساسية!$I:$I, 0), VALUE($C$5))), "")</f>
        <v>0</v>
      </c>
      <c r="G25" s="2">
        <f>IFERROR(ROUND(F25/60, 2), "")</f>
        <v>0</v>
      </c>
      <c r="H25" s="2">
        <f>IFERROR(ROUND(F25/E25, 2), "")</f>
        <v>0</v>
      </c>
      <c r="I25" s="2">
        <f>IFERROR(IF($C$5="الكل", INDEX(البيانات_الأساسية!G:G, MATCH(12, البيانات_الأساسية!$I:$I, 0)), $C$5), "")</f>
        <v>0</v>
      </c>
    </row>
    <row r="26" spans="2:9" s="4" customFormat="1" ht="20" customHeight="1">
      <c r="B26" s="2">
        <f>IF(C26="","", 13)</f>
        <v>0</v>
      </c>
      <c r="C26" s="2">
        <f>IFERROR(INDEX(البيانات_الأساسية!A:A, MATCH(13, البيانات_الأساسية!$I:$I, 0)), "")</f>
        <v>0</v>
      </c>
      <c r="D26" s="2">
        <f>IFERROR(INDEX(البيانات_الأساسية!B:B, MATCH(13, البيانات_الأساسية!$I:$I, 0)), "")</f>
        <v>0</v>
      </c>
      <c r="E26" s="2">
        <f>IFERROR(IF($C$5="الكل", INDEX(البيانات_الأساسية!D:D, MATCH(13, البيانات_الأساسية!$I:$I, 0)), INDEX(البيانات_الأساسية!$V:$AG, MATCH(13, البيانات_الأساسية!$I:$I, 0), VALUE($C$5))), "")</f>
        <v>0</v>
      </c>
      <c r="F26" s="2">
        <f>IFERROR(IF($C$5="الكل", INDEX(البيانات_الأساسية!C:C, MATCH(13, البيانات_الأساسية!$I:$I, 0)), INDEX(البيانات_الأساسية!$J:$U, MATCH(13, البيانات_الأساسية!$I:$I, 0), VALUE($C$5))), "")</f>
        <v>0</v>
      </c>
      <c r="G26" s="2">
        <f>IFERROR(ROUND(F26/60, 2), "")</f>
        <v>0</v>
      </c>
      <c r="H26" s="2">
        <f>IFERROR(ROUND(F26/E26, 2), "")</f>
        <v>0</v>
      </c>
      <c r="I26" s="2">
        <f>IFERROR(IF($C$5="الكل", INDEX(البيانات_الأساسية!G:G, MATCH(13, البيانات_الأساسية!$I:$I, 0)), $C$5), "")</f>
        <v>0</v>
      </c>
    </row>
    <row r="27" spans="2:9" s="4" customFormat="1" ht="20" customHeight="1">
      <c r="B27" s="2">
        <f>IF(C27="","", 14)</f>
        <v>0</v>
      </c>
      <c r="C27" s="2">
        <f>IFERROR(INDEX(البيانات_الأساسية!A:A, MATCH(14, البيانات_الأساسية!$I:$I, 0)), "")</f>
        <v>0</v>
      </c>
      <c r="D27" s="2">
        <f>IFERROR(INDEX(البيانات_الأساسية!B:B, MATCH(14, البيانات_الأساسية!$I:$I, 0)), "")</f>
        <v>0</v>
      </c>
      <c r="E27" s="2">
        <f>IFERROR(IF($C$5="الكل", INDEX(البيانات_الأساسية!D:D, MATCH(14, البيانات_الأساسية!$I:$I, 0)), INDEX(البيانات_الأساسية!$V:$AG, MATCH(14, البيانات_الأساسية!$I:$I, 0), VALUE($C$5))), "")</f>
        <v>0</v>
      </c>
      <c r="F27" s="2">
        <f>IFERROR(IF($C$5="الكل", INDEX(البيانات_الأساسية!C:C, MATCH(14, البيانات_الأساسية!$I:$I, 0)), INDEX(البيانات_الأساسية!$J:$U, MATCH(14, البيانات_الأساسية!$I:$I, 0), VALUE($C$5))), "")</f>
        <v>0</v>
      </c>
      <c r="G27" s="2">
        <f>IFERROR(ROUND(F27/60, 2), "")</f>
        <v>0</v>
      </c>
      <c r="H27" s="2">
        <f>IFERROR(ROUND(F27/E27, 2), "")</f>
        <v>0</v>
      </c>
      <c r="I27" s="2">
        <f>IFERROR(IF($C$5="الكل", INDEX(البيانات_الأساسية!G:G, MATCH(14, البيانات_الأساسية!$I:$I, 0)), $C$5), "")</f>
        <v>0</v>
      </c>
    </row>
    <row r="28" spans="2:9" s="4" customFormat="1" ht="20" customHeight="1">
      <c r="B28" s="2">
        <f>IF(C28="","", 15)</f>
        <v>0</v>
      </c>
      <c r="C28" s="2">
        <f>IFERROR(INDEX(البيانات_الأساسية!A:A, MATCH(15, البيانات_الأساسية!$I:$I, 0)), "")</f>
        <v>0</v>
      </c>
      <c r="D28" s="2">
        <f>IFERROR(INDEX(البيانات_الأساسية!B:B, MATCH(15, البيانات_الأساسية!$I:$I, 0)), "")</f>
        <v>0</v>
      </c>
      <c r="E28" s="2">
        <f>IFERROR(IF($C$5="الكل", INDEX(البيانات_الأساسية!D:D, MATCH(15, البيانات_الأساسية!$I:$I, 0)), INDEX(البيانات_الأساسية!$V:$AG, MATCH(15, البيانات_الأساسية!$I:$I, 0), VALUE($C$5))), "")</f>
        <v>0</v>
      </c>
      <c r="F28" s="2">
        <f>IFERROR(IF($C$5="الكل", INDEX(البيانات_الأساسية!C:C, MATCH(15, البيانات_الأساسية!$I:$I, 0)), INDEX(البيانات_الأساسية!$J:$U, MATCH(15, البيانات_الأساسية!$I:$I, 0), VALUE($C$5))), "")</f>
        <v>0</v>
      </c>
      <c r="G28" s="2">
        <f>IFERROR(ROUND(F28/60, 2), "")</f>
        <v>0</v>
      </c>
      <c r="H28" s="2">
        <f>IFERROR(ROUND(F28/E28, 2), "")</f>
        <v>0</v>
      </c>
      <c r="I28" s="2">
        <f>IFERROR(IF($C$5="الكل", INDEX(البيانات_الأساسية!G:G, MATCH(15, البيانات_الأساسية!$I:$I, 0)), $C$5), "")</f>
        <v>0</v>
      </c>
    </row>
    <row r="29" spans="2:9" s="4" customFormat="1" ht="20" customHeight="1">
      <c r="B29" s="2">
        <f>IF(C29="","", 16)</f>
        <v>0</v>
      </c>
      <c r="C29" s="2">
        <f>IFERROR(INDEX(البيانات_الأساسية!A:A, MATCH(16, البيانات_الأساسية!$I:$I, 0)), "")</f>
        <v>0</v>
      </c>
      <c r="D29" s="2">
        <f>IFERROR(INDEX(البيانات_الأساسية!B:B, MATCH(16, البيانات_الأساسية!$I:$I, 0)), "")</f>
        <v>0</v>
      </c>
      <c r="E29" s="2">
        <f>IFERROR(IF($C$5="الكل", INDEX(البيانات_الأساسية!D:D, MATCH(16, البيانات_الأساسية!$I:$I, 0)), INDEX(البيانات_الأساسية!$V:$AG, MATCH(16, البيانات_الأساسية!$I:$I, 0), VALUE($C$5))), "")</f>
        <v>0</v>
      </c>
      <c r="F29" s="2">
        <f>IFERROR(IF($C$5="الكل", INDEX(البيانات_الأساسية!C:C, MATCH(16, البيانات_الأساسية!$I:$I, 0)), INDEX(البيانات_الأساسية!$J:$U, MATCH(16, البيانات_الأساسية!$I:$I, 0), VALUE($C$5))), "")</f>
        <v>0</v>
      </c>
      <c r="G29" s="2">
        <f>IFERROR(ROUND(F29/60, 2), "")</f>
        <v>0</v>
      </c>
      <c r="H29" s="2">
        <f>IFERROR(ROUND(F29/E29, 2), "")</f>
        <v>0</v>
      </c>
      <c r="I29" s="2">
        <f>IFERROR(IF($C$5="الكل", INDEX(البيانات_الأساسية!G:G, MATCH(16, البيانات_الأساسية!$I:$I, 0)), $C$5), "")</f>
        <v>0</v>
      </c>
    </row>
    <row r="30" spans="2:9" s="4" customFormat="1" ht="20" customHeight="1">
      <c r="B30" s="2">
        <f>IF(C30="","", 17)</f>
        <v>0</v>
      </c>
      <c r="C30" s="2">
        <f>IFERROR(INDEX(البيانات_الأساسية!A:A, MATCH(17, البيانات_الأساسية!$I:$I, 0)), "")</f>
        <v>0</v>
      </c>
      <c r="D30" s="2">
        <f>IFERROR(INDEX(البيانات_الأساسية!B:B, MATCH(17, البيانات_الأساسية!$I:$I, 0)), "")</f>
        <v>0</v>
      </c>
      <c r="E30" s="2">
        <f>IFERROR(IF($C$5="الكل", INDEX(البيانات_الأساسية!D:D, MATCH(17, البيانات_الأساسية!$I:$I, 0)), INDEX(البيانات_الأساسية!$V:$AG, MATCH(17, البيانات_الأساسية!$I:$I, 0), VALUE($C$5))), "")</f>
        <v>0</v>
      </c>
      <c r="F30" s="2">
        <f>IFERROR(IF($C$5="الكل", INDEX(البيانات_الأساسية!C:C, MATCH(17, البيانات_الأساسية!$I:$I, 0)), INDEX(البيانات_الأساسية!$J:$U, MATCH(17, البيانات_الأساسية!$I:$I, 0), VALUE($C$5))), "")</f>
        <v>0</v>
      </c>
      <c r="G30" s="2">
        <f>IFERROR(ROUND(F30/60, 2), "")</f>
        <v>0</v>
      </c>
      <c r="H30" s="2">
        <f>IFERROR(ROUND(F30/E30, 2), "")</f>
        <v>0</v>
      </c>
      <c r="I30" s="2">
        <f>IFERROR(IF($C$5="الكل", INDEX(البيانات_الأساسية!G:G, MATCH(17, البيانات_الأساسية!$I:$I, 0)), $C$5), "")</f>
        <v>0</v>
      </c>
    </row>
    <row r="31" spans="2:9" s="4" customFormat="1" ht="20" customHeight="1">
      <c r="B31" s="2">
        <f>IF(C31="","", 18)</f>
        <v>0</v>
      </c>
      <c r="C31" s="2">
        <f>IFERROR(INDEX(البيانات_الأساسية!A:A, MATCH(18, البيانات_الأساسية!$I:$I, 0)), "")</f>
        <v>0</v>
      </c>
      <c r="D31" s="2">
        <f>IFERROR(INDEX(البيانات_الأساسية!B:B, MATCH(18, البيانات_الأساسية!$I:$I, 0)), "")</f>
        <v>0</v>
      </c>
      <c r="E31" s="2">
        <f>IFERROR(IF($C$5="الكل", INDEX(البيانات_الأساسية!D:D, MATCH(18, البيانات_الأساسية!$I:$I, 0)), INDEX(البيانات_الأساسية!$V:$AG, MATCH(18, البيانات_الأساسية!$I:$I, 0), VALUE($C$5))), "")</f>
        <v>0</v>
      </c>
      <c r="F31" s="2">
        <f>IFERROR(IF($C$5="الكل", INDEX(البيانات_الأساسية!C:C, MATCH(18, البيانات_الأساسية!$I:$I, 0)), INDEX(البيانات_الأساسية!$J:$U, MATCH(18, البيانات_الأساسية!$I:$I, 0), VALUE($C$5))), "")</f>
        <v>0</v>
      </c>
      <c r="G31" s="2">
        <f>IFERROR(ROUND(F31/60, 2), "")</f>
        <v>0</v>
      </c>
      <c r="H31" s="2">
        <f>IFERROR(ROUND(F31/E31, 2), "")</f>
        <v>0</v>
      </c>
      <c r="I31" s="2">
        <f>IFERROR(IF($C$5="الكل", INDEX(البيانات_الأساسية!G:G, MATCH(18, البيانات_الأساسية!$I:$I, 0)), $C$5), "")</f>
        <v>0</v>
      </c>
    </row>
    <row r="32" spans="2:9" s="4" customFormat="1" ht="20" customHeight="1">
      <c r="B32" s="2">
        <f>IF(C32="","", 19)</f>
        <v>0</v>
      </c>
      <c r="C32" s="2">
        <f>IFERROR(INDEX(البيانات_الأساسية!A:A, MATCH(19, البيانات_الأساسية!$I:$I, 0)), "")</f>
        <v>0</v>
      </c>
      <c r="D32" s="2">
        <f>IFERROR(INDEX(البيانات_الأساسية!B:B, MATCH(19, البيانات_الأساسية!$I:$I, 0)), "")</f>
        <v>0</v>
      </c>
      <c r="E32" s="2">
        <f>IFERROR(IF($C$5="الكل", INDEX(البيانات_الأساسية!D:D, MATCH(19, البيانات_الأساسية!$I:$I, 0)), INDEX(البيانات_الأساسية!$V:$AG, MATCH(19, البيانات_الأساسية!$I:$I, 0), VALUE($C$5))), "")</f>
        <v>0</v>
      </c>
      <c r="F32" s="2">
        <f>IFERROR(IF($C$5="الكل", INDEX(البيانات_الأساسية!C:C, MATCH(19, البيانات_الأساسية!$I:$I, 0)), INDEX(البيانات_الأساسية!$J:$U, MATCH(19, البيانات_الأساسية!$I:$I, 0), VALUE($C$5))), "")</f>
        <v>0</v>
      </c>
      <c r="G32" s="2">
        <f>IFERROR(ROUND(F32/60, 2), "")</f>
        <v>0</v>
      </c>
      <c r="H32" s="2">
        <f>IFERROR(ROUND(F32/E32, 2), "")</f>
        <v>0</v>
      </c>
      <c r="I32" s="2">
        <f>IFERROR(IF($C$5="الكل", INDEX(البيانات_الأساسية!G:G, MATCH(19, البيانات_الأساسية!$I:$I, 0)), $C$5), "")</f>
        <v>0</v>
      </c>
    </row>
    <row r="33" spans="2:9" s="4" customFormat="1" ht="20" customHeight="1">
      <c r="B33" s="2">
        <f>IF(C33="","", 20)</f>
        <v>0</v>
      </c>
      <c r="C33" s="2">
        <f>IFERROR(INDEX(البيانات_الأساسية!A:A, MATCH(20, البيانات_الأساسية!$I:$I, 0)), "")</f>
        <v>0</v>
      </c>
      <c r="D33" s="2">
        <f>IFERROR(INDEX(البيانات_الأساسية!B:B, MATCH(20, البيانات_الأساسية!$I:$I, 0)), "")</f>
        <v>0</v>
      </c>
      <c r="E33" s="2">
        <f>IFERROR(IF($C$5="الكل", INDEX(البيانات_الأساسية!D:D, MATCH(20, البيانات_الأساسية!$I:$I, 0)), INDEX(البيانات_الأساسية!$V:$AG, MATCH(20, البيانات_الأساسية!$I:$I, 0), VALUE($C$5))), "")</f>
        <v>0</v>
      </c>
      <c r="F33" s="2">
        <f>IFERROR(IF($C$5="الكل", INDEX(البيانات_الأساسية!C:C, MATCH(20, البيانات_الأساسية!$I:$I, 0)), INDEX(البيانات_الأساسية!$J:$U, MATCH(20, البيانات_الأساسية!$I:$I, 0), VALUE($C$5))), "")</f>
        <v>0</v>
      </c>
      <c r="G33" s="2">
        <f>IFERROR(ROUND(F33/60, 2), "")</f>
        <v>0</v>
      </c>
      <c r="H33" s="2">
        <f>IFERROR(ROUND(F33/E33, 2), "")</f>
        <v>0</v>
      </c>
      <c r="I33" s="2">
        <f>IFERROR(IF($C$5="الكل", INDEX(البيانات_الأساسية!G:G, MATCH(20, البيانات_الأساسية!$I:$I, 0)), $C$5), "")</f>
        <v>0</v>
      </c>
    </row>
    <row r="34" spans="2:9" s="4" customFormat="1" ht="20" customHeight="1">
      <c r="B34" s="2">
        <f>IF(C34="","", 21)</f>
        <v>0</v>
      </c>
      <c r="C34" s="2">
        <f>IFERROR(INDEX(البيانات_الأساسية!A:A, MATCH(21, البيانات_الأساسية!$I:$I, 0)), "")</f>
        <v>0</v>
      </c>
      <c r="D34" s="2">
        <f>IFERROR(INDEX(البيانات_الأساسية!B:B, MATCH(21, البيانات_الأساسية!$I:$I, 0)), "")</f>
        <v>0</v>
      </c>
      <c r="E34" s="2">
        <f>IFERROR(IF($C$5="الكل", INDEX(البيانات_الأساسية!D:D, MATCH(21, البيانات_الأساسية!$I:$I, 0)), INDEX(البيانات_الأساسية!$V:$AG, MATCH(21, البيانات_الأساسية!$I:$I, 0), VALUE($C$5))), "")</f>
        <v>0</v>
      </c>
      <c r="F34" s="2">
        <f>IFERROR(IF($C$5="الكل", INDEX(البيانات_الأساسية!C:C, MATCH(21, البيانات_الأساسية!$I:$I, 0)), INDEX(البيانات_الأساسية!$J:$U, MATCH(21, البيانات_الأساسية!$I:$I, 0), VALUE($C$5))), "")</f>
        <v>0</v>
      </c>
      <c r="G34" s="2">
        <f>IFERROR(ROUND(F34/60, 2), "")</f>
        <v>0</v>
      </c>
      <c r="H34" s="2">
        <f>IFERROR(ROUND(F34/E34, 2), "")</f>
        <v>0</v>
      </c>
      <c r="I34" s="2">
        <f>IFERROR(IF($C$5="الكل", INDEX(البيانات_الأساسية!G:G, MATCH(21, البيانات_الأساسية!$I:$I, 0)), $C$5), "")</f>
        <v>0</v>
      </c>
    </row>
    <row r="35" spans="2:9" s="4" customFormat="1" ht="20" customHeight="1">
      <c r="B35" s="2">
        <f>IF(C35="","", 22)</f>
        <v>0</v>
      </c>
      <c r="C35" s="2">
        <f>IFERROR(INDEX(البيانات_الأساسية!A:A, MATCH(22, البيانات_الأساسية!$I:$I, 0)), "")</f>
        <v>0</v>
      </c>
      <c r="D35" s="2">
        <f>IFERROR(INDEX(البيانات_الأساسية!B:B, MATCH(22, البيانات_الأساسية!$I:$I, 0)), "")</f>
        <v>0</v>
      </c>
      <c r="E35" s="2">
        <f>IFERROR(IF($C$5="الكل", INDEX(البيانات_الأساسية!D:D, MATCH(22, البيانات_الأساسية!$I:$I, 0)), INDEX(البيانات_الأساسية!$V:$AG, MATCH(22, البيانات_الأساسية!$I:$I, 0), VALUE($C$5))), "")</f>
        <v>0</v>
      </c>
      <c r="F35" s="2">
        <f>IFERROR(IF($C$5="الكل", INDEX(البيانات_الأساسية!C:C, MATCH(22, البيانات_الأساسية!$I:$I, 0)), INDEX(البيانات_الأساسية!$J:$U, MATCH(22, البيانات_الأساسية!$I:$I, 0), VALUE($C$5))), "")</f>
        <v>0</v>
      </c>
      <c r="G35" s="2">
        <f>IFERROR(ROUND(F35/60, 2), "")</f>
        <v>0</v>
      </c>
      <c r="H35" s="2">
        <f>IFERROR(ROUND(F35/E35, 2), "")</f>
        <v>0</v>
      </c>
      <c r="I35" s="2">
        <f>IFERROR(IF($C$5="الكل", INDEX(البيانات_الأساسية!G:G, MATCH(22, البيانات_الأساسية!$I:$I, 0)), $C$5), "")</f>
        <v>0</v>
      </c>
    </row>
    <row r="36" spans="2:9" s="4" customFormat="1" ht="20" customHeight="1">
      <c r="B36" s="2">
        <f>IF(C36="","", 23)</f>
        <v>0</v>
      </c>
      <c r="C36" s="2">
        <f>IFERROR(INDEX(البيانات_الأساسية!A:A, MATCH(23, البيانات_الأساسية!$I:$I, 0)), "")</f>
        <v>0</v>
      </c>
      <c r="D36" s="2">
        <f>IFERROR(INDEX(البيانات_الأساسية!B:B, MATCH(23, البيانات_الأساسية!$I:$I, 0)), "")</f>
        <v>0</v>
      </c>
      <c r="E36" s="2">
        <f>IFERROR(IF($C$5="الكل", INDEX(البيانات_الأساسية!D:D, MATCH(23, البيانات_الأساسية!$I:$I, 0)), INDEX(البيانات_الأساسية!$V:$AG, MATCH(23, البيانات_الأساسية!$I:$I, 0), VALUE($C$5))), "")</f>
        <v>0</v>
      </c>
      <c r="F36" s="2">
        <f>IFERROR(IF($C$5="الكل", INDEX(البيانات_الأساسية!C:C, MATCH(23, البيانات_الأساسية!$I:$I, 0)), INDEX(البيانات_الأساسية!$J:$U, MATCH(23, البيانات_الأساسية!$I:$I, 0), VALUE($C$5))), "")</f>
        <v>0</v>
      </c>
      <c r="G36" s="2">
        <f>IFERROR(ROUND(F36/60, 2), "")</f>
        <v>0</v>
      </c>
      <c r="H36" s="2">
        <f>IFERROR(ROUND(F36/E36, 2), "")</f>
        <v>0</v>
      </c>
      <c r="I36" s="2">
        <f>IFERROR(IF($C$5="الكل", INDEX(البيانات_الأساسية!G:G, MATCH(23, البيانات_الأساسية!$I:$I, 0)), $C$5), "")</f>
        <v>0</v>
      </c>
    </row>
    <row r="37" spans="2:9" s="4" customFormat="1" ht="20" customHeight="1">
      <c r="B37" s="2">
        <f>IF(C37="","", 24)</f>
        <v>0</v>
      </c>
      <c r="C37" s="2">
        <f>IFERROR(INDEX(البيانات_الأساسية!A:A, MATCH(24, البيانات_الأساسية!$I:$I, 0)), "")</f>
        <v>0</v>
      </c>
      <c r="D37" s="2">
        <f>IFERROR(INDEX(البيانات_الأساسية!B:B, MATCH(24, البيانات_الأساسية!$I:$I, 0)), "")</f>
        <v>0</v>
      </c>
      <c r="E37" s="2">
        <f>IFERROR(IF($C$5="الكل", INDEX(البيانات_الأساسية!D:D, MATCH(24, البيانات_الأساسية!$I:$I, 0)), INDEX(البيانات_الأساسية!$V:$AG, MATCH(24, البيانات_الأساسية!$I:$I, 0), VALUE($C$5))), "")</f>
        <v>0</v>
      </c>
      <c r="F37" s="2">
        <f>IFERROR(IF($C$5="الكل", INDEX(البيانات_الأساسية!C:C, MATCH(24, البيانات_الأساسية!$I:$I, 0)), INDEX(البيانات_الأساسية!$J:$U, MATCH(24, البيانات_الأساسية!$I:$I, 0), VALUE($C$5))), "")</f>
        <v>0</v>
      </c>
      <c r="G37" s="2">
        <f>IFERROR(ROUND(F37/60, 2), "")</f>
        <v>0</v>
      </c>
      <c r="H37" s="2">
        <f>IFERROR(ROUND(F37/E37, 2), "")</f>
        <v>0</v>
      </c>
      <c r="I37" s="2">
        <f>IFERROR(IF($C$5="الكل", INDEX(البيانات_الأساسية!G:G, MATCH(24, البيانات_الأساسية!$I:$I, 0)), $C$5), "")</f>
        <v>0</v>
      </c>
    </row>
    <row r="38" spans="2:9" s="4" customFormat="1" ht="20" customHeight="1">
      <c r="B38" s="2">
        <f>IF(C38="","", 25)</f>
        <v>0</v>
      </c>
      <c r="C38" s="2">
        <f>IFERROR(INDEX(البيانات_الأساسية!A:A, MATCH(25, البيانات_الأساسية!$I:$I, 0)), "")</f>
        <v>0</v>
      </c>
      <c r="D38" s="2">
        <f>IFERROR(INDEX(البيانات_الأساسية!B:B, MATCH(25, البيانات_الأساسية!$I:$I, 0)), "")</f>
        <v>0</v>
      </c>
      <c r="E38" s="2">
        <f>IFERROR(IF($C$5="الكل", INDEX(البيانات_الأساسية!D:D, MATCH(25, البيانات_الأساسية!$I:$I, 0)), INDEX(البيانات_الأساسية!$V:$AG, MATCH(25, البيانات_الأساسية!$I:$I, 0), VALUE($C$5))), "")</f>
        <v>0</v>
      </c>
      <c r="F38" s="2">
        <f>IFERROR(IF($C$5="الكل", INDEX(البيانات_الأساسية!C:C, MATCH(25, البيانات_الأساسية!$I:$I, 0)), INDEX(البيانات_الأساسية!$J:$U, MATCH(25, البيانات_الأساسية!$I:$I, 0), VALUE($C$5))), "")</f>
        <v>0</v>
      </c>
      <c r="G38" s="2">
        <f>IFERROR(ROUND(F38/60, 2), "")</f>
        <v>0</v>
      </c>
      <c r="H38" s="2">
        <f>IFERROR(ROUND(F38/E38, 2), "")</f>
        <v>0</v>
      </c>
      <c r="I38" s="2">
        <f>IFERROR(IF($C$5="الكل", INDEX(البيانات_الأساسية!G:G, MATCH(25, البيانات_الأساسية!$I:$I, 0)), $C$5), "")</f>
        <v>0</v>
      </c>
    </row>
    <row r="39" spans="2:9" s="4" customFormat="1" ht="20" customHeight="1">
      <c r="B39" s="2">
        <f>IF(C39="","", 26)</f>
        <v>0</v>
      </c>
      <c r="C39" s="2">
        <f>IFERROR(INDEX(البيانات_الأساسية!A:A, MATCH(26, البيانات_الأساسية!$I:$I, 0)), "")</f>
        <v>0</v>
      </c>
      <c r="D39" s="2">
        <f>IFERROR(INDEX(البيانات_الأساسية!B:B, MATCH(26, البيانات_الأساسية!$I:$I, 0)), "")</f>
        <v>0</v>
      </c>
      <c r="E39" s="2">
        <f>IFERROR(IF($C$5="الكل", INDEX(البيانات_الأساسية!D:D, MATCH(26, البيانات_الأساسية!$I:$I, 0)), INDEX(البيانات_الأساسية!$V:$AG, MATCH(26, البيانات_الأساسية!$I:$I, 0), VALUE($C$5))), "")</f>
        <v>0</v>
      </c>
      <c r="F39" s="2">
        <f>IFERROR(IF($C$5="الكل", INDEX(البيانات_الأساسية!C:C, MATCH(26, البيانات_الأساسية!$I:$I, 0)), INDEX(البيانات_الأساسية!$J:$U, MATCH(26, البيانات_الأساسية!$I:$I, 0), VALUE($C$5))), "")</f>
        <v>0</v>
      </c>
      <c r="G39" s="2">
        <f>IFERROR(ROUND(F39/60, 2), "")</f>
        <v>0</v>
      </c>
      <c r="H39" s="2">
        <f>IFERROR(ROUND(F39/E39, 2), "")</f>
        <v>0</v>
      </c>
      <c r="I39" s="2">
        <f>IFERROR(IF($C$5="الكل", INDEX(البيانات_الأساسية!G:G, MATCH(26, البيانات_الأساسية!$I:$I, 0)), $C$5), "")</f>
        <v>0</v>
      </c>
    </row>
    <row r="40" spans="2:9" s="4" customFormat="1" ht="20" customHeight="1">
      <c r="B40" s="2">
        <f>IF(C40="","", 27)</f>
        <v>0</v>
      </c>
      <c r="C40" s="2">
        <f>IFERROR(INDEX(البيانات_الأساسية!A:A, MATCH(27, البيانات_الأساسية!$I:$I, 0)), "")</f>
        <v>0</v>
      </c>
      <c r="D40" s="2">
        <f>IFERROR(INDEX(البيانات_الأساسية!B:B, MATCH(27, البيانات_الأساسية!$I:$I, 0)), "")</f>
        <v>0</v>
      </c>
      <c r="E40" s="2">
        <f>IFERROR(IF($C$5="الكل", INDEX(البيانات_الأساسية!D:D, MATCH(27, البيانات_الأساسية!$I:$I, 0)), INDEX(البيانات_الأساسية!$V:$AG, MATCH(27, البيانات_الأساسية!$I:$I, 0), VALUE($C$5))), "")</f>
        <v>0</v>
      </c>
      <c r="F40" s="2">
        <f>IFERROR(IF($C$5="الكل", INDEX(البيانات_الأساسية!C:C, MATCH(27, البيانات_الأساسية!$I:$I, 0)), INDEX(البيانات_الأساسية!$J:$U, MATCH(27, البيانات_الأساسية!$I:$I, 0), VALUE($C$5))), "")</f>
        <v>0</v>
      </c>
      <c r="G40" s="2">
        <f>IFERROR(ROUND(F40/60, 2), "")</f>
        <v>0</v>
      </c>
      <c r="H40" s="2">
        <f>IFERROR(ROUND(F40/E40, 2), "")</f>
        <v>0</v>
      </c>
      <c r="I40" s="2">
        <f>IFERROR(IF($C$5="الكل", INDEX(البيانات_الأساسية!G:G, MATCH(27, البيانات_الأساسية!$I:$I, 0)), $C$5), "")</f>
        <v>0</v>
      </c>
    </row>
    <row r="41" spans="2:9" s="4" customFormat="1" ht="20" customHeight="1">
      <c r="B41" s="2">
        <f>IF(C41="","", 28)</f>
        <v>0</v>
      </c>
      <c r="C41" s="2">
        <f>IFERROR(INDEX(البيانات_الأساسية!A:A, MATCH(28, البيانات_الأساسية!$I:$I, 0)), "")</f>
        <v>0</v>
      </c>
      <c r="D41" s="2">
        <f>IFERROR(INDEX(البيانات_الأساسية!B:B, MATCH(28, البيانات_الأساسية!$I:$I, 0)), "")</f>
        <v>0</v>
      </c>
      <c r="E41" s="2">
        <f>IFERROR(IF($C$5="الكل", INDEX(البيانات_الأساسية!D:D, MATCH(28, البيانات_الأساسية!$I:$I, 0)), INDEX(البيانات_الأساسية!$V:$AG, MATCH(28, البيانات_الأساسية!$I:$I, 0), VALUE($C$5))), "")</f>
        <v>0</v>
      </c>
      <c r="F41" s="2">
        <f>IFERROR(IF($C$5="الكل", INDEX(البيانات_الأساسية!C:C, MATCH(28, البيانات_الأساسية!$I:$I, 0)), INDEX(البيانات_الأساسية!$J:$U, MATCH(28, البيانات_الأساسية!$I:$I, 0), VALUE($C$5))), "")</f>
        <v>0</v>
      </c>
      <c r="G41" s="2">
        <f>IFERROR(ROUND(F41/60, 2), "")</f>
        <v>0</v>
      </c>
      <c r="H41" s="2">
        <f>IFERROR(ROUND(F41/E41, 2), "")</f>
        <v>0</v>
      </c>
      <c r="I41" s="2">
        <f>IFERROR(IF($C$5="الكل", INDEX(البيانات_الأساسية!G:G, MATCH(28, البيانات_الأساسية!$I:$I, 0)), $C$5), "")</f>
        <v>0</v>
      </c>
    </row>
    <row r="42" spans="2:9" s="4" customFormat="1" ht="20" customHeight="1">
      <c r="B42" s="2">
        <f>IF(C42="","", 29)</f>
        <v>0</v>
      </c>
      <c r="C42" s="2">
        <f>IFERROR(INDEX(البيانات_الأساسية!A:A, MATCH(29, البيانات_الأساسية!$I:$I, 0)), "")</f>
        <v>0</v>
      </c>
      <c r="D42" s="2">
        <f>IFERROR(INDEX(البيانات_الأساسية!B:B, MATCH(29, البيانات_الأساسية!$I:$I, 0)), "")</f>
        <v>0</v>
      </c>
      <c r="E42" s="2">
        <f>IFERROR(IF($C$5="الكل", INDEX(البيانات_الأساسية!D:D, MATCH(29, البيانات_الأساسية!$I:$I, 0)), INDEX(البيانات_الأساسية!$V:$AG, MATCH(29, البيانات_الأساسية!$I:$I, 0), VALUE($C$5))), "")</f>
        <v>0</v>
      </c>
      <c r="F42" s="2">
        <f>IFERROR(IF($C$5="الكل", INDEX(البيانات_الأساسية!C:C, MATCH(29, البيانات_الأساسية!$I:$I, 0)), INDEX(البيانات_الأساسية!$J:$U, MATCH(29, البيانات_الأساسية!$I:$I, 0), VALUE($C$5))), "")</f>
        <v>0</v>
      </c>
      <c r="G42" s="2">
        <f>IFERROR(ROUND(F42/60, 2), "")</f>
        <v>0</v>
      </c>
      <c r="H42" s="2">
        <f>IFERROR(ROUND(F42/E42, 2), "")</f>
        <v>0</v>
      </c>
      <c r="I42" s="2">
        <f>IFERROR(IF($C$5="الكل", INDEX(البيانات_الأساسية!G:G, MATCH(29, البيانات_الأساسية!$I:$I, 0)), $C$5), "")</f>
        <v>0</v>
      </c>
    </row>
    <row r="43" spans="2:9" s="4" customFormat="1" ht="20" customHeight="1">
      <c r="B43" s="2">
        <f>IF(C43="","", 30)</f>
        <v>0</v>
      </c>
      <c r="C43" s="2">
        <f>IFERROR(INDEX(البيانات_الأساسية!A:A, MATCH(30, البيانات_الأساسية!$I:$I, 0)), "")</f>
        <v>0</v>
      </c>
      <c r="D43" s="2">
        <f>IFERROR(INDEX(البيانات_الأساسية!B:B, MATCH(30, البيانات_الأساسية!$I:$I, 0)), "")</f>
        <v>0</v>
      </c>
      <c r="E43" s="2">
        <f>IFERROR(IF($C$5="الكل", INDEX(البيانات_الأساسية!D:D, MATCH(30, البيانات_الأساسية!$I:$I, 0)), INDEX(البيانات_الأساسية!$V:$AG, MATCH(30, البيانات_الأساسية!$I:$I, 0), VALUE($C$5))), "")</f>
        <v>0</v>
      </c>
      <c r="F43" s="2">
        <f>IFERROR(IF($C$5="الكل", INDEX(البيانات_الأساسية!C:C, MATCH(30, البيانات_الأساسية!$I:$I, 0)), INDEX(البيانات_الأساسية!$J:$U, MATCH(30, البيانات_الأساسية!$I:$I, 0), VALUE($C$5))), "")</f>
        <v>0</v>
      </c>
      <c r="G43" s="2">
        <f>IFERROR(ROUND(F43/60, 2), "")</f>
        <v>0</v>
      </c>
      <c r="H43" s="2">
        <f>IFERROR(ROUND(F43/E43, 2), "")</f>
        <v>0</v>
      </c>
      <c r="I43" s="2">
        <f>IFERROR(IF($C$5="الكل", INDEX(البيانات_الأساسية!G:G, MATCH(30, البيانات_الأساسية!$I:$I, 0)), $C$5), "")</f>
        <v>0</v>
      </c>
    </row>
    <row r="44" spans="2:9" s="4" customFormat="1" ht="20" customHeight="1">
      <c r="B44" s="2">
        <f>IF(C44="","", 31)</f>
        <v>0</v>
      </c>
      <c r="C44" s="2">
        <f>IFERROR(INDEX(البيانات_الأساسية!A:A, MATCH(31, البيانات_الأساسية!$I:$I, 0)), "")</f>
        <v>0</v>
      </c>
      <c r="D44" s="2">
        <f>IFERROR(INDEX(البيانات_الأساسية!B:B, MATCH(31, البيانات_الأساسية!$I:$I, 0)), "")</f>
        <v>0</v>
      </c>
      <c r="E44" s="2">
        <f>IFERROR(IF($C$5="الكل", INDEX(البيانات_الأساسية!D:D, MATCH(31, البيانات_الأساسية!$I:$I, 0)), INDEX(البيانات_الأساسية!$V:$AG, MATCH(31, البيانات_الأساسية!$I:$I, 0), VALUE($C$5))), "")</f>
        <v>0</v>
      </c>
      <c r="F44" s="2">
        <f>IFERROR(IF($C$5="الكل", INDEX(البيانات_الأساسية!C:C, MATCH(31, البيانات_الأساسية!$I:$I, 0)), INDEX(البيانات_الأساسية!$J:$U, MATCH(31, البيانات_الأساسية!$I:$I, 0), VALUE($C$5))), "")</f>
        <v>0</v>
      </c>
      <c r="G44" s="2">
        <f>IFERROR(ROUND(F44/60, 2), "")</f>
        <v>0</v>
      </c>
      <c r="H44" s="2">
        <f>IFERROR(ROUND(F44/E44, 2), "")</f>
        <v>0</v>
      </c>
      <c r="I44" s="2">
        <f>IFERROR(IF($C$5="الكل", INDEX(البيانات_الأساسية!G:G, MATCH(31, البيانات_الأساسية!$I:$I, 0)), $C$5), "")</f>
        <v>0</v>
      </c>
    </row>
    <row r="45" spans="2:9" s="4" customFormat="1" ht="20" customHeight="1">
      <c r="B45" s="2">
        <f>IF(C45="","", 32)</f>
        <v>0</v>
      </c>
      <c r="C45" s="2">
        <f>IFERROR(INDEX(البيانات_الأساسية!A:A, MATCH(32, البيانات_الأساسية!$I:$I, 0)), "")</f>
        <v>0</v>
      </c>
      <c r="D45" s="2">
        <f>IFERROR(INDEX(البيانات_الأساسية!B:B, MATCH(32, البيانات_الأساسية!$I:$I, 0)), "")</f>
        <v>0</v>
      </c>
      <c r="E45" s="2">
        <f>IFERROR(IF($C$5="الكل", INDEX(البيانات_الأساسية!D:D, MATCH(32, البيانات_الأساسية!$I:$I, 0)), INDEX(البيانات_الأساسية!$V:$AG, MATCH(32, البيانات_الأساسية!$I:$I, 0), VALUE($C$5))), "")</f>
        <v>0</v>
      </c>
      <c r="F45" s="2">
        <f>IFERROR(IF($C$5="الكل", INDEX(البيانات_الأساسية!C:C, MATCH(32, البيانات_الأساسية!$I:$I, 0)), INDEX(البيانات_الأساسية!$J:$U, MATCH(32, البيانات_الأساسية!$I:$I, 0), VALUE($C$5))), "")</f>
        <v>0</v>
      </c>
      <c r="G45" s="2">
        <f>IFERROR(ROUND(F45/60, 2), "")</f>
        <v>0</v>
      </c>
      <c r="H45" s="2">
        <f>IFERROR(ROUND(F45/E45, 2), "")</f>
        <v>0</v>
      </c>
      <c r="I45" s="2">
        <f>IFERROR(IF($C$5="الكل", INDEX(البيانات_الأساسية!G:G, MATCH(32, البيانات_الأساسية!$I:$I, 0)), $C$5), "")</f>
        <v>0</v>
      </c>
    </row>
    <row r="46" spans="2:9" s="4" customFormat="1" ht="20" customHeight="1">
      <c r="B46" s="2">
        <f>IF(C46="","", 33)</f>
        <v>0</v>
      </c>
      <c r="C46" s="2">
        <f>IFERROR(INDEX(البيانات_الأساسية!A:A, MATCH(33, البيانات_الأساسية!$I:$I, 0)), "")</f>
        <v>0</v>
      </c>
      <c r="D46" s="2">
        <f>IFERROR(INDEX(البيانات_الأساسية!B:B, MATCH(33, البيانات_الأساسية!$I:$I, 0)), "")</f>
        <v>0</v>
      </c>
      <c r="E46" s="2">
        <f>IFERROR(IF($C$5="الكل", INDEX(البيانات_الأساسية!D:D, MATCH(33, البيانات_الأساسية!$I:$I, 0)), INDEX(البيانات_الأساسية!$V:$AG, MATCH(33, البيانات_الأساسية!$I:$I, 0), VALUE($C$5))), "")</f>
        <v>0</v>
      </c>
      <c r="F46" s="2">
        <f>IFERROR(IF($C$5="الكل", INDEX(البيانات_الأساسية!C:C, MATCH(33, البيانات_الأساسية!$I:$I, 0)), INDEX(البيانات_الأساسية!$J:$U, MATCH(33, البيانات_الأساسية!$I:$I, 0), VALUE($C$5))), "")</f>
        <v>0</v>
      </c>
      <c r="G46" s="2">
        <f>IFERROR(ROUND(F46/60, 2), "")</f>
        <v>0</v>
      </c>
      <c r="H46" s="2">
        <f>IFERROR(ROUND(F46/E46, 2), "")</f>
        <v>0</v>
      </c>
      <c r="I46" s="2">
        <f>IFERROR(IF($C$5="الكل", INDEX(البيانات_الأساسية!G:G, MATCH(33, البيانات_الأساسية!$I:$I, 0)), $C$5), "")</f>
        <v>0</v>
      </c>
    </row>
    <row r="47" spans="2:9" s="4" customFormat="1" ht="20" customHeight="1">
      <c r="B47" s="2">
        <f>IF(C47="","", 34)</f>
        <v>0</v>
      </c>
      <c r="C47" s="2">
        <f>IFERROR(INDEX(البيانات_الأساسية!A:A, MATCH(34, البيانات_الأساسية!$I:$I, 0)), "")</f>
        <v>0</v>
      </c>
      <c r="D47" s="2">
        <f>IFERROR(INDEX(البيانات_الأساسية!B:B, MATCH(34, البيانات_الأساسية!$I:$I, 0)), "")</f>
        <v>0</v>
      </c>
      <c r="E47" s="2">
        <f>IFERROR(IF($C$5="الكل", INDEX(البيانات_الأساسية!D:D, MATCH(34, البيانات_الأساسية!$I:$I, 0)), INDEX(البيانات_الأساسية!$V:$AG, MATCH(34, البيانات_الأساسية!$I:$I, 0), VALUE($C$5))), "")</f>
        <v>0</v>
      </c>
      <c r="F47" s="2">
        <f>IFERROR(IF($C$5="الكل", INDEX(البيانات_الأساسية!C:C, MATCH(34, البيانات_الأساسية!$I:$I, 0)), INDEX(البيانات_الأساسية!$J:$U, MATCH(34, البيانات_الأساسية!$I:$I, 0), VALUE($C$5))), "")</f>
        <v>0</v>
      </c>
      <c r="G47" s="2">
        <f>IFERROR(ROUND(F47/60, 2), "")</f>
        <v>0</v>
      </c>
      <c r="H47" s="2">
        <f>IFERROR(ROUND(F47/E47, 2), "")</f>
        <v>0</v>
      </c>
      <c r="I47" s="2">
        <f>IFERROR(IF($C$5="الكل", INDEX(البيانات_الأساسية!G:G, MATCH(34, البيانات_الأساسية!$I:$I, 0)), $C$5), "")</f>
        <v>0</v>
      </c>
    </row>
    <row r="48" spans="2:9" s="4" customFormat="1" ht="20" customHeight="1">
      <c r="B48" s="2">
        <f>IF(C48="","", 35)</f>
        <v>0</v>
      </c>
      <c r="C48" s="2">
        <f>IFERROR(INDEX(البيانات_الأساسية!A:A, MATCH(35, البيانات_الأساسية!$I:$I, 0)), "")</f>
        <v>0</v>
      </c>
      <c r="D48" s="2">
        <f>IFERROR(INDEX(البيانات_الأساسية!B:B, MATCH(35, البيانات_الأساسية!$I:$I, 0)), "")</f>
        <v>0</v>
      </c>
      <c r="E48" s="2">
        <f>IFERROR(IF($C$5="الكل", INDEX(البيانات_الأساسية!D:D, MATCH(35, البيانات_الأساسية!$I:$I, 0)), INDEX(البيانات_الأساسية!$V:$AG, MATCH(35, البيانات_الأساسية!$I:$I, 0), VALUE($C$5))), "")</f>
        <v>0</v>
      </c>
      <c r="F48" s="2">
        <f>IFERROR(IF($C$5="الكل", INDEX(البيانات_الأساسية!C:C, MATCH(35, البيانات_الأساسية!$I:$I, 0)), INDEX(البيانات_الأساسية!$J:$U, MATCH(35, البيانات_الأساسية!$I:$I, 0), VALUE($C$5))), "")</f>
        <v>0</v>
      </c>
      <c r="G48" s="2">
        <f>IFERROR(ROUND(F48/60, 2), "")</f>
        <v>0</v>
      </c>
      <c r="H48" s="2">
        <f>IFERROR(ROUND(F48/E48, 2), "")</f>
        <v>0</v>
      </c>
      <c r="I48" s="2">
        <f>IFERROR(IF($C$5="الكل", INDEX(البيانات_الأساسية!G:G, MATCH(35, البيانات_الأساسية!$I:$I, 0)), $C$5), "")</f>
        <v>0</v>
      </c>
    </row>
    <row r="49" spans="2:9" s="4" customFormat="1" ht="20" customHeight="1">
      <c r="B49" s="2">
        <f>IF(C49="","", 36)</f>
        <v>0</v>
      </c>
      <c r="C49" s="2">
        <f>IFERROR(INDEX(البيانات_الأساسية!A:A, MATCH(36, البيانات_الأساسية!$I:$I, 0)), "")</f>
        <v>0</v>
      </c>
      <c r="D49" s="2">
        <f>IFERROR(INDEX(البيانات_الأساسية!B:B, MATCH(36, البيانات_الأساسية!$I:$I, 0)), "")</f>
        <v>0</v>
      </c>
      <c r="E49" s="2">
        <f>IFERROR(IF($C$5="الكل", INDEX(البيانات_الأساسية!D:D, MATCH(36, البيانات_الأساسية!$I:$I, 0)), INDEX(البيانات_الأساسية!$V:$AG, MATCH(36, البيانات_الأساسية!$I:$I, 0), VALUE($C$5))), "")</f>
        <v>0</v>
      </c>
      <c r="F49" s="2">
        <f>IFERROR(IF($C$5="الكل", INDEX(البيانات_الأساسية!C:C, MATCH(36, البيانات_الأساسية!$I:$I, 0)), INDEX(البيانات_الأساسية!$J:$U, MATCH(36, البيانات_الأساسية!$I:$I, 0), VALUE($C$5))), "")</f>
        <v>0</v>
      </c>
      <c r="G49" s="2">
        <f>IFERROR(ROUND(F49/60, 2), "")</f>
        <v>0</v>
      </c>
      <c r="H49" s="2">
        <f>IFERROR(ROUND(F49/E49, 2), "")</f>
        <v>0</v>
      </c>
      <c r="I49" s="2">
        <f>IFERROR(IF($C$5="الكل", INDEX(البيانات_الأساسية!G:G, MATCH(36, البيانات_الأساسية!$I:$I, 0)), $C$5), "")</f>
        <v>0</v>
      </c>
    </row>
    <row r="50" spans="2:9" s="4" customFormat="1" ht="20" customHeight="1">
      <c r="B50" s="2">
        <f>IF(C50="","", 37)</f>
        <v>0</v>
      </c>
      <c r="C50" s="2">
        <f>IFERROR(INDEX(البيانات_الأساسية!A:A, MATCH(37, البيانات_الأساسية!$I:$I, 0)), "")</f>
        <v>0</v>
      </c>
      <c r="D50" s="2">
        <f>IFERROR(INDEX(البيانات_الأساسية!B:B, MATCH(37, البيانات_الأساسية!$I:$I, 0)), "")</f>
        <v>0</v>
      </c>
      <c r="E50" s="2">
        <f>IFERROR(IF($C$5="الكل", INDEX(البيانات_الأساسية!D:D, MATCH(37, البيانات_الأساسية!$I:$I, 0)), INDEX(البيانات_الأساسية!$V:$AG, MATCH(37, البيانات_الأساسية!$I:$I, 0), VALUE($C$5))), "")</f>
        <v>0</v>
      </c>
      <c r="F50" s="2">
        <f>IFERROR(IF($C$5="الكل", INDEX(البيانات_الأساسية!C:C, MATCH(37, البيانات_الأساسية!$I:$I, 0)), INDEX(البيانات_الأساسية!$J:$U, MATCH(37, البيانات_الأساسية!$I:$I, 0), VALUE($C$5))), "")</f>
        <v>0</v>
      </c>
      <c r="G50" s="2">
        <f>IFERROR(ROUND(F50/60, 2), "")</f>
        <v>0</v>
      </c>
      <c r="H50" s="2">
        <f>IFERROR(ROUND(F50/E50, 2), "")</f>
        <v>0</v>
      </c>
      <c r="I50" s="2">
        <f>IFERROR(IF($C$5="الكل", INDEX(البيانات_الأساسية!G:G, MATCH(37, البيانات_الأساسية!$I:$I, 0)), $C$5), "")</f>
        <v>0</v>
      </c>
    </row>
    <row r="51" spans="2:9" s="4" customFormat="1" ht="20" customHeight="1">
      <c r="B51" s="2">
        <f>IF(C51="","", 38)</f>
        <v>0</v>
      </c>
      <c r="C51" s="2">
        <f>IFERROR(INDEX(البيانات_الأساسية!A:A, MATCH(38, البيانات_الأساسية!$I:$I, 0)), "")</f>
        <v>0</v>
      </c>
      <c r="D51" s="2">
        <f>IFERROR(INDEX(البيانات_الأساسية!B:B, MATCH(38, البيانات_الأساسية!$I:$I, 0)), "")</f>
        <v>0</v>
      </c>
      <c r="E51" s="2">
        <f>IFERROR(IF($C$5="الكل", INDEX(البيانات_الأساسية!D:D, MATCH(38, البيانات_الأساسية!$I:$I, 0)), INDEX(البيانات_الأساسية!$V:$AG, MATCH(38, البيانات_الأساسية!$I:$I, 0), VALUE($C$5))), "")</f>
        <v>0</v>
      </c>
      <c r="F51" s="2">
        <f>IFERROR(IF($C$5="الكل", INDEX(البيانات_الأساسية!C:C, MATCH(38, البيانات_الأساسية!$I:$I, 0)), INDEX(البيانات_الأساسية!$J:$U, MATCH(38, البيانات_الأساسية!$I:$I, 0), VALUE($C$5))), "")</f>
        <v>0</v>
      </c>
      <c r="G51" s="2">
        <f>IFERROR(ROUND(F51/60, 2), "")</f>
        <v>0</v>
      </c>
      <c r="H51" s="2">
        <f>IFERROR(ROUND(F51/E51, 2), "")</f>
        <v>0</v>
      </c>
      <c r="I51" s="2">
        <f>IFERROR(IF($C$5="الكل", INDEX(البيانات_الأساسية!G:G, MATCH(38, البيانات_الأساسية!$I:$I, 0)), $C$5), "")</f>
        <v>0</v>
      </c>
    </row>
    <row r="52" spans="2:9" s="4" customFormat="1" ht="20" customHeight="1">
      <c r="B52" s="2">
        <f>IF(C52="","", 39)</f>
        <v>0</v>
      </c>
      <c r="C52" s="2">
        <f>IFERROR(INDEX(البيانات_الأساسية!A:A, MATCH(39, البيانات_الأساسية!$I:$I, 0)), "")</f>
        <v>0</v>
      </c>
      <c r="D52" s="2">
        <f>IFERROR(INDEX(البيانات_الأساسية!B:B, MATCH(39, البيانات_الأساسية!$I:$I, 0)), "")</f>
        <v>0</v>
      </c>
      <c r="E52" s="2">
        <f>IFERROR(IF($C$5="الكل", INDEX(البيانات_الأساسية!D:D, MATCH(39, البيانات_الأساسية!$I:$I, 0)), INDEX(البيانات_الأساسية!$V:$AG, MATCH(39, البيانات_الأساسية!$I:$I, 0), VALUE($C$5))), "")</f>
        <v>0</v>
      </c>
      <c r="F52" s="2">
        <f>IFERROR(IF($C$5="الكل", INDEX(البيانات_الأساسية!C:C, MATCH(39, البيانات_الأساسية!$I:$I, 0)), INDEX(البيانات_الأساسية!$J:$U, MATCH(39, البيانات_الأساسية!$I:$I, 0), VALUE($C$5))), "")</f>
        <v>0</v>
      </c>
      <c r="G52" s="2">
        <f>IFERROR(ROUND(F52/60, 2), "")</f>
        <v>0</v>
      </c>
      <c r="H52" s="2">
        <f>IFERROR(ROUND(F52/E52, 2), "")</f>
        <v>0</v>
      </c>
      <c r="I52" s="2">
        <f>IFERROR(IF($C$5="الكل", INDEX(البيانات_الأساسية!G:G, MATCH(39, البيانات_الأساسية!$I:$I, 0)), $C$5), "")</f>
        <v>0</v>
      </c>
    </row>
    <row r="53" spans="2:9" s="4" customFormat="1" ht="20" customHeight="1">
      <c r="B53" s="2">
        <f>IF(C53="","", 40)</f>
        <v>0</v>
      </c>
      <c r="C53" s="2">
        <f>IFERROR(INDEX(البيانات_الأساسية!A:A, MATCH(40, البيانات_الأساسية!$I:$I, 0)), "")</f>
        <v>0</v>
      </c>
      <c r="D53" s="2">
        <f>IFERROR(INDEX(البيانات_الأساسية!B:B, MATCH(40, البيانات_الأساسية!$I:$I, 0)), "")</f>
        <v>0</v>
      </c>
      <c r="E53" s="2">
        <f>IFERROR(IF($C$5="الكل", INDEX(البيانات_الأساسية!D:D, MATCH(40, البيانات_الأساسية!$I:$I, 0)), INDEX(البيانات_الأساسية!$V:$AG, MATCH(40, البيانات_الأساسية!$I:$I, 0), VALUE($C$5))), "")</f>
        <v>0</v>
      </c>
      <c r="F53" s="2">
        <f>IFERROR(IF($C$5="الكل", INDEX(البيانات_الأساسية!C:C, MATCH(40, البيانات_الأساسية!$I:$I, 0)), INDEX(البيانات_الأساسية!$J:$U, MATCH(40, البيانات_الأساسية!$I:$I, 0), VALUE($C$5))), "")</f>
        <v>0</v>
      </c>
      <c r="G53" s="2">
        <f>IFERROR(ROUND(F53/60, 2), "")</f>
        <v>0</v>
      </c>
      <c r="H53" s="2">
        <f>IFERROR(ROUND(F53/E53, 2), "")</f>
        <v>0</v>
      </c>
      <c r="I53" s="2">
        <f>IFERROR(IF($C$5="الكل", INDEX(البيانات_الأساسية!G:G, MATCH(40, البيانات_الأساسية!$I:$I, 0)), $C$5), "")</f>
        <v>0</v>
      </c>
    </row>
    <row r="54" spans="2:9" s="4" customFormat="1" ht="20" customHeight="1">
      <c r="B54" s="2">
        <f>IF(C54="","", 41)</f>
        <v>0</v>
      </c>
      <c r="C54" s="2">
        <f>IFERROR(INDEX(البيانات_الأساسية!A:A, MATCH(41, البيانات_الأساسية!$I:$I, 0)), "")</f>
        <v>0</v>
      </c>
      <c r="D54" s="2">
        <f>IFERROR(INDEX(البيانات_الأساسية!B:B, MATCH(41, البيانات_الأساسية!$I:$I, 0)), "")</f>
        <v>0</v>
      </c>
      <c r="E54" s="2">
        <f>IFERROR(IF($C$5="الكل", INDEX(البيانات_الأساسية!D:D, MATCH(41, البيانات_الأساسية!$I:$I, 0)), INDEX(البيانات_الأساسية!$V:$AG, MATCH(41, البيانات_الأساسية!$I:$I, 0), VALUE($C$5))), "")</f>
        <v>0</v>
      </c>
      <c r="F54" s="2">
        <f>IFERROR(IF($C$5="الكل", INDEX(البيانات_الأساسية!C:C, MATCH(41, البيانات_الأساسية!$I:$I, 0)), INDEX(البيانات_الأساسية!$J:$U, MATCH(41, البيانات_الأساسية!$I:$I, 0), VALUE($C$5))), "")</f>
        <v>0</v>
      </c>
      <c r="G54" s="2">
        <f>IFERROR(ROUND(F54/60, 2), "")</f>
        <v>0</v>
      </c>
      <c r="H54" s="2">
        <f>IFERROR(ROUND(F54/E54, 2), "")</f>
        <v>0</v>
      </c>
      <c r="I54" s="2">
        <f>IFERROR(IF($C$5="الكل", INDEX(البيانات_الأساسية!G:G, MATCH(41, البيانات_الأساسية!$I:$I, 0)), $C$5), "")</f>
        <v>0</v>
      </c>
    </row>
    <row r="55" spans="2:9" s="4" customFormat="1" ht="20" customHeight="1">
      <c r="B55" s="2">
        <f>IF(C55="","", 42)</f>
        <v>0</v>
      </c>
      <c r="C55" s="2">
        <f>IFERROR(INDEX(البيانات_الأساسية!A:A, MATCH(42, البيانات_الأساسية!$I:$I, 0)), "")</f>
        <v>0</v>
      </c>
      <c r="D55" s="2">
        <f>IFERROR(INDEX(البيانات_الأساسية!B:B, MATCH(42, البيانات_الأساسية!$I:$I, 0)), "")</f>
        <v>0</v>
      </c>
      <c r="E55" s="2">
        <f>IFERROR(IF($C$5="الكل", INDEX(البيانات_الأساسية!D:D, MATCH(42, البيانات_الأساسية!$I:$I, 0)), INDEX(البيانات_الأساسية!$V:$AG, MATCH(42, البيانات_الأساسية!$I:$I, 0), VALUE($C$5))), "")</f>
        <v>0</v>
      </c>
      <c r="F55" s="2">
        <f>IFERROR(IF($C$5="الكل", INDEX(البيانات_الأساسية!C:C, MATCH(42, البيانات_الأساسية!$I:$I, 0)), INDEX(البيانات_الأساسية!$J:$U, MATCH(42, البيانات_الأساسية!$I:$I, 0), VALUE($C$5))), "")</f>
        <v>0</v>
      </c>
      <c r="G55" s="2">
        <f>IFERROR(ROUND(F55/60, 2), "")</f>
        <v>0</v>
      </c>
      <c r="H55" s="2">
        <f>IFERROR(ROUND(F55/E55, 2), "")</f>
        <v>0</v>
      </c>
      <c r="I55" s="2">
        <f>IFERROR(IF($C$5="الكل", INDEX(البيانات_الأساسية!G:G, MATCH(42, البيانات_الأساسية!$I:$I, 0)), $C$5), "")</f>
        <v>0</v>
      </c>
    </row>
    <row r="56" spans="2:9" s="4" customFormat="1" ht="20" customHeight="1">
      <c r="B56" s="2">
        <f>IF(C56="","", 43)</f>
        <v>0</v>
      </c>
      <c r="C56" s="2">
        <f>IFERROR(INDEX(البيانات_الأساسية!A:A, MATCH(43, البيانات_الأساسية!$I:$I, 0)), "")</f>
        <v>0</v>
      </c>
      <c r="D56" s="2">
        <f>IFERROR(INDEX(البيانات_الأساسية!B:B, MATCH(43, البيانات_الأساسية!$I:$I, 0)), "")</f>
        <v>0</v>
      </c>
      <c r="E56" s="2">
        <f>IFERROR(IF($C$5="الكل", INDEX(البيانات_الأساسية!D:D, MATCH(43, البيانات_الأساسية!$I:$I, 0)), INDEX(البيانات_الأساسية!$V:$AG, MATCH(43, البيانات_الأساسية!$I:$I, 0), VALUE($C$5))), "")</f>
        <v>0</v>
      </c>
      <c r="F56" s="2">
        <f>IFERROR(IF($C$5="الكل", INDEX(البيانات_الأساسية!C:C, MATCH(43, البيانات_الأساسية!$I:$I, 0)), INDEX(البيانات_الأساسية!$J:$U, MATCH(43, البيانات_الأساسية!$I:$I, 0), VALUE($C$5))), "")</f>
        <v>0</v>
      </c>
      <c r="G56" s="2">
        <f>IFERROR(ROUND(F56/60, 2), "")</f>
        <v>0</v>
      </c>
      <c r="H56" s="2">
        <f>IFERROR(ROUND(F56/E56, 2), "")</f>
        <v>0</v>
      </c>
      <c r="I56" s="2">
        <f>IFERROR(IF($C$5="الكل", INDEX(البيانات_الأساسية!G:G, MATCH(43, البيانات_الأساسية!$I:$I, 0)), $C$5), "")</f>
        <v>0</v>
      </c>
    </row>
    <row r="57" spans="2:9" s="4" customFormat="1" ht="20" customHeight="1">
      <c r="B57" s="2">
        <f>IF(C57="","", 44)</f>
        <v>0</v>
      </c>
      <c r="C57" s="2">
        <f>IFERROR(INDEX(البيانات_الأساسية!A:A, MATCH(44, البيانات_الأساسية!$I:$I, 0)), "")</f>
        <v>0</v>
      </c>
      <c r="D57" s="2">
        <f>IFERROR(INDEX(البيانات_الأساسية!B:B, MATCH(44, البيانات_الأساسية!$I:$I, 0)), "")</f>
        <v>0</v>
      </c>
      <c r="E57" s="2">
        <f>IFERROR(IF($C$5="الكل", INDEX(البيانات_الأساسية!D:D, MATCH(44, البيانات_الأساسية!$I:$I, 0)), INDEX(البيانات_الأساسية!$V:$AG, MATCH(44, البيانات_الأساسية!$I:$I, 0), VALUE($C$5))), "")</f>
        <v>0</v>
      </c>
      <c r="F57" s="2">
        <f>IFERROR(IF($C$5="الكل", INDEX(البيانات_الأساسية!C:C, MATCH(44, البيانات_الأساسية!$I:$I, 0)), INDEX(البيانات_الأساسية!$J:$U, MATCH(44, البيانات_الأساسية!$I:$I, 0), VALUE($C$5))), "")</f>
        <v>0</v>
      </c>
      <c r="G57" s="2">
        <f>IFERROR(ROUND(F57/60, 2), "")</f>
        <v>0</v>
      </c>
      <c r="H57" s="2">
        <f>IFERROR(ROUND(F57/E57, 2), "")</f>
        <v>0</v>
      </c>
      <c r="I57" s="2">
        <f>IFERROR(IF($C$5="الكل", INDEX(البيانات_الأساسية!G:G, MATCH(44, البيانات_الأساسية!$I:$I, 0)), $C$5), "")</f>
        <v>0</v>
      </c>
    </row>
    <row r="58" spans="2:9" s="4" customFormat="1" ht="20" customHeight="1">
      <c r="B58" s="2">
        <f>IF(C58="","", 45)</f>
        <v>0</v>
      </c>
      <c r="C58" s="2">
        <f>IFERROR(INDEX(البيانات_الأساسية!A:A, MATCH(45, البيانات_الأساسية!$I:$I, 0)), "")</f>
        <v>0</v>
      </c>
      <c r="D58" s="2">
        <f>IFERROR(INDEX(البيانات_الأساسية!B:B, MATCH(45, البيانات_الأساسية!$I:$I, 0)), "")</f>
        <v>0</v>
      </c>
      <c r="E58" s="2">
        <f>IFERROR(IF($C$5="الكل", INDEX(البيانات_الأساسية!D:D, MATCH(45, البيانات_الأساسية!$I:$I, 0)), INDEX(البيانات_الأساسية!$V:$AG, MATCH(45, البيانات_الأساسية!$I:$I, 0), VALUE($C$5))), "")</f>
        <v>0</v>
      </c>
      <c r="F58" s="2">
        <f>IFERROR(IF($C$5="الكل", INDEX(البيانات_الأساسية!C:C, MATCH(45, البيانات_الأساسية!$I:$I, 0)), INDEX(البيانات_الأساسية!$J:$U, MATCH(45, البيانات_الأساسية!$I:$I, 0), VALUE($C$5))), "")</f>
        <v>0</v>
      </c>
      <c r="G58" s="2">
        <f>IFERROR(ROUND(F58/60, 2), "")</f>
        <v>0</v>
      </c>
      <c r="H58" s="2">
        <f>IFERROR(ROUND(F58/E58, 2), "")</f>
        <v>0</v>
      </c>
      <c r="I58" s="2">
        <f>IFERROR(IF($C$5="الكل", INDEX(البيانات_الأساسية!G:G, MATCH(45, البيانات_الأساسية!$I:$I, 0)), $C$5), "")</f>
        <v>0</v>
      </c>
    </row>
    <row r="59" spans="2:9" s="4" customFormat="1" ht="20" customHeight="1">
      <c r="B59" s="2">
        <f>IF(C59="","", 46)</f>
        <v>0</v>
      </c>
      <c r="C59" s="2">
        <f>IFERROR(INDEX(البيانات_الأساسية!A:A, MATCH(46, البيانات_الأساسية!$I:$I, 0)), "")</f>
        <v>0</v>
      </c>
      <c r="D59" s="2">
        <f>IFERROR(INDEX(البيانات_الأساسية!B:B, MATCH(46, البيانات_الأساسية!$I:$I, 0)), "")</f>
        <v>0</v>
      </c>
      <c r="E59" s="2">
        <f>IFERROR(IF($C$5="الكل", INDEX(البيانات_الأساسية!D:D, MATCH(46, البيانات_الأساسية!$I:$I, 0)), INDEX(البيانات_الأساسية!$V:$AG, MATCH(46, البيانات_الأساسية!$I:$I, 0), VALUE($C$5))), "")</f>
        <v>0</v>
      </c>
      <c r="F59" s="2">
        <f>IFERROR(IF($C$5="الكل", INDEX(البيانات_الأساسية!C:C, MATCH(46, البيانات_الأساسية!$I:$I, 0)), INDEX(البيانات_الأساسية!$J:$U, MATCH(46, البيانات_الأساسية!$I:$I, 0), VALUE($C$5))), "")</f>
        <v>0</v>
      </c>
      <c r="G59" s="2">
        <f>IFERROR(ROUND(F59/60, 2), "")</f>
        <v>0</v>
      </c>
      <c r="H59" s="2">
        <f>IFERROR(ROUND(F59/E59, 2), "")</f>
        <v>0</v>
      </c>
      <c r="I59" s="2">
        <f>IFERROR(IF($C$5="الكل", INDEX(البيانات_الأساسية!G:G, MATCH(46, البيانات_الأساسية!$I:$I, 0)), $C$5), "")</f>
        <v>0</v>
      </c>
    </row>
    <row r="60" spans="2:9" s="4" customFormat="1" ht="20" customHeight="1">
      <c r="B60" s="2">
        <f>IF(C60="","", 47)</f>
        <v>0</v>
      </c>
      <c r="C60" s="2">
        <f>IFERROR(INDEX(البيانات_الأساسية!A:A, MATCH(47, البيانات_الأساسية!$I:$I, 0)), "")</f>
        <v>0</v>
      </c>
      <c r="D60" s="2">
        <f>IFERROR(INDEX(البيانات_الأساسية!B:B, MATCH(47, البيانات_الأساسية!$I:$I, 0)), "")</f>
        <v>0</v>
      </c>
      <c r="E60" s="2">
        <f>IFERROR(IF($C$5="الكل", INDEX(البيانات_الأساسية!D:D, MATCH(47, البيانات_الأساسية!$I:$I, 0)), INDEX(البيانات_الأساسية!$V:$AG, MATCH(47, البيانات_الأساسية!$I:$I, 0), VALUE($C$5))), "")</f>
        <v>0</v>
      </c>
      <c r="F60" s="2">
        <f>IFERROR(IF($C$5="الكل", INDEX(البيانات_الأساسية!C:C, MATCH(47, البيانات_الأساسية!$I:$I, 0)), INDEX(البيانات_الأساسية!$J:$U, MATCH(47, البيانات_الأساسية!$I:$I, 0), VALUE($C$5))), "")</f>
        <v>0</v>
      </c>
      <c r="G60" s="2">
        <f>IFERROR(ROUND(F60/60, 2), "")</f>
        <v>0</v>
      </c>
      <c r="H60" s="2">
        <f>IFERROR(ROUND(F60/E60, 2), "")</f>
        <v>0</v>
      </c>
      <c r="I60" s="2">
        <f>IFERROR(IF($C$5="الكل", INDEX(البيانات_الأساسية!G:G, MATCH(47, البيانات_الأساسية!$I:$I, 0)), $C$5), "")</f>
        <v>0</v>
      </c>
    </row>
    <row r="61" spans="2:9" s="4" customFormat="1" ht="20" customHeight="1">
      <c r="B61" s="2">
        <f>IF(C61="","", 48)</f>
        <v>0</v>
      </c>
      <c r="C61" s="2">
        <f>IFERROR(INDEX(البيانات_الأساسية!A:A, MATCH(48, البيانات_الأساسية!$I:$I, 0)), "")</f>
        <v>0</v>
      </c>
      <c r="D61" s="2">
        <f>IFERROR(INDEX(البيانات_الأساسية!B:B, MATCH(48, البيانات_الأساسية!$I:$I, 0)), "")</f>
        <v>0</v>
      </c>
      <c r="E61" s="2">
        <f>IFERROR(IF($C$5="الكل", INDEX(البيانات_الأساسية!D:D, MATCH(48, البيانات_الأساسية!$I:$I, 0)), INDEX(البيانات_الأساسية!$V:$AG, MATCH(48, البيانات_الأساسية!$I:$I, 0), VALUE($C$5))), "")</f>
        <v>0</v>
      </c>
      <c r="F61" s="2">
        <f>IFERROR(IF($C$5="الكل", INDEX(البيانات_الأساسية!C:C, MATCH(48, البيانات_الأساسية!$I:$I, 0)), INDEX(البيانات_الأساسية!$J:$U, MATCH(48, البيانات_الأساسية!$I:$I, 0), VALUE($C$5))), "")</f>
        <v>0</v>
      </c>
      <c r="G61" s="2">
        <f>IFERROR(ROUND(F61/60, 2), "")</f>
        <v>0</v>
      </c>
      <c r="H61" s="2">
        <f>IFERROR(ROUND(F61/E61, 2), "")</f>
        <v>0</v>
      </c>
      <c r="I61" s="2">
        <f>IFERROR(IF($C$5="الكل", INDEX(البيانات_الأساسية!G:G, MATCH(48, البيانات_الأساسية!$I:$I, 0)), $C$5), "")</f>
        <v>0</v>
      </c>
    </row>
    <row r="62" spans="2:9" s="4" customFormat="1" ht="20" customHeight="1">
      <c r="B62" s="2">
        <f>IF(C62="","", 49)</f>
        <v>0</v>
      </c>
      <c r="C62" s="2">
        <f>IFERROR(INDEX(البيانات_الأساسية!A:A, MATCH(49, البيانات_الأساسية!$I:$I, 0)), "")</f>
        <v>0</v>
      </c>
      <c r="D62" s="2">
        <f>IFERROR(INDEX(البيانات_الأساسية!B:B, MATCH(49, البيانات_الأساسية!$I:$I, 0)), "")</f>
        <v>0</v>
      </c>
      <c r="E62" s="2">
        <f>IFERROR(IF($C$5="الكل", INDEX(البيانات_الأساسية!D:D, MATCH(49, البيانات_الأساسية!$I:$I, 0)), INDEX(البيانات_الأساسية!$V:$AG, MATCH(49, البيانات_الأساسية!$I:$I, 0), VALUE($C$5))), "")</f>
        <v>0</v>
      </c>
      <c r="F62" s="2">
        <f>IFERROR(IF($C$5="الكل", INDEX(البيانات_الأساسية!C:C, MATCH(49, البيانات_الأساسية!$I:$I, 0)), INDEX(البيانات_الأساسية!$J:$U, MATCH(49, البيانات_الأساسية!$I:$I, 0), VALUE($C$5))), "")</f>
        <v>0</v>
      </c>
      <c r="G62" s="2">
        <f>IFERROR(ROUND(F62/60, 2), "")</f>
        <v>0</v>
      </c>
      <c r="H62" s="2">
        <f>IFERROR(ROUND(F62/E62, 2), "")</f>
        <v>0</v>
      </c>
      <c r="I62" s="2">
        <f>IFERROR(IF($C$5="الكل", INDEX(البيانات_الأساسية!G:G, MATCH(49, البيانات_الأساسية!$I:$I, 0)), $C$5), "")</f>
        <v>0</v>
      </c>
    </row>
    <row r="63" spans="2:9" s="4" customFormat="1" ht="20" customHeight="1">
      <c r="B63" s="2">
        <f>IF(C63="","", 50)</f>
        <v>0</v>
      </c>
      <c r="C63" s="2">
        <f>IFERROR(INDEX(البيانات_الأساسية!A:A, MATCH(50, البيانات_الأساسية!$I:$I, 0)), "")</f>
        <v>0</v>
      </c>
      <c r="D63" s="2">
        <f>IFERROR(INDEX(البيانات_الأساسية!B:B, MATCH(50, البيانات_الأساسية!$I:$I, 0)), "")</f>
        <v>0</v>
      </c>
      <c r="E63" s="2">
        <f>IFERROR(IF($C$5="الكل", INDEX(البيانات_الأساسية!D:D, MATCH(50, البيانات_الأساسية!$I:$I, 0)), INDEX(البيانات_الأساسية!$V:$AG, MATCH(50, البيانات_الأساسية!$I:$I, 0), VALUE($C$5))), "")</f>
        <v>0</v>
      </c>
      <c r="F63" s="2">
        <f>IFERROR(IF($C$5="الكل", INDEX(البيانات_الأساسية!C:C, MATCH(50, البيانات_الأساسية!$I:$I, 0)), INDEX(البيانات_الأساسية!$J:$U, MATCH(50, البيانات_الأساسية!$I:$I, 0), VALUE($C$5))), "")</f>
        <v>0</v>
      </c>
      <c r="G63" s="2">
        <f>IFERROR(ROUND(F63/60, 2), "")</f>
        <v>0</v>
      </c>
      <c r="H63" s="2">
        <f>IFERROR(ROUND(F63/E63, 2), "")</f>
        <v>0</v>
      </c>
      <c r="I63" s="2">
        <f>IFERROR(IF($C$5="الكل", INDEX(البيانات_الأساسية!G:G, MATCH(50, البيانات_الأساسية!$I:$I, 0)), $C$5), "")</f>
        <v>0</v>
      </c>
    </row>
    <row r="64" spans="2:9" s="4" customFormat="1" ht="20" customHeight="1">
      <c r="B64" s="2">
        <f>IF(C64="","", 51)</f>
        <v>0</v>
      </c>
      <c r="C64" s="2">
        <f>IFERROR(INDEX(البيانات_الأساسية!A:A, MATCH(51, البيانات_الأساسية!$I:$I, 0)), "")</f>
        <v>0</v>
      </c>
      <c r="D64" s="2">
        <f>IFERROR(INDEX(البيانات_الأساسية!B:B, MATCH(51, البيانات_الأساسية!$I:$I, 0)), "")</f>
        <v>0</v>
      </c>
      <c r="E64" s="2">
        <f>IFERROR(IF($C$5="الكل", INDEX(البيانات_الأساسية!D:D, MATCH(51, البيانات_الأساسية!$I:$I, 0)), INDEX(البيانات_الأساسية!$V:$AG, MATCH(51, البيانات_الأساسية!$I:$I, 0), VALUE($C$5))), "")</f>
        <v>0</v>
      </c>
      <c r="F64" s="2">
        <f>IFERROR(IF($C$5="الكل", INDEX(البيانات_الأساسية!C:C, MATCH(51, البيانات_الأساسية!$I:$I, 0)), INDEX(البيانات_الأساسية!$J:$U, MATCH(51, البيانات_الأساسية!$I:$I, 0), VALUE($C$5))), "")</f>
        <v>0</v>
      </c>
      <c r="G64" s="2">
        <f>IFERROR(ROUND(F64/60, 2), "")</f>
        <v>0</v>
      </c>
      <c r="H64" s="2">
        <f>IFERROR(ROUND(F64/E64, 2), "")</f>
        <v>0</v>
      </c>
      <c r="I64" s="2">
        <f>IFERROR(IF($C$5="الكل", INDEX(البيانات_الأساسية!G:G, MATCH(51, البيانات_الأساسية!$I:$I, 0)), $C$5), "")</f>
        <v>0</v>
      </c>
    </row>
    <row r="65" spans="2:9" s="4" customFormat="1" ht="20" customHeight="1">
      <c r="B65" s="2">
        <f>IF(C65="","", 52)</f>
        <v>0</v>
      </c>
      <c r="C65" s="2">
        <f>IFERROR(INDEX(البيانات_الأساسية!A:A, MATCH(52, البيانات_الأساسية!$I:$I, 0)), "")</f>
        <v>0</v>
      </c>
      <c r="D65" s="2">
        <f>IFERROR(INDEX(البيانات_الأساسية!B:B, MATCH(52, البيانات_الأساسية!$I:$I, 0)), "")</f>
        <v>0</v>
      </c>
      <c r="E65" s="2">
        <f>IFERROR(IF($C$5="الكل", INDEX(البيانات_الأساسية!D:D, MATCH(52, البيانات_الأساسية!$I:$I, 0)), INDEX(البيانات_الأساسية!$V:$AG, MATCH(52, البيانات_الأساسية!$I:$I, 0), VALUE($C$5))), "")</f>
        <v>0</v>
      </c>
      <c r="F65" s="2">
        <f>IFERROR(IF($C$5="الكل", INDEX(البيانات_الأساسية!C:C, MATCH(52, البيانات_الأساسية!$I:$I, 0)), INDEX(البيانات_الأساسية!$J:$U, MATCH(52, البيانات_الأساسية!$I:$I, 0), VALUE($C$5))), "")</f>
        <v>0</v>
      </c>
      <c r="G65" s="2">
        <f>IFERROR(ROUND(F65/60, 2), "")</f>
        <v>0</v>
      </c>
      <c r="H65" s="2">
        <f>IFERROR(ROUND(F65/E65, 2), "")</f>
        <v>0</v>
      </c>
      <c r="I65" s="2">
        <f>IFERROR(IF($C$5="الكل", INDEX(البيانات_الأساسية!G:G, MATCH(52, البيانات_الأساسية!$I:$I, 0)), $C$5), "")</f>
        <v>0</v>
      </c>
    </row>
    <row r="66" spans="2:9" s="4" customFormat="1" ht="20" customHeight="1">
      <c r="B66" s="2">
        <f>IF(C66="","", 53)</f>
        <v>0</v>
      </c>
      <c r="C66" s="2">
        <f>IFERROR(INDEX(البيانات_الأساسية!A:A, MATCH(53, البيانات_الأساسية!$I:$I, 0)), "")</f>
        <v>0</v>
      </c>
      <c r="D66" s="2">
        <f>IFERROR(INDEX(البيانات_الأساسية!B:B, MATCH(53, البيانات_الأساسية!$I:$I, 0)), "")</f>
        <v>0</v>
      </c>
      <c r="E66" s="2">
        <f>IFERROR(IF($C$5="الكل", INDEX(البيانات_الأساسية!D:D, MATCH(53, البيانات_الأساسية!$I:$I, 0)), INDEX(البيانات_الأساسية!$V:$AG, MATCH(53, البيانات_الأساسية!$I:$I, 0), VALUE($C$5))), "")</f>
        <v>0</v>
      </c>
      <c r="F66" s="2">
        <f>IFERROR(IF($C$5="الكل", INDEX(البيانات_الأساسية!C:C, MATCH(53, البيانات_الأساسية!$I:$I, 0)), INDEX(البيانات_الأساسية!$J:$U, MATCH(53, البيانات_الأساسية!$I:$I, 0), VALUE($C$5))), "")</f>
        <v>0</v>
      </c>
      <c r="G66" s="2">
        <f>IFERROR(ROUND(F66/60, 2), "")</f>
        <v>0</v>
      </c>
      <c r="H66" s="2">
        <f>IFERROR(ROUND(F66/E66, 2), "")</f>
        <v>0</v>
      </c>
      <c r="I66" s="2">
        <f>IFERROR(IF($C$5="الكل", INDEX(البيانات_الأساسية!G:G, MATCH(53, البيانات_الأساسية!$I:$I, 0)), $C$5), "")</f>
        <v>0</v>
      </c>
    </row>
    <row r="67" spans="2:9" s="4" customFormat="1" ht="20" customHeight="1">
      <c r="B67" s="2">
        <f>IF(C67="","", 54)</f>
        <v>0</v>
      </c>
      <c r="C67" s="2">
        <f>IFERROR(INDEX(البيانات_الأساسية!A:A, MATCH(54, البيانات_الأساسية!$I:$I, 0)), "")</f>
        <v>0</v>
      </c>
      <c r="D67" s="2">
        <f>IFERROR(INDEX(البيانات_الأساسية!B:B, MATCH(54, البيانات_الأساسية!$I:$I, 0)), "")</f>
        <v>0</v>
      </c>
      <c r="E67" s="2">
        <f>IFERROR(IF($C$5="الكل", INDEX(البيانات_الأساسية!D:D, MATCH(54, البيانات_الأساسية!$I:$I, 0)), INDEX(البيانات_الأساسية!$V:$AG, MATCH(54, البيانات_الأساسية!$I:$I, 0), VALUE($C$5))), "")</f>
        <v>0</v>
      </c>
      <c r="F67" s="2">
        <f>IFERROR(IF($C$5="الكل", INDEX(البيانات_الأساسية!C:C, MATCH(54, البيانات_الأساسية!$I:$I, 0)), INDEX(البيانات_الأساسية!$J:$U, MATCH(54, البيانات_الأساسية!$I:$I, 0), VALUE($C$5))), "")</f>
        <v>0</v>
      </c>
      <c r="G67" s="2">
        <f>IFERROR(ROUND(F67/60, 2), "")</f>
        <v>0</v>
      </c>
      <c r="H67" s="2">
        <f>IFERROR(ROUND(F67/E67, 2), "")</f>
        <v>0</v>
      </c>
      <c r="I67" s="2">
        <f>IFERROR(IF($C$5="الكل", INDEX(البيانات_الأساسية!G:G, MATCH(54, البيانات_الأساسية!$I:$I, 0)), $C$5), "")</f>
        <v>0</v>
      </c>
    </row>
    <row r="68" spans="2:9" s="4" customFormat="1" ht="20" customHeight="1">
      <c r="B68" s="2">
        <f>IF(C68="","", 55)</f>
        <v>0</v>
      </c>
      <c r="C68" s="2">
        <f>IFERROR(INDEX(البيانات_الأساسية!A:A, MATCH(55, البيانات_الأساسية!$I:$I, 0)), "")</f>
        <v>0</v>
      </c>
      <c r="D68" s="2">
        <f>IFERROR(INDEX(البيانات_الأساسية!B:B, MATCH(55, البيانات_الأساسية!$I:$I, 0)), "")</f>
        <v>0</v>
      </c>
      <c r="E68" s="2">
        <f>IFERROR(IF($C$5="الكل", INDEX(البيانات_الأساسية!D:D, MATCH(55, البيانات_الأساسية!$I:$I, 0)), INDEX(البيانات_الأساسية!$V:$AG, MATCH(55, البيانات_الأساسية!$I:$I, 0), VALUE($C$5))), "")</f>
        <v>0</v>
      </c>
      <c r="F68" s="2">
        <f>IFERROR(IF($C$5="الكل", INDEX(البيانات_الأساسية!C:C, MATCH(55, البيانات_الأساسية!$I:$I, 0)), INDEX(البيانات_الأساسية!$J:$U, MATCH(55, البيانات_الأساسية!$I:$I, 0), VALUE($C$5))), "")</f>
        <v>0</v>
      </c>
      <c r="G68" s="2">
        <f>IFERROR(ROUND(F68/60, 2), "")</f>
        <v>0</v>
      </c>
      <c r="H68" s="2">
        <f>IFERROR(ROUND(F68/E68, 2), "")</f>
        <v>0</v>
      </c>
      <c r="I68" s="2">
        <f>IFERROR(IF($C$5="الكل", INDEX(البيانات_الأساسية!G:G, MATCH(55, البيانات_الأساسية!$I:$I, 0)), $C$5), "")</f>
        <v>0</v>
      </c>
    </row>
    <row r="69" spans="2:9" s="4" customFormat="1" ht="20" customHeight="1">
      <c r="B69" s="2">
        <f>IF(C69="","", 56)</f>
        <v>0</v>
      </c>
      <c r="C69" s="2">
        <f>IFERROR(INDEX(البيانات_الأساسية!A:A, MATCH(56, البيانات_الأساسية!$I:$I, 0)), "")</f>
        <v>0</v>
      </c>
      <c r="D69" s="2">
        <f>IFERROR(INDEX(البيانات_الأساسية!B:B, MATCH(56, البيانات_الأساسية!$I:$I, 0)), "")</f>
        <v>0</v>
      </c>
      <c r="E69" s="2">
        <f>IFERROR(IF($C$5="الكل", INDEX(البيانات_الأساسية!D:D, MATCH(56, البيانات_الأساسية!$I:$I, 0)), INDEX(البيانات_الأساسية!$V:$AG, MATCH(56, البيانات_الأساسية!$I:$I, 0), VALUE($C$5))), "")</f>
        <v>0</v>
      </c>
      <c r="F69" s="2">
        <f>IFERROR(IF($C$5="الكل", INDEX(البيانات_الأساسية!C:C, MATCH(56, البيانات_الأساسية!$I:$I, 0)), INDEX(البيانات_الأساسية!$J:$U, MATCH(56, البيانات_الأساسية!$I:$I, 0), VALUE($C$5))), "")</f>
        <v>0</v>
      </c>
      <c r="G69" s="2">
        <f>IFERROR(ROUND(F69/60, 2), "")</f>
        <v>0</v>
      </c>
      <c r="H69" s="2">
        <f>IFERROR(ROUND(F69/E69, 2), "")</f>
        <v>0</v>
      </c>
      <c r="I69" s="2">
        <f>IFERROR(IF($C$5="الكل", INDEX(البيانات_الأساسية!G:G, MATCH(56, البيانات_الأساسية!$I:$I, 0)), $C$5), "")</f>
        <v>0</v>
      </c>
    </row>
    <row r="70" spans="2:9" s="4" customFormat="1" ht="20" customHeight="1">
      <c r="B70" s="2">
        <f>IF(C70="","", 57)</f>
        <v>0</v>
      </c>
      <c r="C70" s="2">
        <f>IFERROR(INDEX(البيانات_الأساسية!A:A, MATCH(57, البيانات_الأساسية!$I:$I, 0)), "")</f>
        <v>0</v>
      </c>
      <c r="D70" s="2">
        <f>IFERROR(INDEX(البيانات_الأساسية!B:B, MATCH(57, البيانات_الأساسية!$I:$I, 0)), "")</f>
        <v>0</v>
      </c>
      <c r="E70" s="2">
        <f>IFERROR(IF($C$5="الكل", INDEX(البيانات_الأساسية!D:D, MATCH(57, البيانات_الأساسية!$I:$I, 0)), INDEX(البيانات_الأساسية!$V:$AG, MATCH(57, البيانات_الأساسية!$I:$I, 0), VALUE($C$5))), "")</f>
        <v>0</v>
      </c>
      <c r="F70" s="2">
        <f>IFERROR(IF($C$5="الكل", INDEX(البيانات_الأساسية!C:C, MATCH(57, البيانات_الأساسية!$I:$I, 0)), INDEX(البيانات_الأساسية!$J:$U, MATCH(57, البيانات_الأساسية!$I:$I, 0), VALUE($C$5))), "")</f>
        <v>0</v>
      </c>
      <c r="G70" s="2">
        <f>IFERROR(ROUND(F70/60, 2), "")</f>
        <v>0</v>
      </c>
      <c r="H70" s="2">
        <f>IFERROR(ROUND(F70/E70, 2), "")</f>
        <v>0</v>
      </c>
      <c r="I70" s="2">
        <f>IFERROR(IF($C$5="الكل", INDEX(البيانات_الأساسية!G:G, MATCH(57, البيانات_الأساسية!$I:$I, 0)), $C$5), "")</f>
        <v>0</v>
      </c>
    </row>
    <row r="71" spans="2:9" s="4" customFormat="1" ht="20" customHeight="1">
      <c r="B71" s="2">
        <f>IF(C71="","", 58)</f>
        <v>0</v>
      </c>
      <c r="C71" s="2">
        <f>IFERROR(INDEX(البيانات_الأساسية!A:A, MATCH(58, البيانات_الأساسية!$I:$I, 0)), "")</f>
        <v>0</v>
      </c>
      <c r="D71" s="2">
        <f>IFERROR(INDEX(البيانات_الأساسية!B:B, MATCH(58, البيانات_الأساسية!$I:$I, 0)), "")</f>
        <v>0</v>
      </c>
      <c r="E71" s="2">
        <f>IFERROR(IF($C$5="الكل", INDEX(البيانات_الأساسية!D:D, MATCH(58, البيانات_الأساسية!$I:$I, 0)), INDEX(البيانات_الأساسية!$V:$AG, MATCH(58, البيانات_الأساسية!$I:$I, 0), VALUE($C$5))), "")</f>
        <v>0</v>
      </c>
      <c r="F71" s="2">
        <f>IFERROR(IF($C$5="الكل", INDEX(البيانات_الأساسية!C:C, MATCH(58, البيانات_الأساسية!$I:$I, 0)), INDEX(البيانات_الأساسية!$J:$U, MATCH(58, البيانات_الأساسية!$I:$I, 0), VALUE($C$5))), "")</f>
        <v>0</v>
      </c>
      <c r="G71" s="2">
        <f>IFERROR(ROUND(F71/60, 2), "")</f>
        <v>0</v>
      </c>
      <c r="H71" s="2">
        <f>IFERROR(ROUND(F71/E71, 2), "")</f>
        <v>0</v>
      </c>
      <c r="I71" s="2">
        <f>IFERROR(IF($C$5="الكل", INDEX(البيانات_الأساسية!G:G, MATCH(58, البيانات_الأساسية!$I:$I, 0)), $C$5), "")</f>
        <v>0</v>
      </c>
    </row>
    <row r="72" spans="2:9" s="4" customFormat="1" ht="20" customHeight="1">
      <c r="B72" s="2">
        <f>IF(C72="","", 59)</f>
        <v>0</v>
      </c>
      <c r="C72" s="2">
        <f>IFERROR(INDEX(البيانات_الأساسية!A:A, MATCH(59, البيانات_الأساسية!$I:$I, 0)), "")</f>
        <v>0</v>
      </c>
      <c r="D72" s="2">
        <f>IFERROR(INDEX(البيانات_الأساسية!B:B, MATCH(59, البيانات_الأساسية!$I:$I, 0)), "")</f>
        <v>0</v>
      </c>
      <c r="E72" s="2">
        <f>IFERROR(IF($C$5="الكل", INDEX(البيانات_الأساسية!D:D, MATCH(59, البيانات_الأساسية!$I:$I, 0)), INDEX(البيانات_الأساسية!$V:$AG, MATCH(59, البيانات_الأساسية!$I:$I, 0), VALUE($C$5))), "")</f>
        <v>0</v>
      </c>
      <c r="F72" s="2">
        <f>IFERROR(IF($C$5="الكل", INDEX(البيانات_الأساسية!C:C, MATCH(59, البيانات_الأساسية!$I:$I, 0)), INDEX(البيانات_الأساسية!$J:$U, MATCH(59, البيانات_الأساسية!$I:$I, 0), VALUE($C$5))), "")</f>
        <v>0</v>
      </c>
      <c r="G72" s="2">
        <f>IFERROR(ROUND(F72/60, 2), "")</f>
        <v>0</v>
      </c>
      <c r="H72" s="2">
        <f>IFERROR(ROUND(F72/E72, 2), "")</f>
        <v>0</v>
      </c>
      <c r="I72" s="2">
        <f>IFERROR(IF($C$5="الكل", INDEX(البيانات_الأساسية!G:G, MATCH(59, البيانات_الأساسية!$I:$I, 0)), $C$5), "")</f>
        <v>0</v>
      </c>
    </row>
    <row r="73" spans="2:9" s="4" customFormat="1" ht="20" customHeight="1">
      <c r="B73" s="2">
        <f>IF(C73="","", 60)</f>
        <v>0</v>
      </c>
      <c r="C73" s="2">
        <f>IFERROR(INDEX(البيانات_الأساسية!A:A, MATCH(60, البيانات_الأساسية!$I:$I, 0)), "")</f>
        <v>0</v>
      </c>
      <c r="D73" s="2">
        <f>IFERROR(INDEX(البيانات_الأساسية!B:B, MATCH(60, البيانات_الأساسية!$I:$I, 0)), "")</f>
        <v>0</v>
      </c>
      <c r="E73" s="2">
        <f>IFERROR(IF($C$5="الكل", INDEX(البيانات_الأساسية!D:D, MATCH(60, البيانات_الأساسية!$I:$I, 0)), INDEX(البيانات_الأساسية!$V:$AG, MATCH(60, البيانات_الأساسية!$I:$I, 0), VALUE($C$5))), "")</f>
        <v>0</v>
      </c>
      <c r="F73" s="2">
        <f>IFERROR(IF($C$5="الكل", INDEX(البيانات_الأساسية!C:C, MATCH(60, البيانات_الأساسية!$I:$I, 0)), INDEX(البيانات_الأساسية!$J:$U, MATCH(60, البيانات_الأساسية!$I:$I, 0), VALUE($C$5))), "")</f>
        <v>0</v>
      </c>
      <c r="G73" s="2">
        <f>IFERROR(ROUND(F73/60, 2), "")</f>
        <v>0</v>
      </c>
      <c r="H73" s="2">
        <f>IFERROR(ROUND(F73/E73, 2), "")</f>
        <v>0</v>
      </c>
      <c r="I73" s="2">
        <f>IFERROR(IF($C$5="الكل", INDEX(البيانات_الأساسية!G:G, MATCH(60, البيانات_الأساسية!$I:$I, 0)), $C$5), "")</f>
        <v>0</v>
      </c>
    </row>
    <row r="74" spans="2:9" s="4" customFormat="1" ht="20" customHeight="1">
      <c r="B74" s="2">
        <f>IF(C74="","", 61)</f>
        <v>0</v>
      </c>
      <c r="C74" s="2">
        <f>IFERROR(INDEX(البيانات_الأساسية!A:A, MATCH(61, البيانات_الأساسية!$I:$I, 0)), "")</f>
        <v>0</v>
      </c>
      <c r="D74" s="2">
        <f>IFERROR(INDEX(البيانات_الأساسية!B:B, MATCH(61, البيانات_الأساسية!$I:$I, 0)), "")</f>
        <v>0</v>
      </c>
      <c r="E74" s="2">
        <f>IFERROR(IF($C$5="الكل", INDEX(البيانات_الأساسية!D:D, MATCH(61, البيانات_الأساسية!$I:$I, 0)), INDEX(البيانات_الأساسية!$V:$AG, MATCH(61, البيانات_الأساسية!$I:$I, 0), VALUE($C$5))), "")</f>
        <v>0</v>
      </c>
      <c r="F74" s="2">
        <f>IFERROR(IF($C$5="الكل", INDEX(البيانات_الأساسية!C:C, MATCH(61, البيانات_الأساسية!$I:$I, 0)), INDEX(البيانات_الأساسية!$J:$U, MATCH(61, البيانات_الأساسية!$I:$I, 0), VALUE($C$5))), "")</f>
        <v>0</v>
      </c>
      <c r="G74" s="2">
        <f>IFERROR(ROUND(F74/60, 2), "")</f>
        <v>0</v>
      </c>
      <c r="H74" s="2">
        <f>IFERROR(ROUND(F74/E74, 2), "")</f>
        <v>0</v>
      </c>
      <c r="I74" s="2">
        <f>IFERROR(IF($C$5="الكل", INDEX(البيانات_الأساسية!G:G, MATCH(61, البيانات_الأساسية!$I:$I, 0)), $C$5), "")</f>
        <v>0</v>
      </c>
    </row>
    <row r="75" spans="2:9" s="4" customFormat="1" ht="20" customHeight="1">
      <c r="B75" s="2">
        <f>IF(C75="","", 62)</f>
        <v>0</v>
      </c>
      <c r="C75" s="2">
        <f>IFERROR(INDEX(البيانات_الأساسية!A:A, MATCH(62, البيانات_الأساسية!$I:$I, 0)), "")</f>
        <v>0</v>
      </c>
      <c r="D75" s="2">
        <f>IFERROR(INDEX(البيانات_الأساسية!B:B, MATCH(62, البيانات_الأساسية!$I:$I, 0)), "")</f>
        <v>0</v>
      </c>
      <c r="E75" s="2">
        <f>IFERROR(IF($C$5="الكل", INDEX(البيانات_الأساسية!D:D, MATCH(62, البيانات_الأساسية!$I:$I, 0)), INDEX(البيانات_الأساسية!$V:$AG, MATCH(62, البيانات_الأساسية!$I:$I, 0), VALUE($C$5))), "")</f>
        <v>0</v>
      </c>
      <c r="F75" s="2">
        <f>IFERROR(IF($C$5="الكل", INDEX(البيانات_الأساسية!C:C, MATCH(62, البيانات_الأساسية!$I:$I, 0)), INDEX(البيانات_الأساسية!$J:$U, MATCH(62, البيانات_الأساسية!$I:$I, 0), VALUE($C$5))), "")</f>
        <v>0</v>
      </c>
      <c r="G75" s="2">
        <f>IFERROR(ROUND(F75/60, 2), "")</f>
        <v>0</v>
      </c>
      <c r="H75" s="2">
        <f>IFERROR(ROUND(F75/E75, 2), "")</f>
        <v>0</v>
      </c>
      <c r="I75" s="2">
        <f>IFERROR(IF($C$5="الكل", INDEX(البيانات_الأساسية!G:G, MATCH(62, البيانات_الأساسية!$I:$I, 0)), $C$5), "")</f>
        <v>0</v>
      </c>
    </row>
    <row r="76" spans="2:9" s="4" customFormat="1" ht="20" customHeight="1">
      <c r="B76" s="2">
        <f>IF(C76="","", 63)</f>
        <v>0</v>
      </c>
      <c r="C76" s="2">
        <f>IFERROR(INDEX(البيانات_الأساسية!A:A, MATCH(63, البيانات_الأساسية!$I:$I, 0)), "")</f>
        <v>0</v>
      </c>
      <c r="D76" s="2">
        <f>IFERROR(INDEX(البيانات_الأساسية!B:B, MATCH(63, البيانات_الأساسية!$I:$I, 0)), "")</f>
        <v>0</v>
      </c>
      <c r="E76" s="2">
        <f>IFERROR(IF($C$5="الكل", INDEX(البيانات_الأساسية!D:D, MATCH(63, البيانات_الأساسية!$I:$I, 0)), INDEX(البيانات_الأساسية!$V:$AG, MATCH(63, البيانات_الأساسية!$I:$I, 0), VALUE($C$5))), "")</f>
        <v>0</v>
      </c>
      <c r="F76" s="2">
        <f>IFERROR(IF($C$5="الكل", INDEX(البيانات_الأساسية!C:C, MATCH(63, البيانات_الأساسية!$I:$I, 0)), INDEX(البيانات_الأساسية!$J:$U, MATCH(63, البيانات_الأساسية!$I:$I, 0), VALUE($C$5))), "")</f>
        <v>0</v>
      </c>
      <c r="G76" s="2">
        <f>IFERROR(ROUND(F76/60, 2), "")</f>
        <v>0</v>
      </c>
      <c r="H76" s="2">
        <f>IFERROR(ROUND(F76/E76, 2), "")</f>
        <v>0</v>
      </c>
      <c r="I76" s="2">
        <f>IFERROR(IF($C$5="الكل", INDEX(البيانات_الأساسية!G:G, MATCH(63, البيانات_الأساسية!$I:$I, 0)), $C$5), "")</f>
        <v>0</v>
      </c>
    </row>
    <row r="77" spans="2:9" s="4" customFormat="1" ht="20" customHeight="1">
      <c r="B77" s="2">
        <f>IF(C77="","", 64)</f>
        <v>0</v>
      </c>
      <c r="C77" s="2">
        <f>IFERROR(INDEX(البيانات_الأساسية!A:A, MATCH(64, البيانات_الأساسية!$I:$I, 0)), "")</f>
        <v>0</v>
      </c>
      <c r="D77" s="2">
        <f>IFERROR(INDEX(البيانات_الأساسية!B:B, MATCH(64, البيانات_الأساسية!$I:$I, 0)), "")</f>
        <v>0</v>
      </c>
      <c r="E77" s="2">
        <f>IFERROR(IF($C$5="الكل", INDEX(البيانات_الأساسية!D:D, MATCH(64, البيانات_الأساسية!$I:$I, 0)), INDEX(البيانات_الأساسية!$V:$AG, MATCH(64, البيانات_الأساسية!$I:$I, 0), VALUE($C$5))), "")</f>
        <v>0</v>
      </c>
      <c r="F77" s="2">
        <f>IFERROR(IF($C$5="الكل", INDEX(البيانات_الأساسية!C:C, MATCH(64, البيانات_الأساسية!$I:$I, 0)), INDEX(البيانات_الأساسية!$J:$U, MATCH(64, البيانات_الأساسية!$I:$I, 0), VALUE($C$5))), "")</f>
        <v>0</v>
      </c>
      <c r="G77" s="2">
        <f>IFERROR(ROUND(F77/60, 2), "")</f>
        <v>0</v>
      </c>
      <c r="H77" s="2">
        <f>IFERROR(ROUND(F77/E77, 2), "")</f>
        <v>0</v>
      </c>
      <c r="I77" s="2">
        <f>IFERROR(IF($C$5="الكل", INDEX(البيانات_الأساسية!G:G, MATCH(64, البيانات_الأساسية!$I:$I, 0)), $C$5), "")</f>
        <v>0</v>
      </c>
    </row>
    <row r="78" spans="2:9" s="4" customFormat="1" ht="20" customHeight="1">
      <c r="B78" s="2">
        <f>IF(C78="","", 65)</f>
        <v>0</v>
      </c>
      <c r="C78" s="2">
        <f>IFERROR(INDEX(البيانات_الأساسية!A:A, MATCH(65, البيانات_الأساسية!$I:$I, 0)), "")</f>
        <v>0</v>
      </c>
      <c r="D78" s="2">
        <f>IFERROR(INDEX(البيانات_الأساسية!B:B, MATCH(65, البيانات_الأساسية!$I:$I, 0)), "")</f>
        <v>0</v>
      </c>
      <c r="E78" s="2">
        <f>IFERROR(IF($C$5="الكل", INDEX(البيانات_الأساسية!D:D, MATCH(65, البيانات_الأساسية!$I:$I, 0)), INDEX(البيانات_الأساسية!$V:$AG, MATCH(65, البيانات_الأساسية!$I:$I, 0), VALUE($C$5))), "")</f>
        <v>0</v>
      </c>
      <c r="F78" s="2">
        <f>IFERROR(IF($C$5="الكل", INDEX(البيانات_الأساسية!C:C, MATCH(65, البيانات_الأساسية!$I:$I, 0)), INDEX(البيانات_الأساسية!$J:$U, MATCH(65, البيانات_الأساسية!$I:$I, 0), VALUE($C$5))), "")</f>
        <v>0</v>
      </c>
      <c r="G78" s="2">
        <f>IFERROR(ROUND(F78/60, 2), "")</f>
        <v>0</v>
      </c>
      <c r="H78" s="2">
        <f>IFERROR(ROUND(F78/E78, 2), "")</f>
        <v>0</v>
      </c>
      <c r="I78" s="2">
        <f>IFERROR(IF($C$5="الكل", INDEX(البيانات_الأساسية!G:G, MATCH(65, البيانات_الأساسية!$I:$I, 0)), $C$5), "")</f>
        <v>0</v>
      </c>
    </row>
    <row r="79" spans="2:9" s="4" customFormat="1" ht="20" customHeight="1">
      <c r="B79" s="2">
        <f>IF(C79="","", 66)</f>
        <v>0</v>
      </c>
      <c r="C79" s="2">
        <f>IFERROR(INDEX(البيانات_الأساسية!A:A, MATCH(66, البيانات_الأساسية!$I:$I, 0)), "")</f>
        <v>0</v>
      </c>
      <c r="D79" s="2">
        <f>IFERROR(INDEX(البيانات_الأساسية!B:B, MATCH(66, البيانات_الأساسية!$I:$I, 0)), "")</f>
        <v>0</v>
      </c>
      <c r="E79" s="2">
        <f>IFERROR(IF($C$5="الكل", INDEX(البيانات_الأساسية!D:D, MATCH(66, البيانات_الأساسية!$I:$I, 0)), INDEX(البيانات_الأساسية!$V:$AG, MATCH(66, البيانات_الأساسية!$I:$I, 0), VALUE($C$5))), "")</f>
        <v>0</v>
      </c>
      <c r="F79" s="2">
        <f>IFERROR(IF($C$5="الكل", INDEX(البيانات_الأساسية!C:C, MATCH(66, البيانات_الأساسية!$I:$I, 0)), INDEX(البيانات_الأساسية!$J:$U, MATCH(66, البيانات_الأساسية!$I:$I, 0), VALUE($C$5))), "")</f>
        <v>0</v>
      </c>
      <c r="G79" s="2">
        <f>IFERROR(ROUND(F79/60, 2), "")</f>
        <v>0</v>
      </c>
      <c r="H79" s="2">
        <f>IFERROR(ROUND(F79/E79, 2), "")</f>
        <v>0</v>
      </c>
      <c r="I79" s="2">
        <f>IFERROR(IF($C$5="الكل", INDEX(البيانات_الأساسية!G:G, MATCH(66, البيانات_الأساسية!$I:$I, 0)), $C$5), "")</f>
        <v>0</v>
      </c>
    </row>
    <row r="80" spans="2:9" s="4" customFormat="1" ht="20" customHeight="1">
      <c r="B80" s="2">
        <f>IF(C80="","", 67)</f>
        <v>0</v>
      </c>
      <c r="C80" s="2">
        <f>IFERROR(INDEX(البيانات_الأساسية!A:A, MATCH(67, البيانات_الأساسية!$I:$I, 0)), "")</f>
        <v>0</v>
      </c>
      <c r="D80" s="2">
        <f>IFERROR(INDEX(البيانات_الأساسية!B:B, MATCH(67, البيانات_الأساسية!$I:$I, 0)), "")</f>
        <v>0</v>
      </c>
      <c r="E80" s="2">
        <f>IFERROR(IF($C$5="الكل", INDEX(البيانات_الأساسية!D:D, MATCH(67, البيانات_الأساسية!$I:$I, 0)), INDEX(البيانات_الأساسية!$V:$AG, MATCH(67, البيانات_الأساسية!$I:$I, 0), VALUE($C$5))), "")</f>
        <v>0</v>
      </c>
      <c r="F80" s="2">
        <f>IFERROR(IF($C$5="الكل", INDEX(البيانات_الأساسية!C:C, MATCH(67, البيانات_الأساسية!$I:$I, 0)), INDEX(البيانات_الأساسية!$J:$U, MATCH(67, البيانات_الأساسية!$I:$I, 0), VALUE($C$5))), "")</f>
        <v>0</v>
      </c>
      <c r="G80" s="2">
        <f>IFERROR(ROUND(F80/60, 2), "")</f>
        <v>0</v>
      </c>
      <c r="H80" s="2">
        <f>IFERROR(ROUND(F80/E80, 2), "")</f>
        <v>0</v>
      </c>
      <c r="I80" s="2">
        <f>IFERROR(IF($C$5="الكل", INDEX(البيانات_الأساسية!G:G, MATCH(67, البيانات_الأساسية!$I:$I, 0)), $C$5), "")</f>
        <v>0</v>
      </c>
    </row>
    <row r="81" spans="2:9" s="4" customFormat="1" ht="20" customHeight="1">
      <c r="B81" s="2">
        <f>IF(C81="","", 68)</f>
        <v>0</v>
      </c>
      <c r="C81" s="2">
        <f>IFERROR(INDEX(البيانات_الأساسية!A:A, MATCH(68, البيانات_الأساسية!$I:$I, 0)), "")</f>
        <v>0</v>
      </c>
      <c r="D81" s="2">
        <f>IFERROR(INDEX(البيانات_الأساسية!B:B, MATCH(68, البيانات_الأساسية!$I:$I, 0)), "")</f>
        <v>0</v>
      </c>
      <c r="E81" s="2">
        <f>IFERROR(IF($C$5="الكل", INDEX(البيانات_الأساسية!D:D, MATCH(68, البيانات_الأساسية!$I:$I, 0)), INDEX(البيانات_الأساسية!$V:$AG, MATCH(68, البيانات_الأساسية!$I:$I, 0), VALUE($C$5))), "")</f>
        <v>0</v>
      </c>
      <c r="F81" s="2">
        <f>IFERROR(IF($C$5="الكل", INDEX(البيانات_الأساسية!C:C, MATCH(68, البيانات_الأساسية!$I:$I, 0)), INDEX(البيانات_الأساسية!$J:$U, MATCH(68, البيانات_الأساسية!$I:$I, 0), VALUE($C$5))), "")</f>
        <v>0</v>
      </c>
      <c r="G81" s="2">
        <f>IFERROR(ROUND(F81/60, 2), "")</f>
        <v>0</v>
      </c>
      <c r="H81" s="2">
        <f>IFERROR(ROUND(F81/E81, 2), "")</f>
        <v>0</v>
      </c>
      <c r="I81" s="2">
        <f>IFERROR(IF($C$5="الكل", INDEX(البيانات_الأساسية!G:G, MATCH(68, البيانات_الأساسية!$I:$I, 0)), $C$5), "")</f>
        <v>0</v>
      </c>
    </row>
    <row r="82" spans="2:9" s="4" customFormat="1" ht="20" customHeight="1">
      <c r="B82" s="2">
        <f>IF(C82="","", 69)</f>
        <v>0</v>
      </c>
      <c r="C82" s="2">
        <f>IFERROR(INDEX(البيانات_الأساسية!A:A, MATCH(69, البيانات_الأساسية!$I:$I, 0)), "")</f>
        <v>0</v>
      </c>
      <c r="D82" s="2">
        <f>IFERROR(INDEX(البيانات_الأساسية!B:B, MATCH(69, البيانات_الأساسية!$I:$I, 0)), "")</f>
        <v>0</v>
      </c>
      <c r="E82" s="2">
        <f>IFERROR(IF($C$5="الكل", INDEX(البيانات_الأساسية!D:D, MATCH(69, البيانات_الأساسية!$I:$I, 0)), INDEX(البيانات_الأساسية!$V:$AG, MATCH(69, البيانات_الأساسية!$I:$I, 0), VALUE($C$5))), "")</f>
        <v>0</v>
      </c>
      <c r="F82" s="2">
        <f>IFERROR(IF($C$5="الكل", INDEX(البيانات_الأساسية!C:C, MATCH(69, البيانات_الأساسية!$I:$I, 0)), INDEX(البيانات_الأساسية!$J:$U, MATCH(69, البيانات_الأساسية!$I:$I, 0), VALUE($C$5))), "")</f>
        <v>0</v>
      </c>
      <c r="G82" s="2">
        <f>IFERROR(ROUND(F82/60, 2), "")</f>
        <v>0</v>
      </c>
      <c r="H82" s="2">
        <f>IFERROR(ROUND(F82/E82, 2), "")</f>
        <v>0</v>
      </c>
      <c r="I82" s="2">
        <f>IFERROR(IF($C$5="الكل", INDEX(البيانات_الأساسية!G:G, MATCH(69, البيانات_الأساسية!$I:$I, 0)), $C$5), "")</f>
        <v>0</v>
      </c>
    </row>
    <row r="83" spans="2:9" s="4" customFormat="1" ht="20" customHeight="1">
      <c r="B83" s="2">
        <f>IF(C83="","", 70)</f>
        <v>0</v>
      </c>
      <c r="C83" s="2">
        <f>IFERROR(INDEX(البيانات_الأساسية!A:A, MATCH(70, البيانات_الأساسية!$I:$I, 0)), "")</f>
        <v>0</v>
      </c>
      <c r="D83" s="2">
        <f>IFERROR(INDEX(البيانات_الأساسية!B:B, MATCH(70, البيانات_الأساسية!$I:$I, 0)), "")</f>
        <v>0</v>
      </c>
      <c r="E83" s="2">
        <f>IFERROR(IF($C$5="الكل", INDEX(البيانات_الأساسية!D:D, MATCH(70, البيانات_الأساسية!$I:$I, 0)), INDEX(البيانات_الأساسية!$V:$AG, MATCH(70, البيانات_الأساسية!$I:$I, 0), VALUE($C$5))), "")</f>
        <v>0</v>
      </c>
      <c r="F83" s="2">
        <f>IFERROR(IF($C$5="الكل", INDEX(البيانات_الأساسية!C:C, MATCH(70, البيانات_الأساسية!$I:$I, 0)), INDEX(البيانات_الأساسية!$J:$U, MATCH(70, البيانات_الأساسية!$I:$I, 0), VALUE($C$5))), "")</f>
        <v>0</v>
      </c>
      <c r="G83" s="2">
        <f>IFERROR(ROUND(F83/60, 2), "")</f>
        <v>0</v>
      </c>
      <c r="H83" s="2">
        <f>IFERROR(ROUND(F83/E83, 2), "")</f>
        <v>0</v>
      </c>
      <c r="I83" s="2">
        <f>IFERROR(IF($C$5="الكل", INDEX(البيانات_الأساسية!G:G, MATCH(70, البيانات_الأساسية!$I:$I, 0)), $C$5), "")</f>
        <v>0</v>
      </c>
    </row>
    <row r="84" spans="2:9" s="4" customFormat="1" ht="20" customHeight="1">
      <c r="B84" s="2">
        <f>IF(C84="","", 71)</f>
        <v>0</v>
      </c>
      <c r="C84" s="2">
        <f>IFERROR(INDEX(البيانات_الأساسية!A:A, MATCH(71, البيانات_الأساسية!$I:$I, 0)), "")</f>
        <v>0</v>
      </c>
      <c r="D84" s="2">
        <f>IFERROR(INDEX(البيانات_الأساسية!B:B, MATCH(71, البيانات_الأساسية!$I:$I, 0)), "")</f>
        <v>0</v>
      </c>
      <c r="E84" s="2">
        <f>IFERROR(IF($C$5="الكل", INDEX(البيانات_الأساسية!D:D, MATCH(71, البيانات_الأساسية!$I:$I, 0)), INDEX(البيانات_الأساسية!$V:$AG, MATCH(71, البيانات_الأساسية!$I:$I, 0), VALUE($C$5))), "")</f>
        <v>0</v>
      </c>
      <c r="F84" s="2">
        <f>IFERROR(IF($C$5="الكل", INDEX(البيانات_الأساسية!C:C, MATCH(71, البيانات_الأساسية!$I:$I, 0)), INDEX(البيانات_الأساسية!$J:$U, MATCH(71, البيانات_الأساسية!$I:$I, 0), VALUE($C$5))), "")</f>
        <v>0</v>
      </c>
      <c r="G84" s="2">
        <f>IFERROR(ROUND(F84/60, 2), "")</f>
        <v>0</v>
      </c>
      <c r="H84" s="2">
        <f>IFERROR(ROUND(F84/E84, 2), "")</f>
        <v>0</v>
      </c>
      <c r="I84" s="2">
        <f>IFERROR(IF($C$5="الكل", INDEX(البيانات_الأساسية!G:G, MATCH(71, البيانات_الأساسية!$I:$I, 0)), $C$5), "")</f>
        <v>0</v>
      </c>
    </row>
    <row r="85" spans="2:9" s="4" customFormat="1" ht="20" customHeight="1">
      <c r="B85" s="2">
        <f>IF(C85="","", 72)</f>
        <v>0</v>
      </c>
      <c r="C85" s="2">
        <f>IFERROR(INDEX(البيانات_الأساسية!A:A, MATCH(72, البيانات_الأساسية!$I:$I, 0)), "")</f>
        <v>0</v>
      </c>
      <c r="D85" s="2">
        <f>IFERROR(INDEX(البيانات_الأساسية!B:B, MATCH(72, البيانات_الأساسية!$I:$I, 0)), "")</f>
        <v>0</v>
      </c>
      <c r="E85" s="2">
        <f>IFERROR(IF($C$5="الكل", INDEX(البيانات_الأساسية!D:D, MATCH(72, البيانات_الأساسية!$I:$I, 0)), INDEX(البيانات_الأساسية!$V:$AG, MATCH(72, البيانات_الأساسية!$I:$I, 0), VALUE($C$5))), "")</f>
        <v>0</v>
      </c>
      <c r="F85" s="2">
        <f>IFERROR(IF($C$5="الكل", INDEX(البيانات_الأساسية!C:C, MATCH(72, البيانات_الأساسية!$I:$I, 0)), INDEX(البيانات_الأساسية!$J:$U, MATCH(72, البيانات_الأساسية!$I:$I, 0), VALUE($C$5))), "")</f>
        <v>0</v>
      </c>
      <c r="G85" s="2">
        <f>IFERROR(ROUND(F85/60, 2), "")</f>
        <v>0</v>
      </c>
      <c r="H85" s="2">
        <f>IFERROR(ROUND(F85/E85, 2), "")</f>
        <v>0</v>
      </c>
      <c r="I85" s="2">
        <f>IFERROR(IF($C$5="الكل", INDEX(البيانات_الأساسية!G:G, MATCH(72, البيانات_الأساسية!$I:$I, 0)), $C$5), "")</f>
        <v>0</v>
      </c>
    </row>
    <row r="86" spans="2:9" s="4" customFormat="1" ht="20" customHeight="1">
      <c r="B86" s="2">
        <f>IF(C86="","", 73)</f>
        <v>0</v>
      </c>
      <c r="C86" s="2">
        <f>IFERROR(INDEX(البيانات_الأساسية!A:A, MATCH(73, البيانات_الأساسية!$I:$I, 0)), "")</f>
        <v>0</v>
      </c>
      <c r="D86" s="2">
        <f>IFERROR(INDEX(البيانات_الأساسية!B:B, MATCH(73, البيانات_الأساسية!$I:$I, 0)), "")</f>
        <v>0</v>
      </c>
      <c r="E86" s="2">
        <f>IFERROR(IF($C$5="الكل", INDEX(البيانات_الأساسية!D:D, MATCH(73, البيانات_الأساسية!$I:$I, 0)), INDEX(البيانات_الأساسية!$V:$AG, MATCH(73, البيانات_الأساسية!$I:$I, 0), VALUE($C$5))), "")</f>
        <v>0</v>
      </c>
      <c r="F86" s="2">
        <f>IFERROR(IF($C$5="الكل", INDEX(البيانات_الأساسية!C:C, MATCH(73, البيانات_الأساسية!$I:$I, 0)), INDEX(البيانات_الأساسية!$J:$U, MATCH(73, البيانات_الأساسية!$I:$I, 0), VALUE($C$5))), "")</f>
        <v>0</v>
      </c>
      <c r="G86" s="2">
        <f>IFERROR(ROUND(F86/60, 2), "")</f>
        <v>0</v>
      </c>
      <c r="H86" s="2">
        <f>IFERROR(ROUND(F86/E86, 2), "")</f>
        <v>0</v>
      </c>
      <c r="I86" s="2">
        <f>IFERROR(IF($C$5="الكل", INDEX(البيانات_الأساسية!G:G, MATCH(73, البيانات_الأساسية!$I:$I, 0)), $C$5), "")</f>
        <v>0</v>
      </c>
    </row>
    <row r="87" spans="2:9" s="4" customFormat="1" ht="20" customHeight="1">
      <c r="B87" s="2">
        <f>IF(C87="","", 74)</f>
        <v>0</v>
      </c>
      <c r="C87" s="2">
        <f>IFERROR(INDEX(البيانات_الأساسية!A:A, MATCH(74, البيانات_الأساسية!$I:$I, 0)), "")</f>
        <v>0</v>
      </c>
      <c r="D87" s="2">
        <f>IFERROR(INDEX(البيانات_الأساسية!B:B, MATCH(74, البيانات_الأساسية!$I:$I, 0)), "")</f>
        <v>0</v>
      </c>
      <c r="E87" s="2">
        <f>IFERROR(IF($C$5="الكل", INDEX(البيانات_الأساسية!D:D, MATCH(74, البيانات_الأساسية!$I:$I, 0)), INDEX(البيانات_الأساسية!$V:$AG, MATCH(74, البيانات_الأساسية!$I:$I, 0), VALUE($C$5))), "")</f>
        <v>0</v>
      </c>
      <c r="F87" s="2">
        <f>IFERROR(IF($C$5="الكل", INDEX(البيانات_الأساسية!C:C, MATCH(74, البيانات_الأساسية!$I:$I, 0)), INDEX(البيانات_الأساسية!$J:$U, MATCH(74, البيانات_الأساسية!$I:$I, 0), VALUE($C$5))), "")</f>
        <v>0</v>
      </c>
      <c r="G87" s="2">
        <f>IFERROR(ROUND(F87/60, 2), "")</f>
        <v>0</v>
      </c>
      <c r="H87" s="2">
        <f>IFERROR(ROUND(F87/E87, 2), "")</f>
        <v>0</v>
      </c>
      <c r="I87" s="2">
        <f>IFERROR(IF($C$5="الكل", INDEX(البيانات_الأساسية!G:G, MATCH(74, البيانات_الأساسية!$I:$I, 0)), $C$5), "")</f>
        <v>0</v>
      </c>
    </row>
    <row r="88" spans="2:9" s="4" customFormat="1" ht="20" customHeight="1">
      <c r="B88" s="2">
        <f>IF(C88="","", 75)</f>
        <v>0</v>
      </c>
      <c r="C88" s="2">
        <f>IFERROR(INDEX(البيانات_الأساسية!A:A, MATCH(75, البيانات_الأساسية!$I:$I, 0)), "")</f>
        <v>0</v>
      </c>
      <c r="D88" s="2">
        <f>IFERROR(INDEX(البيانات_الأساسية!B:B, MATCH(75, البيانات_الأساسية!$I:$I, 0)), "")</f>
        <v>0</v>
      </c>
      <c r="E88" s="2">
        <f>IFERROR(IF($C$5="الكل", INDEX(البيانات_الأساسية!D:D, MATCH(75, البيانات_الأساسية!$I:$I, 0)), INDEX(البيانات_الأساسية!$V:$AG, MATCH(75, البيانات_الأساسية!$I:$I, 0), VALUE($C$5))), "")</f>
        <v>0</v>
      </c>
      <c r="F88" s="2">
        <f>IFERROR(IF($C$5="الكل", INDEX(البيانات_الأساسية!C:C, MATCH(75, البيانات_الأساسية!$I:$I, 0)), INDEX(البيانات_الأساسية!$J:$U, MATCH(75, البيانات_الأساسية!$I:$I, 0), VALUE($C$5))), "")</f>
        <v>0</v>
      </c>
      <c r="G88" s="2">
        <f>IFERROR(ROUND(F88/60, 2), "")</f>
        <v>0</v>
      </c>
      <c r="H88" s="2">
        <f>IFERROR(ROUND(F88/E88, 2), "")</f>
        <v>0</v>
      </c>
      <c r="I88" s="2">
        <f>IFERROR(IF($C$5="الكل", INDEX(البيانات_الأساسية!G:G, MATCH(75, البيانات_الأساسية!$I:$I, 0)), $C$5), "")</f>
        <v>0</v>
      </c>
    </row>
    <row r="89" spans="2:9" s="4" customFormat="1" ht="20" customHeight="1">
      <c r="B89" s="2">
        <f>IF(C89="","", 76)</f>
        <v>0</v>
      </c>
      <c r="C89" s="2">
        <f>IFERROR(INDEX(البيانات_الأساسية!A:A, MATCH(76, البيانات_الأساسية!$I:$I, 0)), "")</f>
        <v>0</v>
      </c>
      <c r="D89" s="2">
        <f>IFERROR(INDEX(البيانات_الأساسية!B:B, MATCH(76, البيانات_الأساسية!$I:$I, 0)), "")</f>
        <v>0</v>
      </c>
      <c r="E89" s="2">
        <f>IFERROR(IF($C$5="الكل", INDEX(البيانات_الأساسية!D:D, MATCH(76, البيانات_الأساسية!$I:$I, 0)), INDEX(البيانات_الأساسية!$V:$AG, MATCH(76, البيانات_الأساسية!$I:$I, 0), VALUE($C$5))), "")</f>
        <v>0</v>
      </c>
      <c r="F89" s="2">
        <f>IFERROR(IF($C$5="الكل", INDEX(البيانات_الأساسية!C:C, MATCH(76, البيانات_الأساسية!$I:$I, 0)), INDEX(البيانات_الأساسية!$J:$U, MATCH(76, البيانات_الأساسية!$I:$I, 0), VALUE($C$5))), "")</f>
        <v>0</v>
      </c>
      <c r="G89" s="2">
        <f>IFERROR(ROUND(F89/60, 2), "")</f>
        <v>0</v>
      </c>
      <c r="H89" s="2">
        <f>IFERROR(ROUND(F89/E89, 2), "")</f>
        <v>0</v>
      </c>
      <c r="I89" s="2">
        <f>IFERROR(IF($C$5="الكل", INDEX(البيانات_الأساسية!G:G, MATCH(76, البيانات_الأساسية!$I:$I, 0)), $C$5), "")</f>
        <v>0</v>
      </c>
    </row>
    <row r="90" spans="2:9" s="4" customFormat="1" ht="20" customHeight="1">
      <c r="B90" s="2">
        <f>IF(C90="","", 77)</f>
        <v>0</v>
      </c>
      <c r="C90" s="2">
        <f>IFERROR(INDEX(البيانات_الأساسية!A:A, MATCH(77, البيانات_الأساسية!$I:$I, 0)), "")</f>
        <v>0</v>
      </c>
      <c r="D90" s="2">
        <f>IFERROR(INDEX(البيانات_الأساسية!B:B, MATCH(77, البيانات_الأساسية!$I:$I, 0)), "")</f>
        <v>0</v>
      </c>
      <c r="E90" s="2">
        <f>IFERROR(IF($C$5="الكل", INDEX(البيانات_الأساسية!D:D, MATCH(77, البيانات_الأساسية!$I:$I, 0)), INDEX(البيانات_الأساسية!$V:$AG, MATCH(77, البيانات_الأساسية!$I:$I, 0), VALUE($C$5))), "")</f>
        <v>0</v>
      </c>
      <c r="F90" s="2">
        <f>IFERROR(IF($C$5="الكل", INDEX(البيانات_الأساسية!C:C, MATCH(77, البيانات_الأساسية!$I:$I, 0)), INDEX(البيانات_الأساسية!$J:$U, MATCH(77, البيانات_الأساسية!$I:$I, 0), VALUE($C$5))), "")</f>
        <v>0</v>
      </c>
      <c r="G90" s="2">
        <f>IFERROR(ROUND(F90/60, 2), "")</f>
        <v>0</v>
      </c>
      <c r="H90" s="2">
        <f>IFERROR(ROUND(F90/E90, 2), "")</f>
        <v>0</v>
      </c>
      <c r="I90" s="2">
        <f>IFERROR(IF($C$5="الكل", INDEX(البيانات_الأساسية!G:G, MATCH(77, البيانات_الأساسية!$I:$I, 0)), $C$5), "")</f>
        <v>0</v>
      </c>
    </row>
    <row r="91" spans="2:9" s="4" customFormat="1" ht="20" customHeight="1">
      <c r="B91" s="2">
        <f>IF(C91="","", 78)</f>
        <v>0</v>
      </c>
      <c r="C91" s="2">
        <f>IFERROR(INDEX(البيانات_الأساسية!A:A, MATCH(78, البيانات_الأساسية!$I:$I, 0)), "")</f>
        <v>0</v>
      </c>
      <c r="D91" s="2">
        <f>IFERROR(INDEX(البيانات_الأساسية!B:B, MATCH(78, البيانات_الأساسية!$I:$I, 0)), "")</f>
        <v>0</v>
      </c>
      <c r="E91" s="2">
        <f>IFERROR(IF($C$5="الكل", INDEX(البيانات_الأساسية!D:D, MATCH(78, البيانات_الأساسية!$I:$I, 0)), INDEX(البيانات_الأساسية!$V:$AG, MATCH(78, البيانات_الأساسية!$I:$I, 0), VALUE($C$5))), "")</f>
        <v>0</v>
      </c>
      <c r="F91" s="2">
        <f>IFERROR(IF($C$5="الكل", INDEX(البيانات_الأساسية!C:C, MATCH(78, البيانات_الأساسية!$I:$I, 0)), INDEX(البيانات_الأساسية!$J:$U, MATCH(78, البيانات_الأساسية!$I:$I, 0), VALUE($C$5))), "")</f>
        <v>0</v>
      </c>
      <c r="G91" s="2">
        <f>IFERROR(ROUND(F91/60, 2), "")</f>
        <v>0</v>
      </c>
      <c r="H91" s="2">
        <f>IFERROR(ROUND(F91/E91, 2), "")</f>
        <v>0</v>
      </c>
      <c r="I91" s="2">
        <f>IFERROR(IF($C$5="الكل", INDEX(البيانات_الأساسية!G:G, MATCH(78, البيانات_الأساسية!$I:$I, 0)), $C$5), "")</f>
        <v>0</v>
      </c>
    </row>
    <row r="92" spans="2:9" s="4" customFormat="1" ht="20" customHeight="1">
      <c r="B92" s="2">
        <f>IF(C92="","", 79)</f>
        <v>0</v>
      </c>
      <c r="C92" s="2">
        <f>IFERROR(INDEX(البيانات_الأساسية!A:A, MATCH(79, البيانات_الأساسية!$I:$I, 0)), "")</f>
        <v>0</v>
      </c>
      <c r="D92" s="2">
        <f>IFERROR(INDEX(البيانات_الأساسية!B:B, MATCH(79, البيانات_الأساسية!$I:$I, 0)), "")</f>
        <v>0</v>
      </c>
      <c r="E92" s="2">
        <f>IFERROR(IF($C$5="الكل", INDEX(البيانات_الأساسية!D:D, MATCH(79, البيانات_الأساسية!$I:$I, 0)), INDEX(البيانات_الأساسية!$V:$AG, MATCH(79, البيانات_الأساسية!$I:$I, 0), VALUE($C$5))), "")</f>
        <v>0</v>
      </c>
      <c r="F92" s="2">
        <f>IFERROR(IF($C$5="الكل", INDEX(البيانات_الأساسية!C:C, MATCH(79, البيانات_الأساسية!$I:$I, 0)), INDEX(البيانات_الأساسية!$J:$U, MATCH(79, البيانات_الأساسية!$I:$I, 0), VALUE($C$5))), "")</f>
        <v>0</v>
      </c>
      <c r="G92" s="2">
        <f>IFERROR(ROUND(F92/60, 2), "")</f>
        <v>0</v>
      </c>
      <c r="H92" s="2">
        <f>IFERROR(ROUND(F92/E92, 2), "")</f>
        <v>0</v>
      </c>
      <c r="I92" s="2">
        <f>IFERROR(IF($C$5="الكل", INDEX(البيانات_الأساسية!G:G, MATCH(79, البيانات_الأساسية!$I:$I, 0)), $C$5), "")</f>
        <v>0</v>
      </c>
    </row>
    <row r="93" spans="2:9" s="4" customFormat="1" ht="20" customHeight="1">
      <c r="B93" s="2">
        <f>IF(C93="","", 80)</f>
        <v>0</v>
      </c>
      <c r="C93" s="2">
        <f>IFERROR(INDEX(البيانات_الأساسية!A:A, MATCH(80, البيانات_الأساسية!$I:$I, 0)), "")</f>
        <v>0</v>
      </c>
      <c r="D93" s="2">
        <f>IFERROR(INDEX(البيانات_الأساسية!B:B, MATCH(80, البيانات_الأساسية!$I:$I, 0)), "")</f>
        <v>0</v>
      </c>
      <c r="E93" s="2">
        <f>IFERROR(IF($C$5="الكل", INDEX(البيانات_الأساسية!D:D, MATCH(80, البيانات_الأساسية!$I:$I, 0)), INDEX(البيانات_الأساسية!$V:$AG, MATCH(80, البيانات_الأساسية!$I:$I, 0), VALUE($C$5))), "")</f>
        <v>0</v>
      </c>
      <c r="F93" s="2">
        <f>IFERROR(IF($C$5="الكل", INDEX(البيانات_الأساسية!C:C, MATCH(80, البيانات_الأساسية!$I:$I, 0)), INDEX(البيانات_الأساسية!$J:$U, MATCH(80, البيانات_الأساسية!$I:$I, 0), VALUE($C$5))), "")</f>
        <v>0</v>
      </c>
      <c r="G93" s="2">
        <f>IFERROR(ROUND(F93/60, 2), "")</f>
        <v>0</v>
      </c>
      <c r="H93" s="2">
        <f>IFERROR(ROUND(F93/E93, 2), "")</f>
        <v>0</v>
      </c>
      <c r="I93" s="2">
        <f>IFERROR(IF($C$5="الكل", INDEX(البيانات_الأساسية!G:G, MATCH(80, البيانات_الأساسية!$I:$I, 0)), $C$5), "")</f>
        <v>0</v>
      </c>
    </row>
    <row r="94" spans="2:9" s="4" customFormat="1" ht="20" customHeight="1">
      <c r="B94" s="2">
        <f>IF(C94="","", 81)</f>
        <v>0</v>
      </c>
      <c r="C94" s="2">
        <f>IFERROR(INDEX(البيانات_الأساسية!A:A, MATCH(81, البيانات_الأساسية!$I:$I, 0)), "")</f>
        <v>0</v>
      </c>
      <c r="D94" s="2">
        <f>IFERROR(INDEX(البيانات_الأساسية!B:B, MATCH(81, البيانات_الأساسية!$I:$I, 0)), "")</f>
        <v>0</v>
      </c>
      <c r="E94" s="2">
        <f>IFERROR(IF($C$5="الكل", INDEX(البيانات_الأساسية!D:D, MATCH(81, البيانات_الأساسية!$I:$I, 0)), INDEX(البيانات_الأساسية!$V:$AG, MATCH(81, البيانات_الأساسية!$I:$I, 0), VALUE($C$5))), "")</f>
        <v>0</v>
      </c>
      <c r="F94" s="2">
        <f>IFERROR(IF($C$5="الكل", INDEX(البيانات_الأساسية!C:C, MATCH(81, البيانات_الأساسية!$I:$I, 0)), INDEX(البيانات_الأساسية!$J:$U, MATCH(81, البيانات_الأساسية!$I:$I, 0), VALUE($C$5))), "")</f>
        <v>0</v>
      </c>
      <c r="G94" s="2">
        <f>IFERROR(ROUND(F94/60, 2), "")</f>
        <v>0</v>
      </c>
      <c r="H94" s="2">
        <f>IFERROR(ROUND(F94/E94, 2), "")</f>
        <v>0</v>
      </c>
      <c r="I94" s="2">
        <f>IFERROR(IF($C$5="الكل", INDEX(البيانات_الأساسية!G:G, MATCH(81, البيانات_الأساسية!$I:$I, 0)), $C$5), "")</f>
        <v>0</v>
      </c>
    </row>
    <row r="95" spans="2:9" s="4" customFormat="1" ht="20" customHeight="1">
      <c r="B95" s="2">
        <f>IF(C95="","", 82)</f>
        <v>0</v>
      </c>
      <c r="C95" s="2">
        <f>IFERROR(INDEX(البيانات_الأساسية!A:A, MATCH(82, البيانات_الأساسية!$I:$I, 0)), "")</f>
        <v>0</v>
      </c>
      <c r="D95" s="2">
        <f>IFERROR(INDEX(البيانات_الأساسية!B:B, MATCH(82, البيانات_الأساسية!$I:$I, 0)), "")</f>
        <v>0</v>
      </c>
      <c r="E95" s="2">
        <f>IFERROR(IF($C$5="الكل", INDEX(البيانات_الأساسية!D:D, MATCH(82, البيانات_الأساسية!$I:$I, 0)), INDEX(البيانات_الأساسية!$V:$AG, MATCH(82, البيانات_الأساسية!$I:$I, 0), VALUE($C$5))), "")</f>
        <v>0</v>
      </c>
      <c r="F95" s="2">
        <f>IFERROR(IF($C$5="الكل", INDEX(البيانات_الأساسية!C:C, MATCH(82, البيانات_الأساسية!$I:$I, 0)), INDEX(البيانات_الأساسية!$J:$U, MATCH(82, البيانات_الأساسية!$I:$I, 0), VALUE($C$5))), "")</f>
        <v>0</v>
      </c>
      <c r="G95" s="2">
        <f>IFERROR(ROUND(F95/60, 2), "")</f>
        <v>0</v>
      </c>
      <c r="H95" s="2">
        <f>IFERROR(ROUND(F95/E95, 2), "")</f>
        <v>0</v>
      </c>
      <c r="I95" s="2">
        <f>IFERROR(IF($C$5="الكل", INDEX(البيانات_الأساسية!G:G, MATCH(82, البيانات_الأساسية!$I:$I, 0)), $C$5), "")</f>
        <v>0</v>
      </c>
    </row>
    <row r="96" spans="2:9" s="4" customFormat="1" ht="20" customHeight="1">
      <c r="B96" s="2">
        <f>IF(C96="","", 83)</f>
        <v>0</v>
      </c>
      <c r="C96" s="2">
        <f>IFERROR(INDEX(البيانات_الأساسية!A:A, MATCH(83, البيانات_الأساسية!$I:$I, 0)), "")</f>
        <v>0</v>
      </c>
      <c r="D96" s="2">
        <f>IFERROR(INDEX(البيانات_الأساسية!B:B, MATCH(83, البيانات_الأساسية!$I:$I, 0)), "")</f>
        <v>0</v>
      </c>
      <c r="E96" s="2">
        <f>IFERROR(IF($C$5="الكل", INDEX(البيانات_الأساسية!D:D, MATCH(83, البيانات_الأساسية!$I:$I, 0)), INDEX(البيانات_الأساسية!$V:$AG, MATCH(83, البيانات_الأساسية!$I:$I, 0), VALUE($C$5))), "")</f>
        <v>0</v>
      </c>
      <c r="F96" s="2">
        <f>IFERROR(IF($C$5="الكل", INDEX(البيانات_الأساسية!C:C, MATCH(83, البيانات_الأساسية!$I:$I, 0)), INDEX(البيانات_الأساسية!$J:$U, MATCH(83, البيانات_الأساسية!$I:$I, 0), VALUE($C$5))), "")</f>
        <v>0</v>
      </c>
      <c r="G96" s="2">
        <f>IFERROR(ROUND(F96/60, 2), "")</f>
        <v>0</v>
      </c>
      <c r="H96" s="2">
        <f>IFERROR(ROUND(F96/E96, 2), "")</f>
        <v>0</v>
      </c>
      <c r="I96" s="2">
        <f>IFERROR(IF($C$5="الكل", INDEX(البيانات_الأساسية!G:G, MATCH(83, البيانات_الأساسية!$I:$I, 0)), $C$5), "")</f>
        <v>0</v>
      </c>
    </row>
    <row r="97" spans="2:27" s="4" customFormat="1" ht="20" customHeight="1">
      <c r="B97" s="2">
        <f>IF(C97="","", 84)</f>
        <v>0</v>
      </c>
      <c r="C97" s="2">
        <f>IFERROR(INDEX(البيانات_الأساسية!A:A, MATCH(84, البيانات_الأساسية!$I:$I, 0)), "")</f>
        <v>0</v>
      </c>
      <c r="D97" s="2">
        <f>IFERROR(INDEX(البيانات_الأساسية!B:B, MATCH(84, البيانات_الأساسية!$I:$I, 0)), "")</f>
        <v>0</v>
      </c>
      <c r="E97" s="2">
        <f>IFERROR(IF($C$5="الكل", INDEX(البيانات_الأساسية!D:D, MATCH(84, البيانات_الأساسية!$I:$I, 0)), INDEX(البيانات_الأساسية!$V:$AG, MATCH(84, البيانات_الأساسية!$I:$I, 0), VALUE($C$5))), "")</f>
        <v>0</v>
      </c>
      <c r="F97" s="2">
        <f>IFERROR(IF($C$5="الكل", INDEX(البيانات_الأساسية!C:C, MATCH(84, البيانات_الأساسية!$I:$I, 0)), INDEX(البيانات_الأساسية!$J:$U, MATCH(84, البيانات_الأساسية!$I:$I, 0), VALUE($C$5))), "")</f>
        <v>0</v>
      </c>
      <c r="G97" s="2">
        <f>IFERROR(ROUND(F97/60, 2), "")</f>
        <v>0</v>
      </c>
      <c r="H97" s="2">
        <f>IFERROR(ROUND(F97/E97, 2), "")</f>
        <v>0</v>
      </c>
      <c r="I97" s="2">
        <f>IFERROR(IF($C$5="الكل", INDEX(البيانات_الأساسية!G:G, MATCH(84, البيانات_الأساسية!$I:$I, 0)), $C$5), "")</f>
        <v>0</v>
      </c>
    </row>
    <row r="98" spans="2:27" s="4" customFormat="1" ht="20" customHeight="1">
      <c r="B98" s="2">
        <f>IF(C98="","", 85)</f>
        <v>0</v>
      </c>
      <c r="C98" s="2">
        <f>IFERROR(INDEX(البيانات_الأساسية!A:A, MATCH(85, البيانات_الأساسية!$I:$I, 0)), "")</f>
        <v>0</v>
      </c>
      <c r="D98" s="2">
        <f>IFERROR(INDEX(البيانات_الأساسية!B:B, MATCH(85, البيانات_الأساسية!$I:$I, 0)), "")</f>
        <v>0</v>
      </c>
      <c r="E98" s="2">
        <f>IFERROR(IF($C$5="الكل", INDEX(البيانات_الأساسية!D:D, MATCH(85, البيانات_الأساسية!$I:$I, 0)), INDEX(البيانات_الأساسية!$V:$AG, MATCH(85, البيانات_الأساسية!$I:$I, 0), VALUE($C$5))), "")</f>
        <v>0</v>
      </c>
      <c r="F98" s="2">
        <f>IFERROR(IF($C$5="الكل", INDEX(البيانات_الأساسية!C:C, MATCH(85, البيانات_الأساسية!$I:$I, 0)), INDEX(البيانات_الأساسية!$J:$U, MATCH(85, البيانات_الأساسية!$I:$I, 0), VALUE($C$5))), "")</f>
        <v>0</v>
      </c>
      <c r="G98" s="2">
        <f>IFERROR(ROUND(F98/60, 2), "")</f>
        <v>0</v>
      </c>
      <c r="H98" s="2">
        <f>IFERROR(ROUND(F98/E98, 2), "")</f>
        <v>0</v>
      </c>
      <c r="I98" s="2">
        <f>IFERROR(IF($C$5="الكل", INDEX(البيانات_الأساسية!G:G, MATCH(85, البيانات_الأساسية!$I:$I, 0)), $C$5), "")</f>
        <v>0</v>
      </c>
    </row>
    <row r="99" spans="2:27" s="4" customFormat="1" ht="20" customHeight="1">
      <c r="B99" s="2">
        <f>IF(C99="","", 86)</f>
        <v>0</v>
      </c>
      <c r="C99" s="2">
        <f>IFERROR(INDEX(البيانات_الأساسية!A:A, MATCH(86, البيانات_الأساسية!$I:$I, 0)), "")</f>
        <v>0</v>
      </c>
      <c r="D99" s="2">
        <f>IFERROR(INDEX(البيانات_الأساسية!B:B, MATCH(86, البيانات_الأساسية!$I:$I, 0)), "")</f>
        <v>0</v>
      </c>
      <c r="E99" s="2">
        <f>IFERROR(IF($C$5="الكل", INDEX(البيانات_الأساسية!D:D, MATCH(86, البيانات_الأساسية!$I:$I, 0)), INDEX(البيانات_الأساسية!$V:$AG, MATCH(86, البيانات_الأساسية!$I:$I, 0), VALUE($C$5))), "")</f>
        <v>0</v>
      </c>
      <c r="F99" s="2">
        <f>IFERROR(IF($C$5="الكل", INDEX(البيانات_الأساسية!C:C, MATCH(86, البيانات_الأساسية!$I:$I, 0)), INDEX(البيانات_الأساسية!$J:$U, MATCH(86, البيانات_الأساسية!$I:$I, 0), VALUE($C$5))), "")</f>
        <v>0</v>
      </c>
      <c r="G99" s="2">
        <f>IFERROR(ROUND(F99/60, 2), "")</f>
        <v>0</v>
      </c>
      <c r="H99" s="2">
        <f>IFERROR(ROUND(F99/E99, 2), "")</f>
        <v>0</v>
      </c>
      <c r="I99" s="2">
        <f>IFERROR(IF($C$5="الكل", INDEX(البيانات_الأساسية!G:G, MATCH(86, البيانات_الأساسية!$I:$I, 0)), $C$5), "")</f>
        <v>0</v>
      </c>
    </row>
    <row r="100" spans="2:27" s="4" customFormat="1" ht="20" customHeight="1">
      <c r="B100" s="2">
        <f>IF(C100="","", 87)</f>
        <v>0</v>
      </c>
      <c r="C100" s="2">
        <f>IFERROR(INDEX(البيانات_الأساسية!A:A, MATCH(87, البيانات_الأساسية!$I:$I, 0)), "")</f>
        <v>0</v>
      </c>
      <c r="D100" s="2">
        <f>IFERROR(INDEX(البيانات_الأساسية!B:B, MATCH(87, البيانات_الأساسية!$I:$I, 0)), "")</f>
        <v>0</v>
      </c>
      <c r="E100" s="2">
        <f>IFERROR(IF($C$5="الكل", INDEX(البيانات_الأساسية!D:D, MATCH(87, البيانات_الأساسية!$I:$I, 0)), INDEX(البيانات_الأساسية!$V:$AG, MATCH(87, البيانات_الأساسية!$I:$I, 0), VALUE($C$5))), "")</f>
        <v>0</v>
      </c>
      <c r="F100" s="2">
        <f>IFERROR(IF($C$5="الكل", INDEX(البيانات_الأساسية!C:C, MATCH(87, البيانات_الأساسية!$I:$I, 0)), INDEX(البيانات_الأساسية!$J:$U, MATCH(87, البيانات_الأساسية!$I:$I, 0), VALUE($C$5))), "")</f>
        <v>0</v>
      </c>
      <c r="G100" s="2">
        <f>IFERROR(ROUND(F100/60, 2), "")</f>
        <v>0</v>
      </c>
      <c r="H100" s="2">
        <f>IFERROR(ROUND(F100/E100, 2), "")</f>
        <v>0</v>
      </c>
      <c r="I100" s="2">
        <f>IFERROR(IF($C$5="الكل", INDEX(البيانات_الأساسية!G:G, MATCH(87, البيانات_الأساسية!$I:$I, 0)), $C$5), "")</f>
        <v>0</v>
      </c>
      <c r="Z100" s="4" t="s">
        <v>722</v>
      </c>
      <c r="AA100" s="4">
        <f>IF($C$5="الكل", SUMIFS(البيانات_الأساسية!AH:AH, البيانات_الأساسية!H:H, 1), SUMIFS(INDEX(البيانات_الأساسية!$AO:$AZ, 0, VALUE($C$5)), البيانات_الأساسية!H:H, 1))</f>
        <v>0</v>
      </c>
    </row>
    <row r="101" spans="2:27" s="4" customFormat="1" ht="20" customHeight="1">
      <c r="B101" s="2">
        <f>IF(C101="","", 88)</f>
        <v>0</v>
      </c>
      <c r="C101" s="2">
        <f>IFERROR(INDEX(البيانات_الأساسية!A:A, MATCH(88, البيانات_الأساسية!$I:$I, 0)), "")</f>
        <v>0</v>
      </c>
      <c r="D101" s="2">
        <f>IFERROR(INDEX(البيانات_الأساسية!B:B, MATCH(88, البيانات_الأساسية!$I:$I, 0)), "")</f>
        <v>0</v>
      </c>
      <c r="E101" s="2">
        <f>IFERROR(IF($C$5="الكل", INDEX(البيانات_الأساسية!D:D, MATCH(88, البيانات_الأساسية!$I:$I, 0)), INDEX(البيانات_الأساسية!$V:$AG, MATCH(88, البيانات_الأساسية!$I:$I, 0), VALUE($C$5))), "")</f>
        <v>0</v>
      </c>
      <c r="F101" s="2">
        <f>IFERROR(IF($C$5="الكل", INDEX(البيانات_الأساسية!C:C, MATCH(88, البيانات_الأساسية!$I:$I, 0)), INDEX(البيانات_الأساسية!$J:$U, MATCH(88, البيانات_الأساسية!$I:$I, 0), VALUE($C$5))), "")</f>
        <v>0</v>
      </c>
      <c r="G101" s="2">
        <f>IFERROR(ROUND(F101/60, 2), "")</f>
        <v>0</v>
      </c>
      <c r="H101" s="2">
        <f>IFERROR(ROUND(F101/E101, 2), "")</f>
        <v>0</v>
      </c>
      <c r="I101" s="2">
        <f>IFERROR(IF($C$5="الكل", INDEX(البيانات_الأساسية!G:G, MATCH(88, البيانات_الأساسية!$I:$I, 0)), $C$5), "")</f>
        <v>0</v>
      </c>
      <c r="Z101" s="4" t="s">
        <v>710</v>
      </c>
      <c r="AA101" s="4">
        <f>IF($C$5="الكل", SUMIFS(البيانات_الأساسية!AI:AI, البيانات_الأساسية!H:H, 1), SUMIFS(INDEX(البيانات_الأساسية!$BA:$BL, 0, VALUE($C$5)), البيانات_الأساسية!H:H, 1))</f>
        <v>0</v>
      </c>
    </row>
    <row r="102" spans="2:27" s="4" customFormat="1" ht="20" customHeight="1">
      <c r="B102" s="2">
        <f>IF(C102="","", 89)</f>
        <v>0</v>
      </c>
      <c r="C102" s="2">
        <f>IFERROR(INDEX(البيانات_الأساسية!A:A, MATCH(89, البيانات_الأساسية!$I:$I, 0)), "")</f>
        <v>0</v>
      </c>
      <c r="D102" s="2">
        <f>IFERROR(INDEX(البيانات_الأساسية!B:B, MATCH(89, البيانات_الأساسية!$I:$I, 0)), "")</f>
        <v>0</v>
      </c>
      <c r="E102" s="2">
        <f>IFERROR(IF($C$5="الكل", INDEX(البيانات_الأساسية!D:D, MATCH(89, البيانات_الأساسية!$I:$I, 0)), INDEX(البيانات_الأساسية!$V:$AG, MATCH(89, البيانات_الأساسية!$I:$I, 0), VALUE($C$5))), "")</f>
        <v>0</v>
      </c>
      <c r="F102" s="2">
        <f>IFERROR(IF($C$5="الكل", INDEX(البيانات_الأساسية!C:C, MATCH(89, البيانات_الأساسية!$I:$I, 0)), INDEX(البيانات_الأساسية!$J:$U, MATCH(89, البيانات_الأساسية!$I:$I, 0), VALUE($C$5))), "")</f>
        <v>0</v>
      </c>
      <c r="G102" s="2">
        <f>IFERROR(ROUND(F102/60, 2), "")</f>
        <v>0</v>
      </c>
      <c r="H102" s="2">
        <f>IFERROR(ROUND(F102/E102, 2), "")</f>
        <v>0</v>
      </c>
      <c r="I102" s="2">
        <f>IFERROR(IF($C$5="الكل", INDEX(البيانات_الأساسية!G:G, MATCH(89, البيانات_الأساسية!$I:$I, 0)), $C$5), "")</f>
        <v>0</v>
      </c>
      <c r="Z102" s="4" t="s">
        <v>720</v>
      </c>
      <c r="AA102" s="4">
        <f>IF($C$5="الكل", SUMIFS(البيانات_الأساسية!AJ:AJ, البيانات_الأساسية!H:H, 1), SUMIFS(INDEX(البيانات_الأساسية!$BM:$BX, 0, VALUE($C$5)), البيانات_الأساسية!H:H, 1))</f>
        <v>0</v>
      </c>
    </row>
    <row r="103" spans="2:27" s="4" customFormat="1" ht="20" customHeight="1">
      <c r="B103" s="2">
        <f>IF(C103="","", 90)</f>
        <v>0</v>
      </c>
      <c r="C103" s="2">
        <f>IFERROR(INDEX(البيانات_الأساسية!A:A, MATCH(90, البيانات_الأساسية!$I:$I, 0)), "")</f>
        <v>0</v>
      </c>
      <c r="D103" s="2">
        <f>IFERROR(INDEX(البيانات_الأساسية!B:B, MATCH(90, البيانات_الأساسية!$I:$I, 0)), "")</f>
        <v>0</v>
      </c>
      <c r="E103" s="2">
        <f>IFERROR(IF($C$5="الكل", INDEX(البيانات_الأساسية!D:D, MATCH(90, البيانات_الأساسية!$I:$I, 0)), INDEX(البيانات_الأساسية!$V:$AG, MATCH(90, البيانات_الأساسية!$I:$I, 0), VALUE($C$5))), "")</f>
        <v>0</v>
      </c>
      <c r="F103" s="2">
        <f>IFERROR(IF($C$5="الكل", INDEX(البيانات_الأساسية!C:C, MATCH(90, البيانات_الأساسية!$I:$I, 0)), INDEX(البيانات_الأساسية!$J:$U, MATCH(90, البيانات_الأساسية!$I:$I, 0), VALUE($C$5))), "")</f>
        <v>0</v>
      </c>
      <c r="G103" s="2">
        <f>IFERROR(ROUND(F103/60, 2), "")</f>
        <v>0</v>
      </c>
      <c r="H103" s="2">
        <f>IFERROR(ROUND(F103/E103, 2), "")</f>
        <v>0</v>
      </c>
      <c r="I103" s="2">
        <f>IFERROR(IF($C$5="الكل", INDEX(البيانات_الأساسية!G:G, MATCH(90, البيانات_الأساسية!$I:$I, 0)), $C$5), "")</f>
        <v>0</v>
      </c>
      <c r="Z103" s="4" t="s">
        <v>715</v>
      </c>
      <c r="AA103" s="4">
        <f>IF($C$5="الكل", SUMIFS(البيانات_الأساسية!AK:AK, البيانات_الأساسية!H:H, 1), SUMIFS(INDEX(البيانات_الأساسية!$BY:$CJ, 0, VALUE($C$5)), البيانات_الأساسية!H:H, 1))</f>
        <v>0</v>
      </c>
    </row>
    <row r="104" spans="2:27" s="4" customFormat="1" ht="20" customHeight="1">
      <c r="B104" s="2">
        <f>IF(C104="","", 91)</f>
        <v>0</v>
      </c>
      <c r="C104" s="2">
        <f>IFERROR(INDEX(البيانات_الأساسية!A:A, MATCH(91, البيانات_الأساسية!$I:$I, 0)), "")</f>
        <v>0</v>
      </c>
      <c r="D104" s="2">
        <f>IFERROR(INDEX(البيانات_الأساسية!B:B, MATCH(91, البيانات_الأساسية!$I:$I, 0)), "")</f>
        <v>0</v>
      </c>
      <c r="E104" s="2">
        <f>IFERROR(IF($C$5="الكل", INDEX(البيانات_الأساسية!D:D, MATCH(91, البيانات_الأساسية!$I:$I, 0)), INDEX(البيانات_الأساسية!$V:$AG, MATCH(91, البيانات_الأساسية!$I:$I, 0), VALUE($C$5))), "")</f>
        <v>0</v>
      </c>
      <c r="F104" s="2">
        <f>IFERROR(IF($C$5="الكل", INDEX(البيانات_الأساسية!C:C, MATCH(91, البيانات_الأساسية!$I:$I, 0)), INDEX(البيانات_الأساسية!$J:$U, MATCH(91, البيانات_الأساسية!$I:$I, 0), VALUE($C$5))), "")</f>
        <v>0</v>
      </c>
      <c r="G104" s="2">
        <f>IFERROR(ROUND(F104/60, 2), "")</f>
        <v>0</v>
      </c>
      <c r="H104" s="2">
        <f>IFERROR(ROUND(F104/E104, 2), "")</f>
        <v>0</v>
      </c>
      <c r="I104" s="2">
        <f>IFERROR(IF($C$5="الكل", INDEX(البيانات_الأساسية!G:G, MATCH(91, البيانات_الأساسية!$I:$I, 0)), $C$5), "")</f>
        <v>0</v>
      </c>
      <c r="Z104" s="4" t="s">
        <v>739</v>
      </c>
      <c r="AA104" s="4">
        <f>IF($C$5="الكل", SUMIFS(البيانات_الأساسية!AL:AL, البيانات_الأساسية!H:H, 1), SUMIFS(INDEX(البيانات_الأساسية!$CK:$CV, 0, VALUE($C$5)), البيانات_الأساسية!H:H, 1))</f>
        <v>0</v>
      </c>
    </row>
    <row r="105" spans="2:27" s="4" customFormat="1" ht="20" customHeight="1">
      <c r="B105" s="2">
        <f>IF(C105="","", 92)</f>
        <v>0</v>
      </c>
      <c r="C105" s="2">
        <f>IFERROR(INDEX(البيانات_الأساسية!A:A, MATCH(92, البيانات_الأساسية!$I:$I, 0)), "")</f>
        <v>0</v>
      </c>
      <c r="D105" s="2">
        <f>IFERROR(INDEX(البيانات_الأساسية!B:B, MATCH(92, البيانات_الأساسية!$I:$I, 0)), "")</f>
        <v>0</v>
      </c>
      <c r="E105" s="2">
        <f>IFERROR(IF($C$5="الكل", INDEX(البيانات_الأساسية!D:D, MATCH(92, البيانات_الأساسية!$I:$I, 0)), INDEX(البيانات_الأساسية!$V:$AG, MATCH(92, البيانات_الأساسية!$I:$I, 0), VALUE($C$5))), "")</f>
        <v>0</v>
      </c>
      <c r="F105" s="2">
        <f>IFERROR(IF($C$5="الكل", INDEX(البيانات_الأساسية!C:C, MATCH(92, البيانات_الأساسية!$I:$I, 0)), INDEX(البيانات_الأساسية!$J:$U, MATCH(92, البيانات_الأساسية!$I:$I, 0), VALUE($C$5))), "")</f>
        <v>0</v>
      </c>
      <c r="G105" s="2">
        <f>IFERROR(ROUND(F105/60, 2), "")</f>
        <v>0</v>
      </c>
      <c r="H105" s="2">
        <f>IFERROR(ROUND(F105/E105, 2), "")</f>
        <v>0</v>
      </c>
      <c r="I105" s="2">
        <f>IFERROR(IF($C$5="الكل", INDEX(البيانات_الأساسية!G:G, MATCH(92, البيانات_الأساسية!$I:$I, 0)), $C$5), "")</f>
        <v>0</v>
      </c>
      <c r="Z105" s="4" t="s">
        <v>740</v>
      </c>
      <c r="AA105" s="4">
        <f>IF($C$5="الكل", SUMIFS(البيانات_الأساسية!AM:AM, البيانات_الأساسية!H:H, 1), SUMIFS(INDEX(البيانات_الأساسية!$CW:$DH, 0, VALUE($C$5)), البيانات_الأساسية!H:H, 1))</f>
        <v>0</v>
      </c>
    </row>
    <row r="106" spans="2:27" s="4" customFormat="1" ht="20" customHeight="1">
      <c r="B106" s="2">
        <f>IF(C106="","", 93)</f>
        <v>0</v>
      </c>
      <c r="C106" s="2">
        <f>IFERROR(INDEX(البيانات_الأساسية!A:A, MATCH(93, البيانات_الأساسية!$I:$I, 0)), "")</f>
        <v>0</v>
      </c>
      <c r="D106" s="2">
        <f>IFERROR(INDEX(البيانات_الأساسية!B:B, MATCH(93, البيانات_الأساسية!$I:$I, 0)), "")</f>
        <v>0</v>
      </c>
      <c r="E106" s="2">
        <f>IFERROR(IF($C$5="الكل", INDEX(البيانات_الأساسية!D:D, MATCH(93, البيانات_الأساسية!$I:$I, 0)), INDEX(البيانات_الأساسية!$V:$AG, MATCH(93, البيانات_الأساسية!$I:$I, 0), VALUE($C$5))), "")</f>
        <v>0</v>
      </c>
      <c r="F106" s="2">
        <f>IFERROR(IF($C$5="الكل", INDEX(البيانات_الأساسية!C:C, MATCH(93, البيانات_الأساسية!$I:$I, 0)), INDEX(البيانات_الأساسية!$J:$U, MATCH(93, البيانات_الأساسية!$I:$I, 0), VALUE($C$5))), "")</f>
        <v>0</v>
      </c>
      <c r="G106" s="2">
        <f>IFERROR(ROUND(F106/60, 2), "")</f>
        <v>0</v>
      </c>
      <c r="H106" s="2">
        <f>IFERROR(ROUND(F106/E106, 2), "")</f>
        <v>0</v>
      </c>
      <c r="I106" s="2">
        <f>IFERROR(IF($C$5="الكل", INDEX(البيانات_الأساسية!G:G, MATCH(93, البيانات_الأساسية!$I:$I, 0)), $C$5), "")</f>
        <v>0</v>
      </c>
      <c r="Z106" s="4" t="s">
        <v>730</v>
      </c>
      <c r="AA106" s="4">
        <f>IF($C$5="الكل", SUMIFS(البيانات_الأساسية!AN:AN, البيانات_الأساسية!H:H, 1), SUMIFS(INDEX(البيانات_الأساسية!$DI:$DT, 0, VALUE($C$5)), البيانات_الأساسية!H:H, 1))</f>
        <v>0</v>
      </c>
    </row>
    <row r="107" spans="2:27" s="4" customFormat="1" ht="20" customHeight="1">
      <c r="B107" s="2">
        <f>IF(C107="","", 94)</f>
        <v>0</v>
      </c>
      <c r="C107" s="2">
        <f>IFERROR(INDEX(البيانات_الأساسية!A:A, MATCH(94, البيانات_الأساسية!$I:$I, 0)), "")</f>
        <v>0</v>
      </c>
      <c r="D107" s="2">
        <f>IFERROR(INDEX(البيانات_الأساسية!B:B, MATCH(94, البيانات_الأساسية!$I:$I, 0)), "")</f>
        <v>0</v>
      </c>
      <c r="E107" s="2">
        <f>IFERROR(IF($C$5="الكل", INDEX(البيانات_الأساسية!D:D, MATCH(94, البيانات_الأساسية!$I:$I, 0)), INDEX(البيانات_الأساسية!$V:$AG, MATCH(94, البيانات_الأساسية!$I:$I, 0), VALUE($C$5))), "")</f>
        <v>0</v>
      </c>
      <c r="F107" s="2">
        <f>IFERROR(IF($C$5="الكل", INDEX(البيانات_الأساسية!C:C, MATCH(94, البيانات_الأساسية!$I:$I, 0)), INDEX(البيانات_الأساسية!$J:$U, MATCH(94, البيانات_الأساسية!$I:$I, 0), VALUE($C$5))), "")</f>
        <v>0</v>
      </c>
      <c r="G107" s="2">
        <f>IFERROR(ROUND(F107/60, 2), "")</f>
        <v>0</v>
      </c>
      <c r="H107" s="2">
        <f>IFERROR(ROUND(F107/E107, 2), "")</f>
        <v>0</v>
      </c>
      <c r="I107" s="2">
        <f>IFERROR(IF($C$5="الكل", INDEX(البيانات_الأساسية!G:G, MATCH(94, البيانات_الأساسية!$I:$I, 0)), $C$5), "")</f>
        <v>0</v>
      </c>
    </row>
    <row r="108" spans="2:27" s="4" customFormat="1" ht="20" customHeight="1">
      <c r="B108" s="2">
        <f>IF(C108="","", 95)</f>
        <v>0</v>
      </c>
      <c r="C108" s="2">
        <f>IFERROR(INDEX(البيانات_الأساسية!A:A, MATCH(95, البيانات_الأساسية!$I:$I, 0)), "")</f>
        <v>0</v>
      </c>
      <c r="D108" s="2">
        <f>IFERROR(INDEX(البيانات_الأساسية!B:B, MATCH(95, البيانات_الأساسية!$I:$I, 0)), "")</f>
        <v>0</v>
      </c>
      <c r="E108" s="2">
        <f>IFERROR(IF($C$5="الكل", INDEX(البيانات_الأساسية!D:D, MATCH(95, البيانات_الأساسية!$I:$I, 0)), INDEX(البيانات_الأساسية!$V:$AG, MATCH(95, البيانات_الأساسية!$I:$I, 0), VALUE($C$5))), "")</f>
        <v>0</v>
      </c>
      <c r="F108" s="2">
        <f>IFERROR(IF($C$5="الكل", INDEX(البيانات_الأساسية!C:C, MATCH(95, البيانات_الأساسية!$I:$I, 0)), INDEX(البيانات_الأساسية!$J:$U, MATCH(95, البيانات_الأساسية!$I:$I, 0), VALUE($C$5))), "")</f>
        <v>0</v>
      </c>
      <c r="G108" s="2">
        <f>IFERROR(ROUND(F108/60, 2), "")</f>
        <v>0</v>
      </c>
      <c r="H108" s="2">
        <f>IFERROR(ROUND(F108/E108, 2), "")</f>
        <v>0</v>
      </c>
      <c r="I108" s="2">
        <f>IFERROR(IF($C$5="الكل", INDEX(البيانات_الأساسية!G:G, MATCH(95, البيانات_الأساسية!$I:$I, 0)), $C$5), "")</f>
        <v>0</v>
      </c>
    </row>
    <row r="109" spans="2:27" s="4" customFormat="1" ht="20" customHeight="1">
      <c r="B109" s="2">
        <f>IF(C109="","", 96)</f>
        <v>0</v>
      </c>
      <c r="C109" s="2">
        <f>IFERROR(INDEX(البيانات_الأساسية!A:A, MATCH(96, البيانات_الأساسية!$I:$I, 0)), "")</f>
        <v>0</v>
      </c>
      <c r="D109" s="2">
        <f>IFERROR(INDEX(البيانات_الأساسية!B:B, MATCH(96, البيانات_الأساسية!$I:$I, 0)), "")</f>
        <v>0</v>
      </c>
      <c r="E109" s="2">
        <f>IFERROR(IF($C$5="الكل", INDEX(البيانات_الأساسية!D:D, MATCH(96, البيانات_الأساسية!$I:$I, 0)), INDEX(البيانات_الأساسية!$V:$AG, MATCH(96, البيانات_الأساسية!$I:$I, 0), VALUE($C$5))), "")</f>
        <v>0</v>
      </c>
      <c r="F109" s="2">
        <f>IFERROR(IF($C$5="الكل", INDEX(البيانات_الأساسية!C:C, MATCH(96, البيانات_الأساسية!$I:$I, 0)), INDEX(البيانات_الأساسية!$J:$U, MATCH(96, البيانات_الأساسية!$I:$I, 0), VALUE($C$5))), "")</f>
        <v>0</v>
      </c>
      <c r="G109" s="2">
        <f>IFERROR(ROUND(F109/60, 2), "")</f>
        <v>0</v>
      </c>
      <c r="H109" s="2">
        <f>IFERROR(ROUND(F109/E109, 2), "")</f>
        <v>0</v>
      </c>
      <c r="I109" s="2">
        <f>IFERROR(IF($C$5="الكل", INDEX(البيانات_الأساسية!G:G, MATCH(96, البيانات_الأساسية!$I:$I, 0)), $C$5), "")</f>
        <v>0</v>
      </c>
    </row>
    <row r="110" spans="2:27" s="4" customFormat="1" ht="20" customHeight="1">
      <c r="B110" s="2">
        <f>IF(C110="","", 97)</f>
        <v>0</v>
      </c>
      <c r="C110" s="2">
        <f>IFERROR(INDEX(البيانات_الأساسية!A:A, MATCH(97, البيانات_الأساسية!$I:$I, 0)), "")</f>
        <v>0</v>
      </c>
      <c r="D110" s="2">
        <f>IFERROR(INDEX(البيانات_الأساسية!B:B, MATCH(97, البيانات_الأساسية!$I:$I, 0)), "")</f>
        <v>0</v>
      </c>
      <c r="E110" s="2">
        <f>IFERROR(IF($C$5="الكل", INDEX(البيانات_الأساسية!D:D, MATCH(97, البيانات_الأساسية!$I:$I, 0)), INDEX(البيانات_الأساسية!$V:$AG, MATCH(97, البيانات_الأساسية!$I:$I, 0), VALUE($C$5))), "")</f>
        <v>0</v>
      </c>
      <c r="F110" s="2">
        <f>IFERROR(IF($C$5="الكل", INDEX(البيانات_الأساسية!C:C, MATCH(97, البيانات_الأساسية!$I:$I, 0)), INDEX(البيانات_الأساسية!$J:$U, MATCH(97, البيانات_الأساسية!$I:$I, 0), VALUE($C$5))), "")</f>
        <v>0</v>
      </c>
      <c r="G110" s="2">
        <f>IFERROR(ROUND(F110/60, 2), "")</f>
        <v>0</v>
      </c>
      <c r="H110" s="2">
        <f>IFERROR(ROUND(F110/E110, 2), "")</f>
        <v>0</v>
      </c>
      <c r="I110" s="2">
        <f>IFERROR(IF($C$5="الكل", INDEX(البيانات_الأساسية!G:G, MATCH(97, البيانات_الأساسية!$I:$I, 0)), $C$5), "")</f>
        <v>0</v>
      </c>
    </row>
    <row r="111" spans="2:27" s="4" customFormat="1" ht="20" customHeight="1">
      <c r="B111" s="2">
        <f>IF(C111="","", 98)</f>
        <v>0</v>
      </c>
      <c r="C111" s="2">
        <f>IFERROR(INDEX(البيانات_الأساسية!A:A, MATCH(98, البيانات_الأساسية!$I:$I, 0)), "")</f>
        <v>0</v>
      </c>
      <c r="D111" s="2">
        <f>IFERROR(INDEX(البيانات_الأساسية!B:B, MATCH(98, البيانات_الأساسية!$I:$I, 0)), "")</f>
        <v>0</v>
      </c>
      <c r="E111" s="2">
        <f>IFERROR(IF($C$5="الكل", INDEX(البيانات_الأساسية!D:D, MATCH(98, البيانات_الأساسية!$I:$I, 0)), INDEX(البيانات_الأساسية!$V:$AG, MATCH(98, البيانات_الأساسية!$I:$I, 0), VALUE($C$5))), "")</f>
        <v>0</v>
      </c>
      <c r="F111" s="2">
        <f>IFERROR(IF($C$5="الكل", INDEX(البيانات_الأساسية!C:C, MATCH(98, البيانات_الأساسية!$I:$I, 0)), INDEX(البيانات_الأساسية!$J:$U, MATCH(98, البيانات_الأساسية!$I:$I, 0), VALUE($C$5))), "")</f>
        <v>0</v>
      </c>
      <c r="G111" s="2">
        <f>IFERROR(ROUND(F111/60, 2), "")</f>
        <v>0</v>
      </c>
      <c r="H111" s="2">
        <f>IFERROR(ROUND(F111/E111, 2), "")</f>
        <v>0</v>
      </c>
      <c r="I111" s="2">
        <f>IFERROR(IF($C$5="الكل", INDEX(البيانات_الأساسية!G:G, MATCH(98, البيانات_الأساسية!$I:$I, 0)), $C$5), "")</f>
        <v>0</v>
      </c>
    </row>
    <row r="112" spans="2:27" s="4" customFormat="1" ht="20" customHeight="1">
      <c r="B112" s="2">
        <f>IF(C112="","", 99)</f>
        <v>0</v>
      </c>
      <c r="C112" s="2">
        <f>IFERROR(INDEX(البيانات_الأساسية!A:A, MATCH(99, البيانات_الأساسية!$I:$I, 0)), "")</f>
        <v>0</v>
      </c>
      <c r="D112" s="2">
        <f>IFERROR(INDEX(البيانات_الأساسية!B:B, MATCH(99, البيانات_الأساسية!$I:$I, 0)), "")</f>
        <v>0</v>
      </c>
      <c r="E112" s="2">
        <f>IFERROR(IF($C$5="الكل", INDEX(البيانات_الأساسية!D:D, MATCH(99, البيانات_الأساسية!$I:$I, 0)), INDEX(البيانات_الأساسية!$V:$AG, MATCH(99, البيانات_الأساسية!$I:$I, 0), VALUE($C$5))), "")</f>
        <v>0</v>
      </c>
      <c r="F112" s="2">
        <f>IFERROR(IF($C$5="الكل", INDEX(البيانات_الأساسية!C:C, MATCH(99, البيانات_الأساسية!$I:$I, 0)), INDEX(البيانات_الأساسية!$J:$U, MATCH(99, البيانات_الأساسية!$I:$I, 0), VALUE($C$5))), "")</f>
        <v>0</v>
      </c>
      <c r="G112" s="2">
        <f>IFERROR(ROUND(F112/60, 2), "")</f>
        <v>0</v>
      </c>
      <c r="H112" s="2">
        <f>IFERROR(ROUND(F112/E112, 2), "")</f>
        <v>0</v>
      </c>
      <c r="I112" s="2">
        <f>IFERROR(IF($C$5="الكل", INDEX(البيانات_الأساسية!G:G, MATCH(99, البيانات_الأساسية!$I:$I, 0)), $C$5), "")</f>
        <v>0</v>
      </c>
    </row>
    <row r="113" spans="2:9" s="4" customFormat="1" ht="20" customHeight="1">
      <c r="B113" s="2">
        <f>IF(C113="","", 100)</f>
        <v>0</v>
      </c>
      <c r="C113" s="2">
        <f>IFERROR(INDEX(البيانات_الأساسية!A:A, MATCH(100, البيانات_الأساسية!$I:$I, 0)), "")</f>
        <v>0</v>
      </c>
      <c r="D113" s="2">
        <f>IFERROR(INDEX(البيانات_الأساسية!B:B, MATCH(100, البيانات_الأساسية!$I:$I, 0)), "")</f>
        <v>0</v>
      </c>
      <c r="E113" s="2">
        <f>IFERROR(IF($C$5="الكل", INDEX(البيانات_الأساسية!D:D, MATCH(100, البيانات_الأساسية!$I:$I, 0)), INDEX(البيانات_الأساسية!$V:$AG, MATCH(100, البيانات_الأساسية!$I:$I, 0), VALUE($C$5))), "")</f>
        <v>0</v>
      </c>
      <c r="F113" s="2">
        <f>IFERROR(IF($C$5="الكل", INDEX(البيانات_الأساسية!C:C, MATCH(100, البيانات_الأساسية!$I:$I, 0)), INDEX(البيانات_الأساسية!$J:$U, MATCH(100, البيانات_الأساسية!$I:$I, 0), VALUE($C$5))), "")</f>
        <v>0</v>
      </c>
      <c r="G113" s="2">
        <f>IFERROR(ROUND(F113/60, 2), "")</f>
        <v>0</v>
      </c>
      <c r="H113" s="2">
        <f>IFERROR(ROUND(F113/E113, 2), "")</f>
        <v>0</v>
      </c>
      <c r="I113" s="2">
        <f>IFERROR(IF($C$5="الكل", INDEX(البيانات_الأساسية!G:G, MATCH(100, البيانات_الأساسية!$I:$I, 0)), $C$5), "")</f>
        <v>0</v>
      </c>
    </row>
    <row r="114" spans="2:9" s="4" customFormat="1" ht="20" customHeight="1">
      <c r="B114" s="2">
        <f>IF(C114="","", 101)</f>
        <v>0</v>
      </c>
      <c r="C114" s="2">
        <f>IFERROR(INDEX(البيانات_الأساسية!A:A, MATCH(101, البيانات_الأساسية!$I:$I, 0)), "")</f>
        <v>0</v>
      </c>
      <c r="D114" s="2">
        <f>IFERROR(INDEX(البيانات_الأساسية!B:B, MATCH(101, البيانات_الأساسية!$I:$I, 0)), "")</f>
        <v>0</v>
      </c>
      <c r="E114" s="2">
        <f>IFERROR(IF($C$5="الكل", INDEX(البيانات_الأساسية!D:D, MATCH(101, البيانات_الأساسية!$I:$I, 0)), INDEX(البيانات_الأساسية!$V:$AG, MATCH(101, البيانات_الأساسية!$I:$I, 0), VALUE($C$5))), "")</f>
        <v>0</v>
      </c>
      <c r="F114" s="2">
        <f>IFERROR(IF($C$5="الكل", INDEX(البيانات_الأساسية!C:C, MATCH(101, البيانات_الأساسية!$I:$I, 0)), INDEX(البيانات_الأساسية!$J:$U, MATCH(101, البيانات_الأساسية!$I:$I, 0), VALUE($C$5))), "")</f>
        <v>0</v>
      </c>
      <c r="G114" s="2">
        <f>IFERROR(ROUND(F114/60, 2), "")</f>
        <v>0</v>
      </c>
      <c r="H114" s="2">
        <f>IFERROR(ROUND(F114/E114, 2), "")</f>
        <v>0</v>
      </c>
      <c r="I114" s="2">
        <f>IFERROR(IF($C$5="الكل", INDEX(البيانات_الأساسية!G:G, MATCH(101, البيانات_الأساسية!$I:$I, 0)), $C$5), "")</f>
        <v>0</v>
      </c>
    </row>
    <row r="115" spans="2:9" s="4" customFormat="1" ht="20" customHeight="1">
      <c r="B115" s="2">
        <f>IF(C115="","", 102)</f>
        <v>0</v>
      </c>
      <c r="C115" s="2">
        <f>IFERROR(INDEX(البيانات_الأساسية!A:A, MATCH(102, البيانات_الأساسية!$I:$I, 0)), "")</f>
        <v>0</v>
      </c>
      <c r="D115" s="2">
        <f>IFERROR(INDEX(البيانات_الأساسية!B:B, MATCH(102, البيانات_الأساسية!$I:$I, 0)), "")</f>
        <v>0</v>
      </c>
      <c r="E115" s="2">
        <f>IFERROR(IF($C$5="الكل", INDEX(البيانات_الأساسية!D:D, MATCH(102, البيانات_الأساسية!$I:$I, 0)), INDEX(البيانات_الأساسية!$V:$AG, MATCH(102, البيانات_الأساسية!$I:$I, 0), VALUE($C$5))), "")</f>
        <v>0</v>
      </c>
      <c r="F115" s="2">
        <f>IFERROR(IF($C$5="الكل", INDEX(البيانات_الأساسية!C:C, MATCH(102, البيانات_الأساسية!$I:$I, 0)), INDEX(البيانات_الأساسية!$J:$U, MATCH(102, البيانات_الأساسية!$I:$I, 0), VALUE($C$5))), "")</f>
        <v>0</v>
      </c>
      <c r="G115" s="2">
        <f>IFERROR(ROUND(F115/60, 2), "")</f>
        <v>0</v>
      </c>
      <c r="H115" s="2">
        <f>IFERROR(ROUND(F115/E115, 2), "")</f>
        <v>0</v>
      </c>
      <c r="I115" s="2">
        <f>IFERROR(IF($C$5="الكل", INDEX(البيانات_الأساسية!G:G, MATCH(102, البيانات_الأساسية!$I:$I, 0)), $C$5), "")</f>
        <v>0</v>
      </c>
    </row>
    <row r="116" spans="2:9" s="4" customFormat="1" ht="20" customHeight="1">
      <c r="B116" s="2">
        <f>IF(C116="","", 103)</f>
        <v>0</v>
      </c>
      <c r="C116" s="2">
        <f>IFERROR(INDEX(البيانات_الأساسية!A:A, MATCH(103, البيانات_الأساسية!$I:$I, 0)), "")</f>
        <v>0</v>
      </c>
      <c r="D116" s="2">
        <f>IFERROR(INDEX(البيانات_الأساسية!B:B, MATCH(103, البيانات_الأساسية!$I:$I, 0)), "")</f>
        <v>0</v>
      </c>
      <c r="E116" s="2">
        <f>IFERROR(IF($C$5="الكل", INDEX(البيانات_الأساسية!D:D, MATCH(103, البيانات_الأساسية!$I:$I, 0)), INDEX(البيانات_الأساسية!$V:$AG, MATCH(103, البيانات_الأساسية!$I:$I, 0), VALUE($C$5))), "")</f>
        <v>0</v>
      </c>
      <c r="F116" s="2">
        <f>IFERROR(IF($C$5="الكل", INDEX(البيانات_الأساسية!C:C, MATCH(103, البيانات_الأساسية!$I:$I, 0)), INDEX(البيانات_الأساسية!$J:$U, MATCH(103, البيانات_الأساسية!$I:$I, 0), VALUE($C$5))), "")</f>
        <v>0</v>
      </c>
      <c r="G116" s="2">
        <f>IFERROR(ROUND(F116/60, 2), "")</f>
        <v>0</v>
      </c>
      <c r="H116" s="2">
        <f>IFERROR(ROUND(F116/E116, 2), "")</f>
        <v>0</v>
      </c>
      <c r="I116" s="2">
        <f>IFERROR(IF($C$5="الكل", INDEX(البيانات_الأساسية!G:G, MATCH(103, البيانات_الأساسية!$I:$I, 0)), $C$5), "")</f>
        <v>0</v>
      </c>
    </row>
    <row r="117" spans="2:9" s="4" customFormat="1" ht="20" customHeight="1">
      <c r="B117" s="2">
        <f>IF(C117="","", 104)</f>
        <v>0</v>
      </c>
      <c r="C117" s="2">
        <f>IFERROR(INDEX(البيانات_الأساسية!A:A, MATCH(104, البيانات_الأساسية!$I:$I, 0)), "")</f>
        <v>0</v>
      </c>
      <c r="D117" s="2">
        <f>IFERROR(INDEX(البيانات_الأساسية!B:B, MATCH(104, البيانات_الأساسية!$I:$I, 0)), "")</f>
        <v>0</v>
      </c>
      <c r="E117" s="2">
        <f>IFERROR(IF($C$5="الكل", INDEX(البيانات_الأساسية!D:D, MATCH(104, البيانات_الأساسية!$I:$I, 0)), INDEX(البيانات_الأساسية!$V:$AG, MATCH(104, البيانات_الأساسية!$I:$I, 0), VALUE($C$5))), "")</f>
        <v>0</v>
      </c>
      <c r="F117" s="2">
        <f>IFERROR(IF($C$5="الكل", INDEX(البيانات_الأساسية!C:C, MATCH(104, البيانات_الأساسية!$I:$I, 0)), INDEX(البيانات_الأساسية!$J:$U, MATCH(104, البيانات_الأساسية!$I:$I, 0), VALUE($C$5))), "")</f>
        <v>0</v>
      </c>
      <c r="G117" s="2">
        <f>IFERROR(ROUND(F117/60, 2), "")</f>
        <v>0</v>
      </c>
      <c r="H117" s="2">
        <f>IFERROR(ROUND(F117/E117, 2), "")</f>
        <v>0</v>
      </c>
      <c r="I117" s="2">
        <f>IFERROR(IF($C$5="الكل", INDEX(البيانات_الأساسية!G:G, MATCH(104, البيانات_الأساسية!$I:$I, 0)), $C$5), "")</f>
        <v>0</v>
      </c>
    </row>
    <row r="118" spans="2:9" s="4" customFormat="1" ht="20" customHeight="1">
      <c r="B118" s="2">
        <f>IF(C118="","", 105)</f>
        <v>0</v>
      </c>
      <c r="C118" s="2">
        <f>IFERROR(INDEX(البيانات_الأساسية!A:A, MATCH(105, البيانات_الأساسية!$I:$I, 0)), "")</f>
        <v>0</v>
      </c>
      <c r="D118" s="2">
        <f>IFERROR(INDEX(البيانات_الأساسية!B:B, MATCH(105, البيانات_الأساسية!$I:$I, 0)), "")</f>
        <v>0</v>
      </c>
      <c r="E118" s="2">
        <f>IFERROR(IF($C$5="الكل", INDEX(البيانات_الأساسية!D:D, MATCH(105, البيانات_الأساسية!$I:$I, 0)), INDEX(البيانات_الأساسية!$V:$AG, MATCH(105, البيانات_الأساسية!$I:$I, 0), VALUE($C$5))), "")</f>
        <v>0</v>
      </c>
      <c r="F118" s="2">
        <f>IFERROR(IF($C$5="الكل", INDEX(البيانات_الأساسية!C:C, MATCH(105, البيانات_الأساسية!$I:$I, 0)), INDEX(البيانات_الأساسية!$J:$U, MATCH(105, البيانات_الأساسية!$I:$I, 0), VALUE($C$5))), "")</f>
        <v>0</v>
      </c>
      <c r="G118" s="2">
        <f>IFERROR(ROUND(F118/60, 2), "")</f>
        <v>0</v>
      </c>
      <c r="H118" s="2">
        <f>IFERROR(ROUND(F118/E118, 2), "")</f>
        <v>0</v>
      </c>
      <c r="I118" s="2">
        <f>IFERROR(IF($C$5="الكل", INDEX(البيانات_الأساسية!G:G, MATCH(105, البيانات_الأساسية!$I:$I, 0)), $C$5), "")</f>
        <v>0</v>
      </c>
    </row>
    <row r="119" spans="2:9" s="4" customFormat="1" ht="20" customHeight="1">
      <c r="B119" s="2">
        <f>IF(C119="","", 106)</f>
        <v>0</v>
      </c>
      <c r="C119" s="2">
        <f>IFERROR(INDEX(البيانات_الأساسية!A:A, MATCH(106, البيانات_الأساسية!$I:$I, 0)), "")</f>
        <v>0</v>
      </c>
      <c r="D119" s="2">
        <f>IFERROR(INDEX(البيانات_الأساسية!B:B, MATCH(106, البيانات_الأساسية!$I:$I, 0)), "")</f>
        <v>0</v>
      </c>
      <c r="E119" s="2">
        <f>IFERROR(IF($C$5="الكل", INDEX(البيانات_الأساسية!D:D, MATCH(106, البيانات_الأساسية!$I:$I, 0)), INDEX(البيانات_الأساسية!$V:$AG, MATCH(106, البيانات_الأساسية!$I:$I, 0), VALUE($C$5))), "")</f>
        <v>0</v>
      </c>
      <c r="F119" s="2">
        <f>IFERROR(IF($C$5="الكل", INDEX(البيانات_الأساسية!C:C, MATCH(106, البيانات_الأساسية!$I:$I, 0)), INDEX(البيانات_الأساسية!$J:$U, MATCH(106, البيانات_الأساسية!$I:$I, 0), VALUE($C$5))), "")</f>
        <v>0</v>
      </c>
      <c r="G119" s="2">
        <f>IFERROR(ROUND(F119/60, 2), "")</f>
        <v>0</v>
      </c>
      <c r="H119" s="2">
        <f>IFERROR(ROUND(F119/E119, 2), "")</f>
        <v>0</v>
      </c>
      <c r="I119" s="2">
        <f>IFERROR(IF($C$5="الكل", INDEX(البيانات_الأساسية!G:G, MATCH(106, البيانات_الأساسية!$I:$I, 0)), $C$5), "")</f>
        <v>0</v>
      </c>
    </row>
    <row r="120" spans="2:9" s="4" customFormat="1" ht="20" customHeight="1">
      <c r="B120" s="2">
        <f>IF(C120="","", 107)</f>
        <v>0</v>
      </c>
      <c r="C120" s="2">
        <f>IFERROR(INDEX(البيانات_الأساسية!A:A, MATCH(107, البيانات_الأساسية!$I:$I, 0)), "")</f>
        <v>0</v>
      </c>
      <c r="D120" s="2">
        <f>IFERROR(INDEX(البيانات_الأساسية!B:B, MATCH(107, البيانات_الأساسية!$I:$I, 0)), "")</f>
        <v>0</v>
      </c>
      <c r="E120" s="2">
        <f>IFERROR(IF($C$5="الكل", INDEX(البيانات_الأساسية!D:D, MATCH(107, البيانات_الأساسية!$I:$I, 0)), INDEX(البيانات_الأساسية!$V:$AG, MATCH(107, البيانات_الأساسية!$I:$I, 0), VALUE($C$5))), "")</f>
        <v>0</v>
      </c>
      <c r="F120" s="2">
        <f>IFERROR(IF($C$5="الكل", INDEX(البيانات_الأساسية!C:C, MATCH(107, البيانات_الأساسية!$I:$I, 0)), INDEX(البيانات_الأساسية!$J:$U, MATCH(107, البيانات_الأساسية!$I:$I, 0), VALUE($C$5))), "")</f>
        <v>0</v>
      </c>
      <c r="G120" s="2">
        <f>IFERROR(ROUND(F120/60, 2), "")</f>
        <v>0</v>
      </c>
      <c r="H120" s="2">
        <f>IFERROR(ROUND(F120/E120, 2), "")</f>
        <v>0</v>
      </c>
      <c r="I120" s="2">
        <f>IFERROR(IF($C$5="الكل", INDEX(البيانات_الأساسية!G:G, MATCH(107, البيانات_الأساسية!$I:$I, 0)), $C$5), "")</f>
        <v>0</v>
      </c>
    </row>
    <row r="121" spans="2:9" s="4" customFormat="1" ht="20" customHeight="1">
      <c r="B121" s="2">
        <f>IF(C121="","", 108)</f>
        <v>0</v>
      </c>
      <c r="C121" s="2">
        <f>IFERROR(INDEX(البيانات_الأساسية!A:A, MATCH(108, البيانات_الأساسية!$I:$I, 0)), "")</f>
        <v>0</v>
      </c>
      <c r="D121" s="2">
        <f>IFERROR(INDEX(البيانات_الأساسية!B:B, MATCH(108, البيانات_الأساسية!$I:$I, 0)), "")</f>
        <v>0</v>
      </c>
      <c r="E121" s="2">
        <f>IFERROR(IF($C$5="الكل", INDEX(البيانات_الأساسية!D:D, MATCH(108, البيانات_الأساسية!$I:$I, 0)), INDEX(البيانات_الأساسية!$V:$AG, MATCH(108, البيانات_الأساسية!$I:$I, 0), VALUE($C$5))), "")</f>
        <v>0</v>
      </c>
      <c r="F121" s="2">
        <f>IFERROR(IF($C$5="الكل", INDEX(البيانات_الأساسية!C:C, MATCH(108, البيانات_الأساسية!$I:$I, 0)), INDEX(البيانات_الأساسية!$J:$U, MATCH(108, البيانات_الأساسية!$I:$I, 0), VALUE($C$5))), "")</f>
        <v>0</v>
      </c>
      <c r="G121" s="2">
        <f>IFERROR(ROUND(F121/60, 2), "")</f>
        <v>0</v>
      </c>
      <c r="H121" s="2">
        <f>IFERROR(ROUND(F121/E121, 2), "")</f>
        <v>0</v>
      </c>
      <c r="I121" s="2">
        <f>IFERROR(IF($C$5="الكل", INDEX(البيانات_الأساسية!G:G, MATCH(108, البيانات_الأساسية!$I:$I, 0)), $C$5), "")</f>
        <v>0</v>
      </c>
    </row>
    <row r="122" spans="2:9" s="4" customFormat="1" ht="20" customHeight="1">
      <c r="B122" s="2">
        <f>IF(C122="","", 109)</f>
        <v>0</v>
      </c>
      <c r="C122" s="2">
        <f>IFERROR(INDEX(البيانات_الأساسية!A:A, MATCH(109, البيانات_الأساسية!$I:$I, 0)), "")</f>
        <v>0</v>
      </c>
      <c r="D122" s="2">
        <f>IFERROR(INDEX(البيانات_الأساسية!B:B, MATCH(109, البيانات_الأساسية!$I:$I, 0)), "")</f>
        <v>0</v>
      </c>
      <c r="E122" s="2">
        <f>IFERROR(IF($C$5="الكل", INDEX(البيانات_الأساسية!D:D, MATCH(109, البيانات_الأساسية!$I:$I, 0)), INDEX(البيانات_الأساسية!$V:$AG, MATCH(109, البيانات_الأساسية!$I:$I, 0), VALUE($C$5))), "")</f>
        <v>0</v>
      </c>
      <c r="F122" s="2">
        <f>IFERROR(IF($C$5="الكل", INDEX(البيانات_الأساسية!C:C, MATCH(109, البيانات_الأساسية!$I:$I, 0)), INDEX(البيانات_الأساسية!$J:$U, MATCH(109, البيانات_الأساسية!$I:$I, 0), VALUE($C$5))), "")</f>
        <v>0</v>
      </c>
      <c r="G122" s="2">
        <f>IFERROR(ROUND(F122/60, 2), "")</f>
        <v>0</v>
      </c>
      <c r="H122" s="2">
        <f>IFERROR(ROUND(F122/E122, 2), "")</f>
        <v>0</v>
      </c>
      <c r="I122" s="2">
        <f>IFERROR(IF($C$5="الكل", INDEX(البيانات_الأساسية!G:G, MATCH(109, البيانات_الأساسية!$I:$I, 0)), $C$5), "")</f>
        <v>0</v>
      </c>
    </row>
    <row r="123" spans="2:9" s="4" customFormat="1" ht="20" customHeight="1">
      <c r="B123" s="2">
        <f>IF(C123="","", 110)</f>
        <v>0</v>
      </c>
      <c r="C123" s="2">
        <f>IFERROR(INDEX(البيانات_الأساسية!A:A, MATCH(110, البيانات_الأساسية!$I:$I, 0)), "")</f>
        <v>0</v>
      </c>
      <c r="D123" s="2">
        <f>IFERROR(INDEX(البيانات_الأساسية!B:B, MATCH(110, البيانات_الأساسية!$I:$I, 0)), "")</f>
        <v>0</v>
      </c>
      <c r="E123" s="2">
        <f>IFERROR(IF($C$5="الكل", INDEX(البيانات_الأساسية!D:D, MATCH(110, البيانات_الأساسية!$I:$I, 0)), INDEX(البيانات_الأساسية!$V:$AG, MATCH(110, البيانات_الأساسية!$I:$I, 0), VALUE($C$5))), "")</f>
        <v>0</v>
      </c>
      <c r="F123" s="2">
        <f>IFERROR(IF($C$5="الكل", INDEX(البيانات_الأساسية!C:C, MATCH(110, البيانات_الأساسية!$I:$I, 0)), INDEX(البيانات_الأساسية!$J:$U, MATCH(110, البيانات_الأساسية!$I:$I, 0), VALUE($C$5))), "")</f>
        <v>0</v>
      </c>
      <c r="G123" s="2">
        <f>IFERROR(ROUND(F123/60, 2), "")</f>
        <v>0</v>
      </c>
      <c r="H123" s="2">
        <f>IFERROR(ROUND(F123/E123, 2), "")</f>
        <v>0</v>
      </c>
      <c r="I123" s="2">
        <f>IFERROR(IF($C$5="الكل", INDEX(البيانات_الأساسية!G:G, MATCH(110, البيانات_الأساسية!$I:$I, 0)), $C$5), "")</f>
        <v>0</v>
      </c>
    </row>
    <row r="124" spans="2:9" s="4" customFormat="1" ht="20" customHeight="1">
      <c r="B124" s="2">
        <f>IF(C124="","", 111)</f>
        <v>0</v>
      </c>
      <c r="C124" s="2">
        <f>IFERROR(INDEX(البيانات_الأساسية!A:A, MATCH(111, البيانات_الأساسية!$I:$I, 0)), "")</f>
        <v>0</v>
      </c>
      <c r="D124" s="2">
        <f>IFERROR(INDEX(البيانات_الأساسية!B:B, MATCH(111, البيانات_الأساسية!$I:$I, 0)), "")</f>
        <v>0</v>
      </c>
      <c r="E124" s="2">
        <f>IFERROR(IF($C$5="الكل", INDEX(البيانات_الأساسية!D:D, MATCH(111, البيانات_الأساسية!$I:$I, 0)), INDEX(البيانات_الأساسية!$V:$AG, MATCH(111, البيانات_الأساسية!$I:$I, 0), VALUE($C$5))), "")</f>
        <v>0</v>
      </c>
      <c r="F124" s="2">
        <f>IFERROR(IF($C$5="الكل", INDEX(البيانات_الأساسية!C:C, MATCH(111, البيانات_الأساسية!$I:$I, 0)), INDEX(البيانات_الأساسية!$J:$U, MATCH(111, البيانات_الأساسية!$I:$I, 0), VALUE($C$5))), "")</f>
        <v>0</v>
      </c>
      <c r="G124" s="2">
        <f>IFERROR(ROUND(F124/60, 2), "")</f>
        <v>0</v>
      </c>
      <c r="H124" s="2">
        <f>IFERROR(ROUND(F124/E124, 2), "")</f>
        <v>0</v>
      </c>
      <c r="I124" s="2">
        <f>IFERROR(IF($C$5="الكل", INDEX(البيانات_الأساسية!G:G, MATCH(111, البيانات_الأساسية!$I:$I, 0)), $C$5), "")</f>
        <v>0</v>
      </c>
    </row>
    <row r="125" spans="2:9" s="4" customFormat="1" ht="20" customHeight="1">
      <c r="B125" s="2">
        <f>IF(C125="","", 112)</f>
        <v>0</v>
      </c>
      <c r="C125" s="2">
        <f>IFERROR(INDEX(البيانات_الأساسية!A:A, MATCH(112, البيانات_الأساسية!$I:$I, 0)), "")</f>
        <v>0</v>
      </c>
      <c r="D125" s="2">
        <f>IFERROR(INDEX(البيانات_الأساسية!B:B, MATCH(112, البيانات_الأساسية!$I:$I, 0)), "")</f>
        <v>0</v>
      </c>
      <c r="E125" s="2">
        <f>IFERROR(IF($C$5="الكل", INDEX(البيانات_الأساسية!D:D, MATCH(112, البيانات_الأساسية!$I:$I, 0)), INDEX(البيانات_الأساسية!$V:$AG, MATCH(112, البيانات_الأساسية!$I:$I, 0), VALUE($C$5))), "")</f>
        <v>0</v>
      </c>
      <c r="F125" s="2">
        <f>IFERROR(IF($C$5="الكل", INDEX(البيانات_الأساسية!C:C, MATCH(112, البيانات_الأساسية!$I:$I, 0)), INDEX(البيانات_الأساسية!$J:$U, MATCH(112, البيانات_الأساسية!$I:$I, 0), VALUE($C$5))), "")</f>
        <v>0</v>
      </c>
      <c r="G125" s="2">
        <f>IFERROR(ROUND(F125/60, 2), "")</f>
        <v>0</v>
      </c>
      <c r="H125" s="2">
        <f>IFERROR(ROUND(F125/E125, 2), "")</f>
        <v>0</v>
      </c>
      <c r="I125" s="2">
        <f>IFERROR(IF($C$5="الكل", INDEX(البيانات_الأساسية!G:G, MATCH(112, البيانات_الأساسية!$I:$I, 0)), $C$5), "")</f>
        <v>0</v>
      </c>
    </row>
    <row r="126" spans="2:9" s="4" customFormat="1" ht="20" customHeight="1">
      <c r="B126" s="2">
        <f>IF(C126="","", 113)</f>
        <v>0</v>
      </c>
      <c r="C126" s="2">
        <f>IFERROR(INDEX(البيانات_الأساسية!A:A, MATCH(113, البيانات_الأساسية!$I:$I, 0)), "")</f>
        <v>0</v>
      </c>
      <c r="D126" s="2">
        <f>IFERROR(INDEX(البيانات_الأساسية!B:B, MATCH(113, البيانات_الأساسية!$I:$I, 0)), "")</f>
        <v>0</v>
      </c>
      <c r="E126" s="2">
        <f>IFERROR(IF($C$5="الكل", INDEX(البيانات_الأساسية!D:D, MATCH(113, البيانات_الأساسية!$I:$I, 0)), INDEX(البيانات_الأساسية!$V:$AG, MATCH(113, البيانات_الأساسية!$I:$I, 0), VALUE($C$5))), "")</f>
        <v>0</v>
      </c>
      <c r="F126" s="2">
        <f>IFERROR(IF($C$5="الكل", INDEX(البيانات_الأساسية!C:C, MATCH(113, البيانات_الأساسية!$I:$I, 0)), INDEX(البيانات_الأساسية!$J:$U, MATCH(113, البيانات_الأساسية!$I:$I, 0), VALUE($C$5))), "")</f>
        <v>0</v>
      </c>
      <c r="G126" s="2">
        <f>IFERROR(ROUND(F126/60, 2), "")</f>
        <v>0</v>
      </c>
      <c r="H126" s="2">
        <f>IFERROR(ROUND(F126/E126, 2), "")</f>
        <v>0</v>
      </c>
      <c r="I126" s="2">
        <f>IFERROR(IF($C$5="الكل", INDEX(البيانات_الأساسية!G:G, MATCH(113, البيانات_الأساسية!$I:$I, 0)), $C$5), "")</f>
        <v>0</v>
      </c>
    </row>
    <row r="127" spans="2:9" s="4" customFormat="1" ht="20" customHeight="1">
      <c r="B127" s="2">
        <f>IF(C127="","", 114)</f>
        <v>0</v>
      </c>
      <c r="C127" s="2">
        <f>IFERROR(INDEX(البيانات_الأساسية!A:A, MATCH(114, البيانات_الأساسية!$I:$I, 0)), "")</f>
        <v>0</v>
      </c>
      <c r="D127" s="2">
        <f>IFERROR(INDEX(البيانات_الأساسية!B:B, MATCH(114, البيانات_الأساسية!$I:$I, 0)), "")</f>
        <v>0</v>
      </c>
      <c r="E127" s="2">
        <f>IFERROR(IF($C$5="الكل", INDEX(البيانات_الأساسية!D:D, MATCH(114, البيانات_الأساسية!$I:$I, 0)), INDEX(البيانات_الأساسية!$V:$AG, MATCH(114, البيانات_الأساسية!$I:$I, 0), VALUE($C$5))), "")</f>
        <v>0</v>
      </c>
      <c r="F127" s="2">
        <f>IFERROR(IF($C$5="الكل", INDEX(البيانات_الأساسية!C:C, MATCH(114, البيانات_الأساسية!$I:$I, 0)), INDEX(البيانات_الأساسية!$J:$U, MATCH(114, البيانات_الأساسية!$I:$I, 0), VALUE($C$5))), "")</f>
        <v>0</v>
      </c>
      <c r="G127" s="2">
        <f>IFERROR(ROUND(F127/60, 2), "")</f>
        <v>0</v>
      </c>
      <c r="H127" s="2">
        <f>IFERROR(ROUND(F127/E127, 2), "")</f>
        <v>0</v>
      </c>
      <c r="I127" s="2">
        <f>IFERROR(IF($C$5="الكل", INDEX(البيانات_الأساسية!G:G, MATCH(114, البيانات_الأساسية!$I:$I, 0)), $C$5), "")</f>
        <v>0</v>
      </c>
    </row>
    <row r="128" spans="2:9" s="4" customFormat="1" ht="20" customHeight="1">
      <c r="B128" s="2">
        <f>IF(C128="","", 115)</f>
        <v>0</v>
      </c>
      <c r="C128" s="2">
        <f>IFERROR(INDEX(البيانات_الأساسية!A:A, MATCH(115, البيانات_الأساسية!$I:$I, 0)), "")</f>
        <v>0</v>
      </c>
      <c r="D128" s="2">
        <f>IFERROR(INDEX(البيانات_الأساسية!B:B, MATCH(115, البيانات_الأساسية!$I:$I, 0)), "")</f>
        <v>0</v>
      </c>
      <c r="E128" s="2">
        <f>IFERROR(IF($C$5="الكل", INDEX(البيانات_الأساسية!D:D, MATCH(115, البيانات_الأساسية!$I:$I, 0)), INDEX(البيانات_الأساسية!$V:$AG, MATCH(115, البيانات_الأساسية!$I:$I, 0), VALUE($C$5))), "")</f>
        <v>0</v>
      </c>
      <c r="F128" s="2">
        <f>IFERROR(IF($C$5="الكل", INDEX(البيانات_الأساسية!C:C, MATCH(115, البيانات_الأساسية!$I:$I, 0)), INDEX(البيانات_الأساسية!$J:$U, MATCH(115, البيانات_الأساسية!$I:$I, 0), VALUE($C$5))), "")</f>
        <v>0</v>
      </c>
      <c r="G128" s="2">
        <f>IFERROR(ROUND(F128/60, 2), "")</f>
        <v>0</v>
      </c>
      <c r="H128" s="2">
        <f>IFERROR(ROUND(F128/E128, 2), "")</f>
        <v>0</v>
      </c>
      <c r="I128" s="2">
        <f>IFERROR(IF($C$5="الكل", INDEX(البيانات_الأساسية!G:G, MATCH(115, البيانات_الأساسية!$I:$I, 0)), $C$5), "")</f>
        <v>0</v>
      </c>
    </row>
    <row r="129" spans="2:9" s="4" customFormat="1" ht="20" customHeight="1">
      <c r="B129" s="2">
        <f>IF(C129="","", 116)</f>
        <v>0</v>
      </c>
      <c r="C129" s="2">
        <f>IFERROR(INDEX(البيانات_الأساسية!A:A, MATCH(116, البيانات_الأساسية!$I:$I, 0)), "")</f>
        <v>0</v>
      </c>
      <c r="D129" s="2">
        <f>IFERROR(INDEX(البيانات_الأساسية!B:B, MATCH(116, البيانات_الأساسية!$I:$I, 0)), "")</f>
        <v>0</v>
      </c>
      <c r="E129" s="2">
        <f>IFERROR(IF($C$5="الكل", INDEX(البيانات_الأساسية!D:D, MATCH(116, البيانات_الأساسية!$I:$I, 0)), INDEX(البيانات_الأساسية!$V:$AG, MATCH(116, البيانات_الأساسية!$I:$I, 0), VALUE($C$5))), "")</f>
        <v>0</v>
      </c>
      <c r="F129" s="2">
        <f>IFERROR(IF($C$5="الكل", INDEX(البيانات_الأساسية!C:C, MATCH(116, البيانات_الأساسية!$I:$I, 0)), INDEX(البيانات_الأساسية!$J:$U, MATCH(116, البيانات_الأساسية!$I:$I, 0), VALUE($C$5))), "")</f>
        <v>0</v>
      </c>
      <c r="G129" s="2">
        <f>IFERROR(ROUND(F129/60, 2), "")</f>
        <v>0</v>
      </c>
      <c r="H129" s="2">
        <f>IFERROR(ROUND(F129/E129, 2), "")</f>
        <v>0</v>
      </c>
      <c r="I129" s="2">
        <f>IFERROR(IF($C$5="الكل", INDEX(البيانات_الأساسية!G:G, MATCH(116, البيانات_الأساسية!$I:$I, 0)), $C$5), "")</f>
        <v>0</v>
      </c>
    </row>
    <row r="130" spans="2:9" s="4" customFormat="1" ht="20" customHeight="1">
      <c r="B130" s="2">
        <f>IF(C130="","", 117)</f>
        <v>0</v>
      </c>
      <c r="C130" s="2">
        <f>IFERROR(INDEX(البيانات_الأساسية!A:A, MATCH(117, البيانات_الأساسية!$I:$I, 0)), "")</f>
        <v>0</v>
      </c>
      <c r="D130" s="2">
        <f>IFERROR(INDEX(البيانات_الأساسية!B:B, MATCH(117, البيانات_الأساسية!$I:$I, 0)), "")</f>
        <v>0</v>
      </c>
      <c r="E130" s="2">
        <f>IFERROR(IF($C$5="الكل", INDEX(البيانات_الأساسية!D:D, MATCH(117, البيانات_الأساسية!$I:$I, 0)), INDEX(البيانات_الأساسية!$V:$AG, MATCH(117, البيانات_الأساسية!$I:$I, 0), VALUE($C$5))), "")</f>
        <v>0</v>
      </c>
      <c r="F130" s="2">
        <f>IFERROR(IF($C$5="الكل", INDEX(البيانات_الأساسية!C:C, MATCH(117, البيانات_الأساسية!$I:$I, 0)), INDEX(البيانات_الأساسية!$J:$U, MATCH(117, البيانات_الأساسية!$I:$I, 0), VALUE($C$5))), "")</f>
        <v>0</v>
      </c>
      <c r="G130" s="2">
        <f>IFERROR(ROUND(F130/60, 2), "")</f>
        <v>0</v>
      </c>
      <c r="H130" s="2">
        <f>IFERROR(ROUND(F130/E130, 2), "")</f>
        <v>0</v>
      </c>
      <c r="I130" s="2">
        <f>IFERROR(IF($C$5="الكل", INDEX(البيانات_الأساسية!G:G, MATCH(117, البيانات_الأساسية!$I:$I, 0)), $C$5), "")</f>
        <v>0</v>
      </c>
    </row>
    <row r="131" spans="2:9" s="4" customFormat="1" ht="20" customHeight="1">
      <c r="B131" s="2">
        <f>IF(C131="","", 118)</f>
        <v>0</v>
      </c>
      <c r="C131" s="2">
        <f>IFERROR(INDEX(البيانات_الأساسية!A:A, MATCH(118, البيانات_الأساسية!$I:$I, 0)), "")</f>
        <v>0</v>
      </c>
      <c r="D131" s="2">
        <f>IFERROR(INDEX(البيانات_الأساسية!B:B, MATCH(118, البيانات_الأساسية!$I:$I, 0)), "")</f>
        <v>0</v>
      </c>
      <c r="E131" s="2">
        <f>IFERROR(IF($C$5="الكل", INDEX(البيانات_الأساسية!D:D, MATCH(118, البيانات_الأساسية!$I:$I, 0)), INDEX(البيانات_الأساسية!$V:$AG, MATCH(118, البيانات_الأساسية!$I:$I, 0), VALUE($C$5))), "")</f>
        <v>0</v>
      </c>
      <c r="F131" s="2">
        <f>IFERROR(IF($C$5="الكل", INDEX(البيانات_الأساسية!C:C, MATCH(118, البيانات_الأساسية!$I:$I, 0)), INDEX(البيانات_الأساسية!$J:$U, MATCH(118, البيانات_الأساسية!$I:$I, 0), VALUE($C$5))), "")</f>
        <v>0</v>
      </c>
      <c r="G131" s="2">
        <f>IFERROR(ROUND(F131/60, 2), "")</f>
        <v>0</v>
      </c>
      <c r="H131" s="2">
        <f>IFERROR(ROUND(F131/E131, 2), "")</f>
        <v>0</v>
      </c>
      <c r="I131" s="2">
        <f>IFERROR(IF($C$5="الكل", INDEX(البيانات_الأساسية!G:G, MATCH(118, البيانات_الأساسية!$I:$I, 0)), $C$5), "")</f>
        <v>0</v>
      </c>
    </row>
    <row r="132" spans="2:9" s="4" customFormat="1" ht="20" customHeight="1">
      <c r="B132" s="2">
        <f>IF(C132="","", 119)</f>
        <v>0</v>
      </c>
      <c r="C132" s="2">
        <f>IFERROR(INDEX(البيانات_الأساسية!A:A, MATCH(119, البيانات_الأساسية!$I:$I, 0)), "")</f>
        <v>0</v>
      </c>
      <c r="D132" s="2">
        <f>IFERROR(INDEX(البيانات_الأساسية!B:B, MATCH(119, البيانات_الأساسية!$I:$I, 0)), "")</f>
        <v>0</v>
      </c>
      <c r="E132" s="2">
        <f>IFERROR(IF($C$5="الكل", INDEX(البيانات_الأساسية!D:D, MATCH(119, البيانات_الأساسية!$I:$I, 0)), INDEX(البيانات_الأساسية!$V:$AG, MATCH(119, البيانات_الأساسية!$I:$I, 0), VALUE($C$5))), "")</f>
        <v>0</v>
      </c>
      <c r="F132" s="2">
        <f>IFERROR(IF($C$5="الكل", INDEX(البيانات_الأساسية!C:C, MATCH(119, البيانات_الأساسية!$I:$I, 0)), INDEX(البيانات_الأساسية!$J:$U, MATCH(119, البيانات_الأساسية!$I:$I, 0), VALUE($C$5))), "")</f>
        <v>0</v>
      </c>
      <c r="G132" s="2">
        <f>IFERROR(ROUND(F132/60, 2), "")</f>
        <v>0</v>
      </c>
      <c r="H132" s="2">
        <f>IFERROR(ROUND(F132/E132, 2), "")</f>
        <v>0</v>
      </c>
      <c r="I132" s="2">
        <f>IFERROR(IF($C$5="الكل", INDEX(البيانات_الأساسية!G:G, MATCH(119, البيانات_الأساسية!$I:$I, 0)), $C$5), "")</f>
        <v>0</v>
      </c>
    </row>
    <row r="133" spans="2:9" s="4" customFormat="1" ht="20" customHeight="1">
      <c r="B133" s="2">
        <f>IF(C133="","", 120)</f>
        <v>0</v>
      </c>
      <c r="C133" s="2">
        <f>IFERROR(INDEX(البيانات_الأساسية!A:A, MATCH(120, البيانات_الأساسية!$I:$I, 0)), "")</f>
        <v>0</v>
      </c>
      <c r="D133" s="2">
        <f>IFERROR(INDEX(البيانات_الأساسية!B:B, MATCH(120, البيانات_الأساسية!$I:$I, 0)), "")</f>
        <v>0</v>
      </c>
      <c r="E133" s="2">
        <f>IFERROR(IF($C$5="الكل", INDEX(البيانات_الأساسية!D:D, MATCH(120, البيانات_الأساسية!$I:$I, 0)), INDEX(البيانات_الأساسية!$V:$AG, MATCH(120, البيانات_الأساسية!$I:$I, 0), VALUE($C$5))), "")</f>
        <v>0</v>
      </c>
      <c r="F133" s="2">
        <f>IFERROR(IF($C$5="الكل", INDEX(البيانات_الأساسية!C:C, MATCH(120, البيانات_الأساسية!$I:$I, 0)), INDEX(البيانات_الأساسية!$J:$U, MATCH(120, البيانات_الأساسية!$I:$I, 0), VALUE($C$5))), "")</f>
        <v>0</v>
      </c>
      <c r="G133" s="2">
        <f>IFERROR(ROUND(F133/60, 2), "")</f>
        <v>0</v>
      </c>
      <c r="H133" s="2">
        <f>IFERROR(ROUND(F133/E133, 2), "")</f>
        <v>0</v>
      </c>
      <c r="I133" s="2">
        <f>IFERROR(IF($C$5="الكل", INDEX(البيانات_الأساسية!G:G, MATCH(120, البيانات_الأساسية!$I:$I, 0)), $C$5), "")</f>
        <v>0</v>
      </c>
    </row>
    <row r="134" spans="2:9" s="4" customFormat="1" ht="20" customHeight="1">
      <c r="B134" s="2">
        <f>IF(C134="","", 121)</f>
        <v>0</v>
      </c>
      <c r="C134" s="2">
        <f>IFERROR(INDEX(البيانات_الأساسية!A:A, MATCH(121, البيانات_الأساسية!$I:$I, 0)), "")</f>
        <v>0</v>
      </c>
      <c r="D134" s="2">
        <f>IFERROR(INDEX(البيانات_الأساسية!B:B, MATCH(121, البيانات_الأساسية!$I:$I, 0)), "")</f>
        <v>0</v>
      </c>
      <c r="E134" s="2">
        <f>IFERROR(IF($C$5="الكل", INDEX(البيانات_الأساسية!D:D, MATCH(121, البيانات_الأساسية!$I:$I, 0)), INDEX(البيانات_الأساسية!$V:$AG, MATCH(121, البيانات_الأساسية!$I:$I, 0), VALUE($C$5))), "")</f>
        <v>0</v>
      </c>
      <c r="F134" s="2">
        <f>IFERROR(IF($C$5="الكل", INDEX(البيانات_الأساسية!C:C, MATCH(121, البيانات_الأساسية!$I:$I, 0)), INDEX(البيانات_الأساسية!$J:$U, MATCH(121, البيانات_الأساسية!$I:$I, 0), VALUE($C$5))), "")</f>
        <v>0</v>
      </c>
      <c r="G134" s="2">
        <f>IFERROR(ROUND(F134/60, 2), "")</f>
        <v>0</v>
      </c>
      <c r="H134" s="2">
        <f>IFERROR(ROUND(F134/E134, 2), "")</f>
        <v>0</v>
      </c>
      <c r="I134" s="2">
        <f>IFERROR(IF($C$5="الكل", INDEX(البيانات_الأساسية!G:G, MATCH(121, البيانات_الأساسية!$I:$I, 0)), $C$5), "")</f>
        <v>0</v>
      </c>
    </row>
    <row r="135" spans="2:9" s="4" customFormat="1" ht="20" customHeight="1">
      <c r="B135" s="2">
        <f>IF(C135="","", 122)</f>
        <v>0</v>
      </c>
      <c r="C135" s="2">
        <f>IFERROR(INDEX(البيانات_الأساسية!A:A, MATCH(122, البيانات_الأساسية!$I:$I, 0)), "")</f>
        <v>0</v>
      </c>
      <c r="D135" s="2">
        <f>IFERROR(INDEX(البيانات_الأساسية!B:B, MATCH(122, البيانات_الأساسية!$I:$I, 0)), "")</f>
        <v>0</v>
      </c>
      <c r="E135" s="2">
        <f>IFERROR(IF($C$5="الكل", INDEX(البيانات_الأساسية!D:D, MATCH(122, البيانات_الأساسية!$I:$I, 0)), INDEX(البيانات_الأساسية!$V:$AG, MATCH(122, البيانات_الأساسية!$I:$I, 0), VALUE($C$5))), "")</f>
        <v>0</v>
      </c>
      <c r="F135" s="2">
        <f>IFERROR(IF($C$5="الكل", INDEX(البيانات_الأساسية!C:C, MATCH(122, البيانات_الأساسية!$I:$I, 0)), INDEX(البيانات_الأساسية!$J:$U, MATCH(122, البيانات_الأساسية!$I:$I, 0), VALUE($C$5))), "")</f>
        <v>0</v>
      </c>
      <c r="G135" s="2">
        <f>IFERROR(ROUND(F135/60, 2), "")</f>
        <v>0</v>
      </c>
      <c r="H135" s="2">
        <f>IFERROR(ROUND(F135/E135, 2), "")</f>
        <v>0</v>
      </c>
      <c r="I135" s="2">
        <f>IFERROR(IF($C$5="الكل", INDEX(البيانات_الأساسية!G:G, MATCH(122, البيانات_الأساسية!$I:$I, 0)), $C$5), "")</f>
        <v>0</v>
      </c>
    </row>
    <row r="136" spans="2:9" s="4" customFormat="1" ht="20" customHeight="1">
      <c r="B136" s="2">
        <f>IF(C136="","", 123)</f>
        <v>0</v>
      </c>
      <c r="C136" s="2">
        <f>IFERROR(INDEX(البيانات_الأساسية!A:A, MATCH(123, البيانات_الأساسية!$I:$I, 0)), "")</f>
        <v>0</v>
      </c>
      <c r="D136" s="2">
        <f>IFERROR(INDEX(البيانات_الأساسية!B:B, MATCH(123, البيانات_الأساسية!$I:$I, 0)), "")</f>
        <v>0</v>
      </c>
      <c r="E136" s="2">
        <f>IFERROR(IF($C$5="الكل", INDEX(البيانات_الأساسية!D:D, MATCH(123, البيانات_الأساسية!$I:$I, 0)), INDEX(البيانات_الأساسية!$V:$AG, MATCH(123, البيانات_الأساسية!$I:$I, 0), VALUE($C$5))), "")</f>
        <v>0</v>
      </c>
      <c r="F136" s="2">
        <f>IFERROR(IF($C$5="الكل", INDEX(البيانات_الأساسية!C:C, MATCH(123, البيانات_الأساسية!$I:$I, 0)), INDEX(البيانات_الأساسية!$J:$U, MATCH(123, البيانات_الأساسية!$I:$I, 0), VALUE($C$5))), "")</f>
        <v>0</v>
      </c>
      <c r="G136" s="2">
        <f>IFERROR(ROUND(F136/60, 2), "")</f>
        <v>0</v>
      </c>
      <c r="H136" s="2">
        <f>IFERROR(ROUND(F136/E136, 2), "")</f>
        <v>0</v>
      </c>
      <c r="I136" s="2">
        <f>IFERROR(IF($C$5="الكل", INDEX(البيانات_الأساسية!G:G, MATCH(123, البيانات_الأساسية!$I:$I, 0)), $C$5), "")</f>
        <v>0</v>
      </c>
    </row>
    <row r="137" spans="2:9" s="4" customFormat="1" ht="20" customHeight="1">
      <c r="B137" s="2">
        <f>IF(C137="","", 124)</f>
        <v>0</v>
      </c>
      <c r="C137" s="2">
        <f>IFERROR(INDEX(البيانات_الأساسية!A:A, MATCH(124, البيانات_الأساسية!$I:$I, 0)), "")</f>
        <v>0</v>
      </c>
      <c r="D137" s="2">
        <f>IFERROR(INDEX(البيانات_الأساسية!B:B, MATCH(124, البيانات_الأساسية!$I:$I, 0)), "")</f>
        <v>0</v>
      </c>
      <c r="E137" s="2">
        <f>IFERROR(IF($C$5="الكل", INDEX(البيانات_الأساسية!D:D, MATCH(124, البيانات_الأساسية!$I:$I, 0)), INDEX(البيانات_الأساسية!$V:$AG, MATCH(124, البيانات_الأساسية!$I:$I, 0), VALUE($C$5))), "")</f>
        <v>0</v>
      </c>
      <c r="F137" s="2">
        <f>IFERROR(IF($C$5="الكل", INDEX(البيانات_الأساسية!C:C, MATCH(124, البيانات_الأساسية!$I:$I, 0)), INDEX(البيانات_الأساسية!$J:$U, MATCH(124, البيانات_الأساسية!$I:$I, 0), VALUE($C$5))), "")</f>
        <v>0</v>
      </c>
      <c r="G137" s="2">
        <f>IFERROR(ROUND(F137/60, 2), "")</f>
        <v>0</v>
      </c>
      <c r="H137" s="2">
        <f>IFERROR(ROUND(F137/E137, 2), "")</f>
        <v>0</v>
      </c>
      <c r="I137" s="2">
        <f>IFERROR(IF($C$5="الكل", INDEX(البيانات_الأساسية!G:G, MATCH(124, البيانات_الأساسية!$I:$I, 0)), $C$5), "")</f>
        <v>0</v>
      </c>
    </row>
    <row r="138" spans="2:9" s="4" customFormat="1" ht="20" customHeight="1">
      <c r="B138" s="2">
        <f>IF(C138="","", 125)</f>
        <v>0</v>
      </c>
      <c r="C138" s="2">
        <f>IFERROR(INDEX(البيانات_الأساسية!A:A, MATCH(125, البيانات_الأساسية!$I:$I, 0)), "")</f>
        <v>0</v>
      </c>
      <c r="D138" s="2">
        <f>IFERROR(INDEX(البيانات_الأساسية!B:B, MATCH(125, البيانات_الأساسية!$I:$I, 0)), "")</f>
        <v>0</v>
      </c>
      <c r="E138" s="2">
        <f>IFERROR(IF($C$5="الكل", INDEX(البيانات_الأساسية!D:D, MATCH(125, البيانات_الأساسية!$I:$I, 0)), INDEX(البيانات_الأساسية!$V:$AG, MATCH(125, البيانات_الأساسية!$I:$I, 0), VALUE($C$5))), "")</f>
        <v>0</v>
      </c>
      <c r="F138" s="2">
        <f>IFERROR(IF($C$5="الكل", INDEX(البيانات_الأساسية!C:C, MATCH(125, البيانات_الأساسية!$I:$I, 0)), INDEX(البيانات_الأساسية!$J:$U, MATCH(125, البيانات_الأساسية!$I:$I, 0), VALUE($C$5))), "")</f>
        <v>0</v>
      </c>
      <c r="G138" s="2">
        <f>IFERROR(ROUND(F138/60, 2), "")</f>
        <v>0</v>
      </c>
      <c r="H138" s="2">
        <f>IFERROR(ROUND(F138/E138, 2), "")</f>
        <v>0</v>
      </c>
      <c r="I138" s="2">
        <f>IFERROR(IF($C$5="الكل", INDEX(البيانات_الأساسية!G:G, MATCH(125, البيانات_الأساسية!$I:$I, 0)), $C$5), "")</f>
        <v>0</v>
      </c>
    </row>
    <row r="139" spans="2:9" s="4" customFormat="1" ht="20" customHeight="1">
      <c r="B139" s="2">
        <f>IF(C139="","", 126)</f>
        <v>0</v>
      </c>
      <c r="C139" s="2">
        <f>IFERROR(INDEX(البيانات_الأساسية!A:A, MATCH(126, البيانات_الأساسية!$I:$I, 0)), "")</f>
        <v>0</v>
      </c>
      <c r="D139" s="2">
        <f>IFERROR(INDEX(البيانات_الأساسية!B:B, MATCH(126, البيانات_الأساسية!$I:$I, 0)), "")</f>
        <v>0</v>
      </c>
      <c r="E139" s="2">
        <f>IFERROR(IF($C$5="الكل", INDEX(البيانات_الأساسية!D:D, MATCH(126, البيانات_الأساسية!$I:$I, 0)), INDEX(البيانات_الأساسية!$V:$AG, MATCH(126, البيانات_الأساسية!$I:$I, 0), VALUE($C$5))), "")</f>
        <v>0</v>
      </c>
      <c r="F139" s="2">
        <f>IFERROR(IF($C$5="الكل", INDEX(البيانات_الأساسية!C:C, MATCH(126, البيانات_الأساسية!$I:$I, 0)), INDEX(البيانات_الأساسية!$J:$U, MATCH(126, البيانات_الأساسية!$I:$I, 0), VALUE($C$5))), "")</f>
        <v>0</v>
      </c>
      <c r="G139" s="2">
        <f>IFERROR(ROUND(F139/60, 2), "")</f>
        <v>0</v>
      </c>
      <c r="H139" s="2">
        <f>IFERROR(ROUND(F139/E139, 2), "")</f>
        <v>0</v>
      </c>
      <c r="I139" s="2">
        <f>IFERROR(IF($C$5="الكل", INDEX(البيانات_الأساسية!G:G, MATCH(126, البيانات_الأساسية!$I:$I, 0)), $C$5), "")</f>
        <v>0</v>
      </c>
    </row>
    <row r="140" spans="2:9" s="4" customFormat="1" ht="20" customHeight="1">
      <c r="B140" s="2">
        <f>IF(C140="","", 127)</f>
        <v>0</v>
      </c>
      <c r="C140" s="2">
        <f>IFERROR(INDEX(البيانات_الأساسية!A:A, MATCH(127, البيانات_الأساسية!$I:$I, 0)), "")</f>
        <v>0</v>
      </c>
      <c r="D140" s="2">
        <f>IFERROR(INDEX(البيانات_الأساسية!B:B, MATCH(127, البيانات_الأساسية!$I:$I, 0)), "")</f>
        <v>0</v>
      </c>
      <c r="E140" s="2">
        <f>IFERROR(IF($C$5="الكل", INDEX(البيانات_الأساسية!D:D, MATCH(127, البيانات_الأساسية!$I:$I, 0)), INDEX(البيانات_الأساسية!$V:$AG, MATCH(127, البيانات_الأساسية!$I:$I, 0), VALUE($C$5))), "")</f>
        <v>0</v>
      </c>
      <c r="F140" s="2">
        <f>IFERROR(IF($C$5="الكل", INDEX(البيانات_الأساسية!C:C, MATCH(127, البيانات_الأساسية!$I:$I, 0)), INDEX(البيانات_الأساسية!$J:$U, MATCH(127, البيانات_الأساسية!$I:$I, 0), VALUE($C$5))), "")</f>
        <v>0</v>
      </c>
      <c r="G140" s="2">
        <f>IFERROR(ROUND(F140/60, 2), "")</f>
        <v>0</v>
      </c>
      <c r="H140" s="2">
        <f>IFERROR(ROUND(F140/E140, 2), "")</f>
        <v>0</v>
      </c>
      <c r="I140" s="2">
        <f>IFERROR(IF($C$5="الكل", INDEX(البيانات_الأساسية!G:G, MATCH(127, البيانات_الأساسية!$I:$I, 0)), $C$5), "")</f>
        <v>0</v>
      </c>
    </row>
    <row r="141" spans="2:9" s="4" customFormat="1" ht="20" customHeight="1">
      <c r="B141" s="2">
        <f>IF(C141="","", 128)</f>
        <v>0</v>
      </c>
      <c r="C141" s="2">
        <f>IFERROR(INDEX(البيانات_الأساسية!A:A, MATCH(128, البيانات_الأساسية!$I:$I, 0)), "")</f>
        <v>0</v>
      </c>
      <c r="D141" s="2">
        <f>IFERROR(INDEX(البيانات_الأساسية!B:B, MATCH(128, البيانات_الأساسية!$I:$I, 0)), "")</f>
        <v>0</v>
      </c>
      <c r="E141" s="2">
        <f>IFERROR(IF($C$5="الكل", INDEX(البيانات_الأساسية!D:D, MATCH(128, البيانات_الأساسية!$I:$I, 0)), INDEX(البيانات_الأساسية!$V:$AG, MATCH(128, البيانات_الأساسية!$I:$I, 0), VALUE($C$5))), "")</f>
        <v>0</v>
      </c>
      <c r="F141" s="2">
        <f>IFERROR(IF($C$5="الكل", INDEX(البيانات_الأساسية!C:C, MATCH(128, البيانات_الأساسية!$I:$I, 0)), INDEX(البيانات_الأساسية!$J:$U, MATCH(128, البيانات_الأساسية!$I:$I, 0), VALUE($C$5))), "")</f>
        <v>0</v>
      </c>
      <c r="G141" s="2">
        <f>IFERROR(ROUND(F141/60, 2), "")</f>
        <v>0</v>
      </c>
      <c r="H141" s="2">
        <f>IFERROR(ROUND(F141/E141, 2), "")</f>
        <v>0</v>
      </c>
      <c r="I141" s="2">
        <f>IFERROR(IF($C$5="الكل", INDEX(البيانات_الأساسية!G:G, MATCH(128, البيانات_الأساسية!$I:$I, 0)), $C$5), "")</f>
        <v>0</v>
      </c>
    </row>
    <row r="142" spans="2:9" s="4" customFormat="1" ht="20" customHeight="1">
      <c r="B142" s="2">
        <f>IF(C142="","", 129)</f>
        <v>0</v>
      </c>
      <c r="C142" s="2">
        <f>IFERROR(INDEX(البيانات_الأساسية!A:A, MATCH(129, البيانات_الأساسية!$I:$I, 0)), "")</f>
        <v>0</v>
      </c>
      <c r="D142" s="2">
        <f>IFERROR(INDEX(البيانات_الأساسية!B:B, MATCH(129, البيانات_الأساسية!$I:$I, 0)), "")</f>
        <v>0</v>
      </c>
      <c r="E142" s="2">
        <f>IFERROR(IF($C$5="الكل", INDEX(البيانات_الأساسية!D:D, MATCH(129, البيانات_الأساسية!$I:$I, 0)), INDEX(البيانات_الأساسية!$V:$AG, MATCH(129, البيانات_الأساسية!$I:$I, 0), VALUE($C$5))), "")</f>
        <v>0</v>
      </c>
      <c r="F142" s="2">
        <f>IFERROR(IF($C$5="الكل", INDEX(البيانات_الأساسية!C:C, MATCH(129, البيانات_الأساسية!$I:$I, 0)), INDEX(البيانات_الأساسية!$J:$U, MATCH(129, البيانات_الأساسية!$I:$I, 0), VALUE($C$5))), "")</f>
        <v>0</v>
      </c>
      <c r="G142" s="2">
        <f>IFERROR(ROUND(F142/60, 2), "")</f>
        <v>0</v>
      </c>
      <c r="H142" s="2">
        <f>IFERROR(ROUND(F142/E142, 2), "")</f>
        <v>0</v>
      </c>
      <c r="I142" s="2">
        <f>IFERROR(IF($C$5="الكل", INDEX(البيانات_الأساسية!G:G, MATCH(129, البيانات_الأساسية!$I:$I, 0)), $C$5), "")</f>
        <v>0</v>
      </c>
    </row>
    <row r="143" spans="2:9" s="4" customFormat="1" ht="20" customHeight="1">
      <c r="B143" s="2">
        <f>IF(C143="","", 130)</f>
        <v>0</v>
      </c>
      <c r="C143" s="2">
        <f>IFERROR(INDEX(البيانات_الأساسية!A:A, MATCH(130, البيانات_الأساسية!$I:$I, 0)), "")</f>
        <v>0</v>
      </c>
      <c r="D143" s="2">
        <f>IFERROR(INDEX(البيانات_الأساسية!B:B, MATCH(130, البيانات_الأساسية!$I:$I, 0)), "")</f>
        <v>0</v>
      </c>
      <c r="E143" s="2">
        <f>IFERROR(IF($C$5="الكل", INDEX(البيانات_الأساسية!D:D, MATCH(130, البيانات_الأساسية!$I:$I, 0)), INDEX(البيانات_الأساسية!$V:$AG, MATCH(130, البيانات_الأساسية!$I:$I, 0), VALUE($C$5))), "")</f>
        <v>0</v>
      </c>
      <c r="F143" s="2">
        <f>IFERROR(IF($C$5="الكل", INDEX(البيانات_الأساسية!C:C, MATCH(130, البيانات_الأساسية!$I:$I, 0)), INDEX(البيانات_الأساسية!$J:$U, MATCH(130, البيانات_الأساسية!$I:$I, 0), VALUE($C$5))), "")</f>
        <v>0</v>
      </c>
      <c r="G143" s="2">
        <f>IFERROR(ROUND(F143/60, 2), "")</f>
        <v>0</v>
      </c>
      <c r="H143" s="2">
        <f>IFERROR(ROUND(F143/E143, 2), "")</f>
        <v>0</v>
      </c>
      <c r="I143" s="2">
        <f>IFERROR(IF($C$5="الكل", INDEX(البيانات_الأساسية!G:G, MATCH(130, البيانات_الأساسية!$I:$I, 0)), $C$5), "")</f>
        <v>0</v>
      </c>
    </row>
    <row r="144" spans="2:9" s="4" customFormat="1" ht="20" customHeight="1">
      <c r="B144" s="2">
        <f>IF(C144="","", 131)</f>
        <v>0</v>
      </c>
      <c r="C144" s="2">
        <f>IFERROR(INDEX(البيانات_الأساسية!A:A, MATCH(131, البيانات_الأساسية!$I:$I, 0)), "")</f>
        <v>0</v>
      </c>
      <c r="D144" s="2">
        <f>IFERROR(INDEX(البيانات_الأساسية!B:B, MATCH(131, البيانات_الأساسية!$I:$I, 0)), "")</f>
        <v>0</v>
      </c>
      <c r="E144" s="2">
        <f>IFERROR(IF($C$5="الكل", INDEX(البيانات_الأساسية!D:D, MATCH(131, البيانات_الأساسية!$I:$I, 0)), INDEX(البيانات_الأساسية!$V:$AG, MATCH(131, البيانات_الأساسية!$I:$I, 0), VALUE($C$5))), "")</f>
        <v>0</v>
      </c>
      <c r="F144" s="2">
        <f>IFERROR(IF($C$5="الكل", INDEX(البيانات_الأساسية!C:C, MATCH(131, البيانات_الأساسية!$I:$I, 0)), INDEX(البيانات_الأساسية!$J:$U, MATCH(131, البيانات_الأساسية!$I:$I, 0), VALUE($C$5))), "")</f>
        <v>0</v>
      </c>
      <c r="G144" s="2">
        <f>IFERROR(ROUND(F144/60, 2), "")</f>
        <v>0</v>
      </c>
      <c r="H144" s="2">
        <f>IFERROR(ROUND(F144/E144, 2), "")</f>
        <v>0</v>
      </c>
      <c r="I144" s="2">
        <f>IFERROR(IF($C$5="الكل", INDEX(البيانات_الأساسية!G:G, MATCH(131, البيانات_الأساسية!$I:$I, 0)), $C$5), "")</f>
        <v>0</v>
      </c>
    </row>
    <row r="145" spans="2:9" s="4" customFormat="1" ht="20" customHeight="1">
      <c r="B145" s="2">
        <f>IF(C145="","", 132)</f>
        <v>0</v>
      </c>
      <c r="C145" s="2">
        <f>IFERROR(INDEX(البيانات_الأساسية!A:A, MATCH(132, البيانات_الأساسية!$I:$I, 0)), "")</f>
        <v>0</v>
      </c>
      <c r="D145" s="2">
        <f>IFERROR(INDEX(البيانات_الأساسية!B:B, MATCH(132, البيانات_الأساسية!$I:$I, 0)), "")</f>
        <v>0</v>
      </c>
      <c r="E145" s="2">
        <f>IFERROR(IF($C$5="الكل", INDEX(البيانات_الأساسية!D:D, MATCH(132, البيانات_الأساسية!$I:$I, 0)), INDEX(البيانات_الأساسية!$V:$AG, MATCH(132, البيانات_الأساسية!$I:$I, 0), VALUE($C$5))), "")</f>
        <v>0</v>
      </c>
      <c r="F145" s="2">
        <f>IFERROR(IF($C$5="الكل", INDEX(البيانات_الأساسية!C:C, MATCH(132, البيانات_الأساسية!$I:$I, 0)), INDEX(البيانات_الأساسية!$J:$U, MATCH(132, البيانات_الأساسية!$I:$I, 0), VALUE($C$5))), "")</f>
        <v>0</v>
      </c>
      <c r="G145" s="2">
        <f>IFERROR(ROUND(F145/60, 2), "")</f>
        <v>0</v>
      </c>
      <c r="H145" s="2">
        <f>IFERROR(ROUND(F145/E145, 2), "")</f>
        <v>0</v>
      </c>
      <c r="I145" s="2">
        <f>IFERROR(IF($C$5="الكل", INDEX(البيانات_الأساسية!G:G, MATCH(132, البيانات_الأساسية!$I:$I, 0)), $C$5), "")</f>
        <v>0</v>
      </c>
    </row>
    <row r="146" spans="2:9" s="4" customFormat="1" ht="20" customHeight="1">
      <c r="B146" s="2">
        <f>IF(C146="","", 133)</f>
        <v>0</v>
      </c>
      <c r="C146" s="2">
        <f>IFERROR(INDEX(البيانات_الأساسية!A:A, MATCH(133, البيانات_الأساسية!$I:$I, 0)), "")</f>
        <v>0</v>
      </c>
      <c r="D146" s="2">
        <f>IFERROR(INDEX(البيانات_الأساسية!B:B, MATCH(133, البيانات_الأساسية!$I:$I, 0)), "")</f>
        <v>0</v>
      </c>
      <c r="E146" s="2">
        <f>IFERROR(IF($C$5="الكل", INDEX(البيانات_الأساسية!D:D, MATCH(133, البيانات_الأساسية!$I:$I, 0)), INDEX(البيانات_الأساسية!$V:$AG, MATCH(133, البيانات_الأساسية!$I:$I, 0), VALUE($C$5))), "")</f>
        <v>0</v>
      </c>
      <c r="F146" s="2">
        <f>IFERROR(IF($C$5="الكل", INDEX(البيانات_الأساسية!C:C, MATCH(133, البيانات_الأساسية!$I:$I, 0)), INDEX(البيانات_الأساسية!$J:$U, MATCH(133, البيانات_الأساسية!$I:$I, 0), VALUE($C$5))), "")</f>
        <v>0</v>
      </c>
      <c r="G146" s="2">
        <f>IFERROR(ROUND(F146/60, 2), "")</f>
        <v>0</v>
      </c>
      <c r="H146" s="2">
        <f>IFERROR(ROUND(F146/E146, 2), "")</f>
        <v>0</v>
      </c>
      <c r="I146" s="2">
        <f>IFERROR(IF($C$5="الكل", INDEX(البيانات_الأساسية!G:G, MATCH(133, البيانات_الأساسية!$I:$I, 0)), $C$5), "")</f>
        <v>0</v>
      </c>
    </row>
    <row r="147" spans="2:9" s="4" customFormat="1" ht="20" customHeight="1">
      <c r="B147" s="2">
        <f>IF(C147="","", 134)</f>
        <v>0</v>
      </c>
      <c r="C147" s="2">
        <f>IFERROR(INDEX(البيانات_الأساسية!A:A, MATCH(134, البيانات_الأساسية!$I:$I, 0)), "")</f>
        <v>0</v>
      </c>
      <c r="D147" s="2">
        <f>IFERROR(INDEX(البيانات_الأساسية!B:B, MATCH(134, البيانات_الأساسية!$I:$I, 0)), "")</f>
        <v>0</v>
      </c>
      <c r="E147" s="2">
        <f>IFERROR(IF($C$5="الكل", INDEX(البيانات_الأساسية!D:D, MATCH(134, البيانات_الأساسية!$I:$I, 0)), INDEX(البيانات_الأساسية!$V:$AG, MATCH(134, البيانات_الأساسية!$I:$I, 0), VALUE($C$5))), "")</f>
        <v>0</v>
      </c>
      <c r="F147" s="2">
        <f>IFERROR(IF($C$5="الكل", INDEX(البيانات_الأساسية!C:C, MATCH(134, البيانات_الأساسية!$I:$I, 0)), INDEX(البيانات_الأساسية!$J:$U, MATCH(134, البيانات_الأساسية!$I:$I, 0), VALUE($C$5))), "")</f>
        <v>0</v>
      </c>
      <c r="G147" s="2">
        <f>IFERROR(ROUND(F147/60, 2), "")</f>
        <v>0</v>
      </c>
      <c r="H147" s="2">
        <f>IFERROR(ROUND(F147/E147, 2), "")</f>
        <v>0</v>
      </c>
      <c r="I147" s="2">
        <f>IFERROR(IF($C$5="الكل", INDEX(البيانات_الأساسية!G:G, MATCH(134, البيانات_الأساسية!$I:$I, 0)), $C$5), "")</f>
        <v>0</v>
      </c>
    </row>
    <row r="148" spans="2:9" s="4" customFormat="1" ht="20" customHeight="1">
      <c r="B148" s="2">
        <f>IF(C148="","", 135)</f>
        <v>0</v>
      </c>
      <c r="C148" s="2">
        <f>IFERROR(INDEX(البيانات_الأساسية!A:A, MATCH(135, البيانات_الأساسية!$I:$I, 0)), "")</f>
        <v>0</v>
      </c>
      <c r="D148" s="2">
        <f>IFERROR(INDEX(البيانات_الأساسية!B:B, MATCH(135, البيانات_الأساسية!$I:$I, 0)), "")</f>
        <v>0</v>
      </c>
      <c r="E148" s="2">
        <f>IFERROR(IF($C$5="الكل", INDEX(البيانات_الأساسية!D:D, MATCH(135, البيانات_الأساسية!$I:$I, 0)), INDEX(البيانات_الأساسية!$V:$AG, MATCH(135, البيانات_الأساسية!$I:$I, 0), VALUE($C$5))), "")</f>
        <v>0</v>
      </c>
      <c r="F148" s="2">
        <f>IFERROR(IF($C$5="الكل", INDEX(البيانات_الأساسية!C:C, MATCH(135, البيانات_الأساسية!$I:$I, 0)), INDEX(البيانات_الأساسية!$J:$U, MATCH(135, البيانات_الأساسية!$I:$I, 0), VALUE($C$5))), "")</f>
        <v>0</v>
      </c>
      <c r="G148" s="2">
        <f>IFERROR(ROUND(F148/60, 2), "")</f>
        <v>0</v>
      </c>
      <c r="H148" s="2">
        <f>IFERROR(ROUND(F148/E148, 2), "")</f>
        <v>0</v>
      </c>
      <c r="I148" s="2">
        <f>IFERROR(IF($C$5="الكل", INDEX(البيانات_الأساسية!G:G, MATCH(135, البيانات_الأساسية!$I:$I, 0)), $C$5), "")</f>
        <v>0</v>
      </c>
    </row>
    <row r="149" spans="2:9" s="4" customFormat="1" ht="20" customHeight="1">
      <c r="B149" s="2">
        <f>IF(C149="","", 136)</f>
        <v>0</v>
      </c>
      <c r="C149" s="2">
        <f>IFERROR(INDEX(البيانات_الأساسية!A:A, MATCH(136, البيانات_الأساسية!$I:$I, 0)), "")</f>
        <v>0</v>
      </c>
      <c r="D149" s="2">
        <f>IFERROR(INDEX(البيانات_الأساسية!B:B, MATCH(136, البيانات_الأساسية!$I:$I, 0)), "")</f>
        <v>0</v>
      </c>
      <c r="E149" s="2">
        <f>IFERROR(IF($C$5="الكل", INDEX(البيانات_الأساسية!D:D, MATCH(136, البيانات_الأساسية!$I:$I, 0)), INDEX(البيانات_الأساسية!$V:$AG, MATCH(136, البيانات_الأساسية!$I:$I, 0), VALUE($C$5))), "")</f>
        <v>0</v>
      </c>
      <c r="F149" s="2">
        <f>IFERROR(IF($C$5="الكل", INDEX(البيانات_الأساسية!C:C, MATCH(136, البيانات_الأساسية!$I:$I, 0)), INDEX(البيانات_الأساسية!$J:$U, MATCH(136, البيانات_الأساسية!$I:$I, 0), VALUE($C$5))), "")</f>
        <v>0</v>
      </c>
      <c r="G149" s="2">
        <f>IFERROR(ROUND(F149/60, 2), "")</f>
        <v>0</v>
      </c>
      <c r="H149" s="2">
        <f>IFERROR(ROUND(F149/E149, 2), "")</f>
        <v>0</v>
      </c>
      <c r="I149" s="2">
        <f>IFERROR(IF($C$5="الكل", INDEX(البيانات_الأساسية!G:G, MATCH(136, البيانات_الأساسية!$I:$I, 0)), $C$5), "")</f>
        <v>0</v>
      </c>
    </row>
    <row r="150" spans="2:9" s="4" customFormat="1" ht="20" customHeight="1">
      <c r="B150" s="2">
        <f>IF(C150="","", 137)</f>
        <v>0</v>
      </c>
      <c r="C150" s="2">
        <f>IFERROR(INDEX(البيانات_الأساسية!A:A, MATCH(137, البيانات_الأساسية!$I:$I, 0)), "")</f>
        <v>0</v>
      </c>
      <c r="D150" s="2">
        <f>IFERROR(INDEX(البيانات_الأساسية!B:B, MATCH(137, البيانات_الأساسية!$I:$I, 0)), "")</f>
        <v>0</v>
      </c>
      <c r="E150" s="2">
        <f>IFERROR(IF($C$5="الكل", INDEX(البيانات_الأساسية!D:D, MATCH(137, البيانات_الأساسية!$I:$I, 0)), INDEX(البيانات_الأساسية!$V:$AG, MATCH(137, البيانات_الأساسية!$I:$I, 0), VALUE($C$5))), "")</f>
        <v>0</v>
      </c>
      <c r="F150" s="2">
        <f>IFERROR(IF($C$5="الكل", INDEX(البيانات_الأساسية!C:C, MATCH(137, البيانات_الأساسية!$I:$I, 0)), INDEX(البيانات_الأساسية!$J:$U, MATCH(137, البيانات_الأساسية!$I:$I, 0), VALUE($C$5))), "")</f>
        <v>0</v>
      </c>
      <c r="G150" s="2">
        <f>IFERROR(ROUND(F150/60, 2), "")</f>
        <v>0</v>
      </c>
      <c r="H150" s="2">
        <f>IFERROR(ROUND(F150/E150, 2), "")</f>
        <v>0</v>
      </c>
      <c r="I150" s="2">
        <f>IFERROR(IF($C$5="الكل", INDEX(البيانات_الأساسية!G:G, MATCH(137, البيانات_الأساسية!$I:$I, 0)), $C$5), "")</f>
        <v>0</v>
      </c>
    </row>
    <row r="151" spans="2:9" s="4" customFormat="1" ht="20" customHeight="1">
      <c r="B151" s="2">
        <f>IF(C151="","", 138)</f>
        <v>0</v>
      </c>
      <c r="C151" s="2">
        <f>IFERROR(INDEX(البيانات_الأساسية!A:A, MATCH(138, البيانات_الأساسية!$I:$I, 0)), "")</f>
        <v>0</v>
      </c>
      <c r="D151" s="2">
        <f>IFERROR(INDEX(البيانات_الأساسية!B:B, MATCH(138, البيانات_الأساسية!$I:$I, 0)), "")</f>
        <v>0</v>
      </c>
      <c r="E151" s="2">
        <f>IFERROR(IF($C$5="الكل", INDEX(البيانات_الأساسية!D:D, MATCH(138, البيانات_الأساسية!$I:$I, 0)), INDEX(البيانات_الأساسية!$V:$AG, MATCH(138, البيانات_الأساسية!$I:$I, 0), VALUE($C$5))), "")</f>
        <v>0</v>
      </c>
      <c r="F151" s="2">
        <f>IFERROR(IF($C$5="الكل", INDEX(البيانات_الأساسية!C:C, MATCH(138, البيانات_الأساسية!$I:$I, 0)), INDEX(البيانات_الأساسية!$J:$U, MATCH(138, البيانات_الأساسية!$I:$I, 0), VALUE($C$5))), "")</f>
        <v>0</v>
      </c>
      <c r="G151" s="2">
        <f>IFERROR(ROUND(F151/60, 2), "")</f>
        <v>0</v>
      </c>
      <c r="H151" s="2">
        <f>IFERROR(ROUND(F151/E151, 2), "")</f>
        <v>0</v>
      </c>
      <c r="I151" s="2">
        <f>IFERROR(IF($C$5="الكل", INDEX(البيانات_الأساسية!G:G, MATCH(138, البيانات_الأساسية!$I:$I, 0)), $C$5), "")</f>
        <v>0</v>
      </c>
    </row>
    <row r="152" spans="2:9" s="4" customFormat="1" ht="20" customHeight="1">
      <c r="B152" s="2">
        <f>IF(C152="","", 139)</f>
        <v>0</v>
      </c>
      <c r="C152" s="2">
        <f>IFERROR(INDEX(البيانات_الأساسية!A:A, MATCH(139, البيانات_الأساسية!$I:$I, 0)), "")</f>
        <v>0</v>
      </c>
      <c r="D152" s="2">
        <f>IFERROR(INDEX(البيانات_الأساسية!B:B, MATCH(139, البيانات_الأساسية!$I:$I, 0)), "")</f>
        <v>0</v>
      </c>
      <c r="E152" s="2">
        <f>IFERROR(IF($C$5="الكل", INDEX(البيانات_الأساسية!D:D, MATCH(139, البيانات_الأساسية!$I:$I, 0)), INDEX(البيانات_الأساسية!$V:$AG, MATCH(139, البيانات_الأساسية!$I:$I, 0), VALUE($C$5))), "")</f>
        <v>0</v>
      </c>
      <c r="F152" s="2">
        <f>IFERROR(IF($C$5="الكل", INDEX(البيانات_الأساسية!C:C, MATCH(139, البيانات_الأساسية!$I:$I, 0)), INDEX(البيانات_الأساسية!$J:$U, MATCH(139, البيانات_الأساسية!$I:$I, 0), VALUE($C$5))), "")</f>
        <v>0</v>
      </c>
      <c r="G152" s="2">
        <f>IFERROR(ROUND(F152/60, 2), "")</f>
        <v>0</v>
      </c>
      <c r="H152" s="2">
        <f>IFERROR(ROUND(F152/E152, 2), "")</f>
        <v>0</v>
      </c>
      <c r="I152" s="2">
        <f>IFERROR(IF($C$5="الكل", INDEX(البيانات_الأساسية!G:G, MATCH(139, البيانات_الأساسية!$I:$I, 0)), $C$5), "")</f>
        <v>0</v>
      </c>
    </row>
    <row r="153" spans="2:9" s="4" customFormat="1" ht="20" customHeight="1">
      <c r="B153" s="2">
        <f>IF(C153="","", 140)</f>
        <v>0</v>
      </c>
      <c r="C153" s="2">
        <f>IFERROR(INDEX(البيانات_الأساسية!A:A, MATCH(140, البيانات_الأساسية!$I:$I, 0)), "")</f>
        <v>0</v>
      </c>
      <c r="D153" s="2">
        <f>IFERROR(INDEX(البيانات_الأساسية!B:B, MATCH(140, البيانات_الأساسية!$I:$I, 0)), "")</f>
        <v>0</v>
      </c>
      <c r="E153" s="2">
        <f>IFERROR(IF($C$5="الكل", INDEX(البيانات_الأساسية!D:D, MATCH(140, البيانات_الأساسية!$I:$I, 0)), INDEX(البيانات_الأساسية!$V:$AG, MATCH(140, البيانات_الأساسية!$I:$I, 0), VALUE($C$5))), "")</f>
        <v>0</v>
      </c>
      <c r="F153" s="2">
        <f>IFERROR(IF($C$5="الكل", INDEX(البيانات_الأساسية!C:C, MATCH(140, البيانات_الأساسية!$I:$I, 0)), INDEX(البيانات_الأساسية!$J:$U, MATCH(140, البيانات_الأساسية!$I:$I, 0), VALUE($C$5))), "")</f>
        <v>0</v>
      </c>
      <c r="G153" s="2">
        <f>IFERROR(ROUND(F153/60, 2), "")</f>
        <v>0</v>
      </c>
      <c r="H153" s="2">
        <f>IFERROR(ROUND(F153/E153, 2), "")</f>
        <v>0</v>
      </c>
      <c r="I153" s="2">
        <f>IFERROR(IF($C$5="الكل", INDEX(البيانات_الأساسية!G:G, MATCH(140, البيانات_الأساسية!$I:$I, 0)), $C$5), "")</f>
        <v>0</v>
      </c>
    </row>
    <row r="154" spans="2:9" s="4" customFormat="1" ht="20" customHeight="1">
      <c r="B154" s="2">
        <f>IF(C154="","", 141)</f>
        <v>0</v>
      </c>
      <c r="C154" s="2">
        <f>IFERROR(INDEX(البيانات_الأساسية!A:A, MATCH(141, البيانات_الأساسية!$I:$I, 0)), "")</f>
        <v>0</v>
      </c>
      <c r="D154" s="2">
        <f>IFERROR(INDEX(البيانات_الأساسية!B:B, MATCH(141, البيانات_الأساسية!$I:$I, 0)), "")</f>
        <v>0</v>
      </c>
      <c r="E154" s="2">
        <f>IFERROR(IF($C$5="الكل", INDEX(البيانات_الأساسية!D:D, MATCH(141, البيانات_الأساسية!$I:$I, 0)), INDEX(البيانات_الأساسية!$V:$AG, MATCH(141, البيانات_الأساسية!$I:$I, 0), VALUE($C$5))), "")</f>
        <v>0</v>
      </c>
      <c r="F154" s="2">
        <f>IFERROR(IF($C$5="الكل", INDEX(البيانات_الأساسية!C:C, MATCH(141, البيانات_الأساسية!$I:$I, 0)), INDEX(البيانات_الأساسية!$J:$U, MATCH(141, البيانات_الأساسية!$I:$I, 0), VALUE($C$5))), "")</f>
        <v>0</v>
      </c>
      <c r="G154" s="2">
        <f>IFERROR(ROUND(F154/60, 2), "")</f>
        <v>0</v>
      </c>
      <c r="H154" s="2">
        <f>IFERROR(ROUND(F154/E154, 2), "")</f>
        <v>0</v>
      </c>
      <c r="I154" s="2">
        <f>IFERROR(IF($C$5="الكل", INDEX(البيانات_الأساسية!G:G, MATCH(141, البيانات_الأساسية!$I:$I, 0)), $C$5), "")</f>
        <v>0</v>
      </c>
    </row>
    <row r="155" spans="2:9" s="4" customFormat="1" ht="20" customHeight="1">
      <c r="B155" s="2">
        <f>IF(C155="","", 142)</f>
        <v>0</v>
      </c>
      <c r="C155" s="2">
        <f>IFERROR(INDEX(البيانات_الأساسية!A:A, MATCH(142, البيانات_الأساسية!$I:$I, 0)), "")</f>
        <v>0</v>
      </c>
      <c r="D155" s="2">
        <f>IFERROR(INDEX(البيانات_الأساسية!B:B, MATCH(142, البيانات_الأساسية!$I:$I, 0)), "")</f>
        <v>0</v>
      </c>
      <c r="E155" s="2">
        <f>IFERROR(IF($C$5="الكل", INDEX(البيانات_الأساسية!D:D, MATCH(142, البيانات_الأساسية!$I:$I, 0)), INDEX(البيانات_الأساسية!$V:$AG, MATCH(142, البيانات_الأساسية!$I:$I, 0), VALUE($C$5))), "")</f>
        <v>0</v>
      </c>
      <c r="F155" s="2">
        <f>IFERROR(IF($C$5="الكل", INDEX(البيانات_الأساسية!C:C, MATCH(142, البيانات_الأساسية!$I:$I, 0)), INDEX(البيانات_الأساسية!$J:$U, MATCH(142, البيانات_الأساسية!$I:$I, 0), VALUE($C$5))), "")</f>
        <v>0</v>
      </c>
      <c r="G155" s="2">
        <f>IFERROR(ROUND(F155/60, 2), "")</f>
        <v>0</v>
      </c>
      <c r="H155" s="2">
        <f>IFERROR(ROUND(F155/E155, 2), "")</f>
        <v>0</v>
      </c>
      <c r="I155" s="2">
        <f>IFERROR(IF($C$5="الكل", INDEX(البيانات_الأساسية!G:G, MATCH(142, البيانات_الأساسية!$I:$I, 0)), $C$5), "")</f>
        <v>0</v>
      </c>
    </row>
    <row r="156" spans="2:9" s="4" customFormat="1" ht="20" customHeight="1">
      <c r="B156" s="2">
        <f>IF(C156="","", 143)</f>
        <v>0</v>
      </c>
      <c r="C156" s="2">
        <f>IFERROR(INDEX(البيانات_الأساسية!A:A, MATCH(143, البيانات_الأساسية!$I:$I, 0)), "")</f>
        <v>0</v>
      </c>
      <c r="D156" s="2">
        <f>IFERROR(INDEX(البيانات_الأساسية!B:B, MATCH(143, البيانات_الأساسية!$I:$I, 0)), "")</f>
        <v>0</v>
      </c>
      <c r="E156" s="2">
        <f>IFERROR(IF($C$5="الكل", INDEX(البيانات_الأساسية!D:D, MATCH(143, البيانات_الأساسية!$I:$I, 0)), INDEX(البيانات_الأساسية!$V:$AG, MATCH(143, البيانات_الأساسية!$I:$I, 0), VALUE($C$5))), "")</f>
        <v>0</v>
      </c>
      <c r="F156" s="2">
        <f>IFERROR(IF($C$5="الكل", INDEX(البيانات_الأساسية!C:C, MATCH(143, البيانات_الأساسية!$I:$I, 0)), INDEX(البيانات_الأساسية!$J:$U, MATCH(143, البيانات_الأساسية!$I:$I, 0), VALUE($C$5))), "")</f>
        <v>0</v>
      </c>
      <c r="G156" s="2">
        <f>IFERROR(ROUND(F156/60, 2), "")</f>
        <v>0</v>
      </c>
      <c r="H156" s="2">
        <f>IFERROR(ROUND(F156/E156, 2), "")</f>
        <v>0</v>
      </c>
      <c r="I156" s="2">
        <f>IFERROR(IF($C$5="الكل", INDEX(البيانات_الأساسية!G:G, MATCH(143, البيانات_الأساسية!$I:$I, 0)), $C$5), "")</f>
        <v>0</v>
      </c>
    </row>
    <row r="157" spans="2:9" s="4" customFormat="1" ht="20" customHeight="1">
      <c r="B157" s="2">
        <f>IF(C157="","", 144)</f>
        <v>0</v>
      </c>
      <c r="C157" s="2">
        <f>IFERROR(INDEX(البيانات_الأساسية!A:A, MATCH(144, البيانات_الأساسية!$I:$I, 0)), "")</f>
        <v>0</v>
      </c>
      <c r="D157" s="2">
        <f>IFERROR(INDEX(البيانات_الأساسية!B:B, MATCH(144, البيانات_الأساسية!$I:$I, 0)), "")</f>
        <v>0</v>
      </c>
      <c r="E157" s="2">
        <f>IFERROR(IF($C$5="الكل", INDEX(البيانات_الأساسية!D:D, MATCH(144, البيانات_الأساسية!$I:$I, 0)), INDEX(البيانات_الأساسية!$V:$AG, MATCH(144, البيانات_الأساسية!$I:$I, 0), VALUE($C$5))), "")</f>
        <v>0</v>
      </c>
      <c r="F157" s="2">
        <f>IFERROR(IF($C$5="الكل", INDEX(البيانات_الأساسية!C:C, MATCH(144, البيانات_الأساسية!$I:$I, 0)), INDEX(البيانات_الأساسية!$J:$U, MATCH(144, البيانات_الأساسية!$I:$I, 0), VALUE($C$5))), "")</f>
        <v>0</v>
      </c>
      <c r="G157" s="2">
        <f>IFERROR(ROUND(F157/60, 2), "")</f>
        <v>0</v>
      </c>
      <c r="H157" s="2">
        <f>IFERROR(ROUND(F157/E157, 2), "")</f>
        <v>0</v>
      </c>
      <c r="I157" s="2">
        <f>IFERROR(IF($C$5="الكل", INDEX(البيانات_الأساسية!G:G, MATCH(144, البيانات_الأساسية!$I:$I, 0)), $C$5), "")</f>
        <v>0</v>
      </c>
    </row>
    <row r="158" spans="2:9" s="4" customFormat="1" ht="20" customHeight="1">
      <c r="B158" s="2">
        <f>IF(C158="","", 145)</f>
        <v>0</v>
      </c>
      <c r="C158" s="2">
        <f>IFERROR(INDEX(البيانات_الأساسية!A:A, MATCH(145, البيانات_الأساسية!$I:$I, 0)), "")</f>
        <v>0</v>
      </c>
      <c r="D158" s="2">
        <f>IFERROR(INDEX(البيانات_الأساسية!B:B, MATCH(145, البيانات_الأساسية!$I:$I, 0)), "")</f>
        <v>0</v>
      </c>
      <c r="E158" s="2">
        <f>IFERROR(IF($C$5="الكل", INDEX(البيانات_الأساسية!D:D, MATCH(145, البيانات_الأساسية!$I:$I, 0)), INDEX(البيانات_الأساسية!$V:$AG, MATCH(145, البيانات_الأساسية!$I:$I, 0), VALUE($C$5))), "")</f>
        <v>0</v>
      </c>
      <c r="F158" s="2">
        <f>IFERROR(IF($C$5="الكل", INDEX(البيانات_الأساسية!C:C, MATCH(145, البيانات_الأساسية!$I:$I, 0)), INDEX(البيانات_الأساسية!$J:$U, MATCH(145, البيانات_الأساسية!$I:$I, 0), VALUE($C$5))), "")</f>
        <v>0</v>
      </c>
      <c r="G158" s="2">
        <f>IFERROR(ROUND(F158/60, 2), "")</f>
        <v>0</v>
      </c>
      <c r="H158" s="2">
        <f>IFERROR(ROUND(F158/E158, 2), "")</f>
        <v>0</v>
      </c>
      <c r="I158" s="2">
        <f>IFERROR(IF($C$5="الكل", INDEX(البيانات_الأساسية!G:G, MATCH(145, البيانات_الأساسية!$I:$I, 0)), $C$5), "")</f>
        <v>0</v>
      </c>
    </row>
    <row r="159" spans="2:9" s="4" customFormat="1" ht="20" customHeight="1">
      <c r="B159" s="2">
        <f>IF(C159="","", 146)</f>
        <v>0</v>
      </c>
      <c r="C159" s="2">
        <f>IFERROR(INDEX(البيانات_الأساسية!A:A, MATCH(146, البيانات_الأساسية!$I:$I, 0)), "")</f>
        <v>0</v>
      </c>
      <c r="D159" s="2">
        <f>IFERROR(INDEX(البيانات_الأساسية!B:B, MATCH(146, البيانات_الأساسية!$I:$I, 0)), "")</f>
        <v>0</v>
      </c>
      <c r="E159" s="2">
        <f>IFERROR(IF($C$5="الكل", INDEX(البيانات_الأساسية!D:D, MATCH(146, البيانات_الأساسية!$I:$I, 0)), INDEX(البيانات_الأساسية!$V:$AG, MATCH(146, البيانات_الأساسية!$I:$I, 0), VALUE($C$5))), "")</f>
        <v>0</v>
      </c>
      <c r="F159" s="2">
        <f>IFERROR(IF($C$5="الكل", INDEX(البيانات_الأساسية!C:C, MATCH(146, البيانات_الأساسية!$I:$I, 0)), INDEX(البيانات_الأساسية!$J:$U, MATCH(146, البيانات_الأساسية!$I:$I, 0), VALUE($C$5))), "")</f>
        <v>0</v>
      </c>
      <c r="G159" s="2">
        <f>IFERROR(ROUND(F159/60, 2), "")</f>
        <v>0</v>
      </c>
      <c r="H159" s="2">
        <f>IFERROR(ROUND(F159/E159, 2), "")</f>
        <v>0</v>
      </c>
      <c r="I159" s="2">
        <f>IFERROR(IF($C$5="الكل", INDEX(البيانات_الأساسية!G:G, MATCH(146, البيانات_الأساسية!$I:$I, 0)), $C$5), "")</f>
        <v>0</v>
      </c>
    </row>
    <row r="160" spans="2:9" s="4" customFormat="1" ht="20" customHeight="1">
      <c r="B160" s="2">
        <f>IF(C160="","", 147)</f>
        <v>0</v>
      </c>
      <c r="C160" s="2">
        <f>IFERROR(INDEX(البيانات_الأساسية!A:A, MATCH(147, البيانات_الأساسية!$I:$I, 0)), "")</f>
        <v>0</v>
      </c>
      <c r="D160" s="2">
        <f>IFERROR(INDEX(البيانات_الأساسية!B:B, MATCH(147, البيانات_الأساسية!$I:$I, 0)), "")</f>
        <v>0</v>
      </c>
      <c r="E160" s="2">
        <f>IFERROR(IF($C$5="الكل", INDEX(البيانات_الأساسية!D:D, MATCH(147, البيانات_الأساسية!$I:$I, 0)), INDEX(البيانات_الأساسية!$V:$AG, MATCH(147, البيانات_الأساسية!$I:$I, 0), VALUE($C$5))), "")</f>
        <v>0</v>
      </c>
      <c r="F160" s="2">
        <f>IFERROR(IF($C$5="الكل", INDEX(البيانات_الأساسية!C:C, MATCH(147, البيانات_الأساسية!$I:$I, 0)), INDEX(البيانات_الأساسية!$J:$U, MATCH(147, البيانات_الأساسية!$I:$I, 0), VALUE($C$5))), "")</f>
        <v>0</v>
      </c>
      <c r="G160" s="2">
        <f>IFERROR(ROUND(F160/60, 2), "")</f>
        <v>0</v>
      </c>
      <c r="H160" s="2">
        <f>IFERROR(ROUND(F160/E160, 2), "")</f>
        <v>0</v>
      </c>
      <c r="I160" s="2">
        <f>IFERROR(IF($C$5="الكل", INDEX(البيانات_الأساسية!G:G, MATCH(147, البيانات_الأساسية!$I:$I, 0)), $C$5), "")</f>
        <v>0</v>
      </c>
    </row>
    <row r="161" spans="2:9" s="4" customFormat="1" ht="20" customHeight="1">
      <c r="B161" s="2">
        <f>IF(C161="","", 148)</f>
        <v>0</v>
      </c>
      <c r="C161" s="2">
        <f>IFERROR(INDEX(البيانات_الأساسية!A:A, MATCH(148, البيانات_الأساسية!$I:$I, 0)), "")</f>
        <v>0</v>
      </c>
      <c r="D161" s="2">
        <f>IFERROR(INDEX(البيانات_الأساسية!B:B, MATCH(148, البيانات_الأساسية!$I:$I, 0)), "")</f>
        <v>0</v>
      </c>
      <c r="E161" s="2">
        <f>IFERROR(IF($C$5="الكل", INDEX(البيانات_الأساسية!D:D, MATCH(148, البيانات_الأساسية!$I:$I, 0)), INDEX(البيانات_الأساسية!$V:$AG, MATCH(148, البيانات_الأساسية!$I:$I, 0), VALUE($C$5))), "")</f>
        <v>0</v>
      </c>
      <c r="F161" s="2">
        <f>IFERROR(IF($C$5="الكل", INDEX(البيانات_الأساسية!C:C, MATCH(148, البيانات_الأساسية!$I:$I, 0)), INDEX(البيانات_الأساسية!$J:$U, MATCH(148, البيانات_الأساسية!$I:$I, 0), VALUE($C$5))), "")</f>
        <v>0</v>
      </c>
      <c r="G161" s="2">
        <f>IFERROR(ROUND(F161/60, 2), "")</f>
        <v>0</v>
      </c>
      <c r="H161" s="2">
        <f>IFERROR(ROUND(F161/E161, 2), "")</f>
        <v>0</v>
      </c>
      <c r="I161" s="2">
        <f>IFERROR(IF($C$5="الكل", INDEX(البيانات_الأساسية!G:G, MATCH(148, البيانات_الأساسية!$I:$I, 0)), $C$5), "")</f>
        <v>0</v>
      </c>
    </row>
    <row r="162" spans="2:9" s="4" customFormat="1" ht="20" customHeight="1">
      <c r="B162" s="2">
        <f>IF(C162="","", 149)</f>
        <v>0</v>
      </c>
      <c r="C162" s="2">
        <f>IFERROR(INDEX(البيانات_الأساسية!A:A, MATCH(149, البيانات_الأساسية!$I:$I, 0)), "")</f>
        <v>0</v>
      </c>
      <c r="D162" s="2">
        <f>IFERROR(INDEX(البيانات_الأساسية!B:B, MATCH(149, البيانات_الأساسية!$I:$I, 0)), "")</f>
        <v>0</v>
      </c>
      <c r="E162" s="2">
        <f>IFERROR(IF($C$5="الكل", INDEX(البيانات_الأساسية!D:D, MATCH(149, البيانات_الأساسية!$I:$I, 0)), INDEX(البيانات_الأساسية!$V:$AG, MATCH(149, البيانات_الأساسية!$I:$I, 0), VALUE($C$5))), "")</f>
        <v>0</v>
      </c>
      <c r="F162" s="2">
        <f>IFERROR(IF($C$5="الكل", INDEX(البيانات_الأساسية!C:C, MATCH(149, البيانات_الأساسية!$I:$I, 0)), INDEX(البيانات_الأساسية!$J:$U, MATCH(149, البيانات_الأساسية!$I:$I, 0), VALUE($C$5))), "")</f>
        <v>0</v>
      </c>
      <c r="G162" s="2">
        <f>IFERROR(ROUND(F162/60, 2), "")</f>
        <v>0</v>
      </c>
      <c r="H162" s="2">
        <f>IFERROR(ROUND(F162/E162, 2), "")</f>
        <v>0</v>
      </c>
      <c r="I162" s="2">
        <f>IFERROR(IF($C$5="الكل", INDEX(البيانات_الأساسية!G:G, MATCH(149, البيانات_الأساسية!$I:$I, 0)), $C$5), "")</f>
        <v>0</v>
      </c>
    </row>
    <row r="163" spans="2:9" s="4" customFormat="1" ht="20" customHeight="1">
      <c r="B163" s="2">
        <f>IF(C163="","", 150)</f>
        <v>0</v>
      </c>
      <c r="C163" s="2">
        <f>IFERROR(INDEX(البيانات_الأساسية!A:A, MATCH(150, البيانات_الأساسية!$I:$I, 0)), "")</f>
        <v>0</v>
      </c>
      <c r="D163" s="2">
        <f>IFERROR(INDEX(البيانات_الأساسية!B:B, MATCH(150, البيانات_الأساسية!$I:$I, 0)), "")</f>
        <v>0</v>
      </c>
      <c r="E163" s="2">
        <f>IFERROR(IF($C$5="الكل", INDEX(البيانات_الأساسية!D:D, MATCH(150, البيانات_الأساسية!$I:$I, 0)), INDEX(البيانات_الأساسية!$V:$AG, MATCH(150, البيانات_الأساسية!$I:$I, 0), VALUE($C$5))), "")</f>
        <v>0</v>
      </c>
      <c r="F163" s="2">
        <f>IFERROR(IF($C$5="الكل", INDEX(البيانات_الأساسية!C:C, MATCH(150, البيانات_الأساسية!$I:$I, 0)), INDEX(البيانات_الأساسية!$J:$U, MATCH(150, البيانات_الأساسية!$I:$I, 0), VALUE($C$5))), "")</f>
        <v>0</v>
      </c>
      <c r="G163" s="2">
        <f>IFERROR(ROUND(F163/60, 2), "")</f>
        <v>0</v>
      </c>
      <c r="H163" s="2">
        <f>IFERROR(ROUND(F163/E163, 2), "")</f>
        <v>0</v>
      </c>
      <c r="I163" s="2">
        <f>IFERROR(IF($C$5="الكل", INDEX(البيانات_الأساسية!G:G, MATCH(150, البيانات_الأساسية!$I:$I, 0)), $C$5), "")</f>
        <v>0</v>
      </c>
    </row>
    <row r="164" spans="2:9" s="4" customFormat="1" ht="20" customHeight="1">
      <c r="B164" s="2">
        <f>IF(C164="","", 151)</f>
        <v>0</v>
      </c>
      <c r="C164" s="2">
        <f>IFERROR(INDEX(البيانات_الأساسية!A:A, MATCH(151, البيانات_الأساسية!$I:$I, 0)), "")</f>
        <v>0</v>
      </c>
      <c r="D164" s="2">
        <f>IFERROR(INDEX(البيانات_الأساسية!B:B, MATCH(151, البيانات_الأساسية!$I:$I, 0)), "")</f>
        <v>0</v>
      </c>
      <c r="E164" s="2">
        <f>IFERROR(IF($C$5="الكل", INDEX(البيانات_الأساسية!D:D, MATCH(151, البيانات_الأساسية!$I:$I, 0)), INDEX(البيانات_الأساسية!$V:$AG, MATCH(151, البيانات_الأساسية!$I:$I, 0), VALUE($C$5))), "")</f>
        <v>0</v>
      </c>
      <c r="F164" s="2">
        <f>IFERROR(IF($C$5="الكل", INDEX(البيانات_الأساسية!C:C, MATCH(151, البيانات_الأساسية!$I:$I, 0)), INDEX(البيانات_الأساسية!$J:$U, MATCH(151, البيانات_الأساسية!$I:$I, 0), VALUE($C$5))), "")</f>
        <v>0</v>
      </c>
      <c r="G164" s="2">
        <f>IFERROR(ROUND(F164/60, 2), "")</f>
        <v>0</v>
      </c>
      <c r="H164" s="2">
        <f>IFERROR(ROUND(F164/E164, 2), "")</f>
        <v>0</v>
      </c>
      <c r="I164" s="2">
        <f>IFERROR(IF($C$5="الكل", INDEX(البيانات_الأساسية!G:G, MATCH(151, البيانات_الأساسية!$I:$I, 0)), $C$5), "")</f>
        <v>0</v>
      </c>
    </row>
    <row r="165" spans="2:9" s="4" customFormat="1" ht="20" customHeight="1">
      <c r="B165" s="2">
        <f>IF(C165="","", 152)</f>
        <v>0</v>
      </c>
      <c r="C165" s="2">
        <f>IFERROR(INDEX(البيانات_الأساسية!A:A, MATCH(152, البيانات_الأساسية!$I:$I, 0)), "")</f>
        <v>0</v>
      </c>
      <c r="D165" s="2">
        <f>IFERROR(INDEX(البيانات_الأساسية!B:B, MATCH(152, البيانات_الأساسية!$I:$I, 0)), "")</f>
        <v>0</v>
      </c>
      <c r="E165" s="2">
        <f>IFERROR(IF($C$5="الكل", INDEX(البيانات_الأساسية!D:D, MATCH(152, البيانات_الأساسية!$I:$I, 0)), INDEX(البيانات_الأساسية!$V:$AG, MATCH(152, البيانات_الأساسية!$I:$I, 0), VALUE($C$5))), "")</f>
        <v>0</v>
      </c>
      <c r="F165" s="2">
        <f>IFERROR(IF($C$5="الكل", INDEX(البيانات_الأساسية!C:C, MATCH(152, البيانات_الأساسية!$I:$I, 0)), INDEX(البيانات_الأساسية!$J:$U, MATCH(152, البيانات_الأساسية!$I:$I, 0), VALUE($C$5))), "")</f>
        <v>0</v>
      </c>
      <c r="G165" s="2">
        <f>IFERROR(ROUND(F165/60, 2), "")</f>
        <v>0</v>
      </c>
      <c r="H165" s="2">
        <f>IFERROR(ROUND(F165/E165, 2), "")</f>
        <v>0</v>
      </c>
      <c r="I165" s="2">
        <f>IFERROR(IF($C$5="الكل", INDEX(البيانات_الأساسية!G:G, MATCH(152, البيانات_الأساسية!$I:$I, 0)), $C$5), "")</f>
        <v>0</v>
      </c>
    </row>
    <row r="166" spans="2:9" s="4" customFormat="1" ht="20" customHeight="1">
      <c r="B166" s="2">
        <f>IF(C166="","", 153)</f>
        <v>0</v>
      </c>
      <c r="C166" s="2">
        <f>IFERROR(INDEX(البيانات_الأساسية!A:A, MATCH(153, البيانات_الأساسية!$I:$I, 0)), "")</f>
        <v>0</v>
      </c>
      <c r="D166" s="2">
        <f>IFERROR(INDEX(البيانات_الأساسية!B:B, MATCH(153, البيانات_الأساسية!$I:$I, 0)), "")</f>
        <v>0</v>
      </c>
      <c r="E166" s="2">
        <f>IFERROR(IF($C$5="الكل", INDEX(البيانات_الأساسية!D:D, MATCH(153, البيانات_الأساسية!$I:$I, 0)), INDEX(البيانات_الأساسية!$V:$AG, MATCH(153, البيانات_الأساسية!$I:$I, 0), VALUE($C$5))), "")</f>
        <v>0</v>
      </c>
      <c r="F166" s="2">
        <f>IFERROR(IF($C$5="الكل", INDEX(البيانات_الأساسية!C:C, MATCH(153, البيانات_الأساسية!$I:$I, 0)), INDEX(البيانات_الأساسية!$J:$U, MATCH(153, البيانات_الأساسية!$I:$I, 0), VALUE($C$5))), "")</f>
        <v>0</v>
      </c>
      <c r="G166" s="2">
        <f>IFERROR(ROUND(F166/60, 2), "")</f>
        <v>0</v>
      </c>
      <c r="H166" s="2">
        <f>IFERROR(ROUND(F166/E166, 2), "")</f>
        <v>0</v>
      </c>
      <c r="I166" s="2">
        <f>IFERROR(IF($C$5="الكل", INDEX(البيانات_الأساسية!G:G, MATCH(153, البيانات_الأساسية!$I:$I, 0)), $C$5), "")</f>
        <v>0</v>
      </c>
    </row>
    <row r="167" spans="2:9" s="4" customFormat="1" ht="20" customHeight="1">
      <c r="B167" s="2">
        <f>IF(C167="","", 154)</f>
        <v>0</v>
      </c>
      <c r="C167" s="2">
        <f>IFERROR(INDEX(البيانات_الأساسية!A:A, MATCH(154, البيانات_الأساسية!$I:$I, 0)), "")</f>
        <v>0</v>
      </c>
      <c r="D167" s="2">
        <f>IFERROR(INDEX(البيانات_الأساسية!B:B, MATCH(154, البيانات_الأساسية!$I:$I, 0)), "")</f>
        <v>0</v>
      </c>
      <c r="E167" s="2">
        <f>IFERROR(IF($C$5="الكل", INDEX(البيانات_الأساسية!D:D, MATCH(154, البيانات_الأساسية!$I:$I, 0)), INDEX(البيانات_الأساسية!$V:$AG, MATCH(154, البيانات_الأساسية!$I:$I, 0), VALUE($C$5))), "")</f>
        <v>0</v>
      </c>
      <c r="F167" s="2">
        <f>IFERROR(IF($C$5="الكل", INDEX(البيانات_الأساسية!C:C, MATCH(154, البيانات_الأساسية!$I:$I, 0)), INDEX(البيانات_الأساسية!$J:$U, MATCH(154, البيانات_الأساسية!$I:$I, 0), VALUE($C$5))), "")</f>
        <v>0</v>
      </c>
      <c r="G167" s="2">
        <f>IFERROR(ROUND(F167/60, 2), "")</f>
        <v>0</v>
      </c>
      <c r="H167" s="2">
        <f>IFERROR(ROUND(F167/E167, 2), "")</f>
        <v>0</v>
      </c>
      <c r="I167" s="2">
        <f>IFERROR(IF($C$5="الكل", INDEX(البيانات_الأساسية!G:G, MATCH(154, البيانات_الأساسية!$I:$I, 0)), $C$5), "")</f>
        <v>0</v>
      </c>
    </row>
    <row r="168" spans="2:9" s="4" customFormat="1" ht="20" customHeight="1">
      <c r="B168" s="2">
        <f>IF(C168="","", 155)</f>
        <v>0</v>
      </c>
      <c r="C168" s="2">
        <f>IFERROR(INDEX(البيانات_الأساسية!A:A, MATCH(155, البيانات_الأساسية!$I:$I, 0)), "")</f>
        <v>0</v>
      </c>
      <c r="D168" s="2">
        <f>IFERROR(INDEX(البيانات_الأساسية!B:B, MATCH(155, البيانات_الأساسية!$I:$I, 0)), "")</f>
        <v>0</v>
      </c>
      <c r="E168" s="2">
        <f>IFERROR(IF($C$5="الكل", INDEX(البيانات_الأساسية!D:D, MATCH(155, البيانات_الأساسية!$I:$I, 0)), INDEX(البيانات_الأساسية!$V:$AG, MATCH(155, البيانات_الأساسية!$I:$I, 0), VALUE($C$5))), "")</f>
        <v>0</v>
      </c>
      <c r="F168" s="2">
        <f>IFERROR(IF($C$5="الكل", INDEX(البيانات_الأساسية!C:C, MATCH(155, البيانات_الأساسية!$I:$I, 0)), INDEX(البيانات_الأساسية!$J:$U, MATCH(155, البيانات_الأساسية!$I:$I, 0), VALUE($C$5))), "")</f>
        <v>0</v>
      </c>
      <c r="G168" s="2">
        <f>IFERROR(ROUND(F168/60, 2), "")</f>
        <v>0</v>
      </c>
      <c r="H168" s="2">
        <f>IFERROR(ROUND(F168/E168, 2), "")</f>
        <v>0</v>
      </c>
      <c r="I168" s="2">
        <f>IFERROR(IF($C$5="الكل", INDEX(البيانات_الأساسية!G:G, MATCH(155, البيانات_الأساسية!$I:$I, 0)), $C$5), "")</f>
        <v>0</v>
      </c>
    </row>
    <row r="169" spans="2:9" s="4" customFormat="1" ht="20" customHeight="1">
      <c r="B169" s="2">
        <f>IF(C169="","", 156)</f>
        <v>0</v>
      </c>
      <c r="C169" s="2">
        <f>IFERROR(INDEX(البيانات_الأساسية!A:A, MATCH(156, البيانات_الأساسية!$I:$I, 0)), "")</f>
        <v>0</v>
      </c>
      <c r="D169" s="2">
        <f>IFERROR(INDEX(البيانات_الأساسية!B:B, MATCH(156, البيانات_الأساسية!$I:$I, 0)), "")</f>
        <v>0</v>
      </c>
      <c r="E169" s="2">
        <f>IFERROR(IF($C$5="الكل", INDEX(البيانات_الأساسية!D:D, MATCH(156, البيانات_الأساسية!$I:$I, 0)), INDEX(البيانات_الأساسية!$V:$AG, MATCH(156, البيانات_الأساسية!$I:$I, 0), VALUE($C$5))), "")</f>
        <v>0</v>
      </c>
      <c r="F169" s="2">
        <f>IFERROR(IF($C$5="الكل", INDEX(البيانات_الأساسية!C:C, MATCH(156, البيانات_الأساسية!$I:$I, 0)), INDEX(البيانات_الأساسية!$J:$U, MATCH(156, البيانات_الأساسية!$I:$I, 0), VALUE($C$5))), "")</f>
        <v>0</v>
      </c>
      <c r="G169" s="2">
        <f>IFERROR(ROUND(F169/60, 2), "")</f>
        <v>0</v>
      </c>
      <c r="H169" s="2">
        <f>IFERROR(ROUND(F169/E169, 2), "")</f>
        <v>0</v>
      </c>
      <c r="I169" s="2">
        <f>IFERROR(IF($C$5="الكل", INDEX(البيانات_الأساسية!G:G, MATCH(156, البيانات_الأساسية!$I:$I, 0)), $C$5), "")</f>
        <v>0</v>
      </c>
    </row>
    <row r="170" spans="2:9" s="4" customFormat="1" ht="20" customHeight="1">
      <c r="B170" s="2">
        <f>IF(C170="","", 157)</f>
        <v>0</v>
      </c>
      <c r="C170" s="2">
        <f>IFERROR(INDEX(البيانات_الأساسية!A:A, MATCH(157, البيانات_الأساسية!$I:$I, 0)), "")</f>
        <v>0</v>
      </c>
      <c r="D170" s="2">
        <f>IFERROR(INDEX(البيانات_الأساسية!B:B, MATCH(157, البيانات_الأساسية!$I:$I, 0)), "")</f>
        <v>0</v>
      </c>
      <c r="E170" s="2">
        <f>IFERROR(IF($C$5="الكل", INDEX(البيانات_الأساسية!D:D, MATCH(157, البيانات_الأساسية!$I:$I, 0)), INDEX(البيانات_الأساسية!$V:$AG, MATCH(157, البيانات_الأساسية!$I:$I, 0), VALUE($C$5))), "")</f>
        <v>0</v>
      </c>
      <c r="F170" s="2">
        <f>IFERROR(IF($C$5="الكل", INDEX(البيانات_الأساسية!C:C, MATCH(157, البيانات_الأساسية!$I:$I, 0)), INDEX(البيانات_الأساسية!$J:$U, MATCH(157, البيانات_الأساسية!$I:$I, 0), VALUE($C$5))), "")</f>
        <v>0</v>
      </c>
      <c r="G170" s="2">
        <f>IFERROR(ROUND(F170/60, 2), "")</f>
        <v>0</v>
      </c>
      <c r="H170" s="2">
        <f>IFERROR(ROUND(F170/E170, 2), "")</f>
        <v>0</v>
      </c>
      <c r="I170" s="2">
        <f>IFERROR(IF($C$5="الكل", INDEX(البيانات_الأساسية!G:G, MATCH(157, البيانات_الأساسية!$I:$I, 0)), $C$5), "")</f>
        <v>0</v>
      </c>
    </row>
    <row r="171" spans="2:9" s="4" customFormat="1" ht="20" customHeight="1">
      <c r="B171" s="2">
        <f>IF(C171="","", 158)</f>
        <v>0</v>
      </c>
      <c r="C171" s="2">
        <f>IFERROR(INDEX(البيانات_الأساسية!A:A, MATCH(158, البيانات_الأساسية!$I:$I, 0)), "")</f>
        <v>0</v>
      </c>
      <c r="D171" s="2">
        <f>IFERROR(INDEX(البيانات_الأساسية!B:B, MATCH(158, البيانات_الأساسية!$I:$I, 0)), "")</f>
        <v>0</v>
      </c>
      <c r="E171" s="2">
        <f>IFERROR(IF($C$5="الكل", INDEX(البيانات_الأساسية!D:D, MATCH(158, البيانات_الأساسية!$I:$I, 0)), INDEX(البيانات_الأساسية!$V:$AG, MATCH(158, البيانات_الأساسية!$I:$I, 0), VALUE($C$5))), "")</f>
        <v>0</v>
      </c>
      <c r="F171" s="2">
        <f>IFERROR(IF($C$5="الكل", INDEX(البيانات_الأساسية!C:C, MATCH(158, البيانات_الأساسية!$I:$I, 0)), INDEX(البيانات_الأساسية!$J:$U, MATCH(158, البيانات_الأساسية!$I:$I, 0), VALUE($C$5))), "")</f>
        <v>0</v>
      </c>
      <c r="G171" s="2">
        <f>IFERROR(ROUND(F171/60, 2), "")</f>
        <v>0</v>
      </c>
      <c r="H171" s="2">
        <f>IFERROR(ROUND(F171/E171, 2), "")</f>
        <v>0</v>
      </c>
      <c r="I171" s="2">
        <f>IFERROR(IF($C$5="الكل", INDEX(البيانات_الأساسية!G:G, MATCH(158, البيانات_الأساسية!$I:$I, 0)), $C$5), "")</f>
        <v>0</v>
      </c>
    </row>
    <row r="172" spans="2:9" s="4" customFormat="1" ht="20" customHeight="1">
      <c r="B172" s="2">
        <f>IF(C172="","", 159)</f>
        <v>0</v>
      </c>
      <c r="C172" s="2">
        <f>IFERROR(INDEX(البيانات_الأساسية!A:A, MATCH(159, البيانات_الأساسية!$I:$I, 0)), "")</f>
        <v>0</v>
      </c>
      <c r="D172" s="2">
        <f>IFERROR(INDEX(البيانات_الأساسية!B:B, MATCH(159, البيانات_الأساسية!$I:$I, 0)), "")</f>
        <v>0</v>
      </c>
      <c r="E172" s="2">
        <f>IFERROR(IF($C$5="الكل", INDEX(البيانات_الأساسية!D:D, MATCH(159, البيانات_الأساسية!$I:$I, 0)), INDEX(البيانات_الأساسية!$V:$AG, MATCH(159, البيانات_الأساسية!$I:$I, 0), VALUE($C$5))), "")</f>
        <v>0</v>
      </c>
      <c r="F172" s="2">
        <f>IFERROR(IF($C$5="الكل", INDEX(البيانات_الأساسية!C:C, MATCH(159, البيانات_الأساسية!$I:$I, 0)), INDEX(البيانات_الأساسية!$J:$U, MATCH(159, البيانات_الأساسية!$I:$I, 0), VALUE($C$5))), "")</f>
        <v>0</v>
      </c>
      <c r="G172" s="2">
        <f>IFERROR(ROUND(F172/60, 2), "")</f>
        <v>0</v>
      </c>
      <c r="H172" s="2">
        <f>IFERROR(ROUND(F172/E172, 2), "")</f>
        <v>0</v>
      </c>
      <c r="I172" s="2">
        <f>IFERROR(IF($C$5="الكل", INDEX(البيانات_الأساسية!G:G, MATCH(159, البيانات_الأساسية!$I:$I, 0)), $C$5), "")</f>
        <v>0</v>
      </c>
    </row>
    <row r="173" spans="2:9" s="4" customFormat="1" ht="20" customHeight="1">
      <c r="B173" s="2">
        <f>IF(C173="","", 160)</f>
        <v>0</v>
      </c>
      <c r="C173" s="2">
        <f>IFERROR(INDEX(البيانات_الأساسية!A:A, MATCH(160, البيانات_الأساسية!$I:$I, 0)), "")</f>
        <v>0</v>
      </c>
      <c r="D173" s="2">
        <f>IFERROR(INDEX(البيانات_الأساسية!B:B, MATCH(160, البيانات_الأساسية!$I:$I, 0)), "")</f>
        <v>0</v>
      </c>
      <c r="E173" s="2">
        <f>IFERROR(IF($C$5="الكل", INDEX(البيانات_الأساسية!D:D, MATCH(160, البيانات_الأساسية!$I:$I, 0)), INDEX(البيانات_الأساسية!$V:$AG, MATCH(160, البيانات_الأساسية!$I:$I, 0), VALUE($C$5))), "")</f>
        <v>0</v>
      </c>
      <c r="F173" s="2">
        <f>IFERROR(IF($C$5="الكل", INDEX(البيانات_الأساسية!C:C, MATCH(160, البيانات_الأساسية!$I:$I, 0)), INDEX(البيانات_الأساسية!$J:$U, MATCH(160, البيانات_الأساسية!$I:$I, 0), VALUE($C$5))), "")</f>
        <v>0</v>
      </c>
      <c r="G173" s="2">
        <f>IFERROR(ROUND(F173/60, 2), "")</f>
        <v>0</v>
      </c>
      <c r="H173" s="2">
        <f>IFERROR(ROUND(F173/E173, 2), "")</f>
        <v>0</v>
      </c>
      <c r="I173" s="2">
        <f>IFERROR(IF($C$5="الكل", INDEX(البيانات_الأساسية!G:G, MATCH(160, البيانات_الأساسية!$I:$I, 0)), $C$5), "")</f>
        <v>0</v>
      </c>
    </row>
    <row r="174" spans="2:9" s="4" customFormat="1" ht="20" customHeight="1">
      <c r="B174" s="2">
        <f>IF(C174="","", 161)</f>
        <v>0</v>
      </c>
      <c r="C174" s="2">
        <f>IFERROR(INDEX(البيانات_الأساسية!A:A, MATCH(161, البيانات_الأساسية!$I:$I, 0)), "")</f>
        <v>0</v>
      </c>
      <c r="D174" s="2">
        <f>IFERROR(INDEX(البيانات_الأساسية!B:B, MATCH(161, البيانات_الأساسية!$I:$I, 0)), "")</f>
        <v>0</v>
      </c>
      <c r="E174" s="2">
        <f>IFERROR(IF($C$5="الكل", INDEX(البيانات_الأساسية!D:D, MATCH(161, البيانات_الأساسية!$I:$I, 0)), INDEX(البيانات_الأساسية!$V:$AG, MATCH(161, البيانات_الأساسية!$I:$I, 0), VALUE($C$5))), "")</f>
        <v>0</v>
      </c>
      <c r="F174" s="2">
        <f>IFERROR(IF($C$5="الكل", INDEX(البيانات_الأساسية!C:C, MATCH(161, البيانات_الأساسية!$I:$I, 0)), INDEX(البيانات_الأساسية!$J:$U, MATCH(161, البيانات_الأساسية!$I:$I, 0), VALUE($C$5))), "")</f>
        <v>0</v>
      </c>
      <c r="G174" s="2">
        <f>IFERROR(ROUND(F174/60, 2), "")</f>
        <v>0</v>
      </c>
      <c r="H174" s="2">
        <f>IFERROR(ROUND(F174/E174, 2), "")</f>
        <v>0</v>
      </c>
      <c r="I174" s="2">
        <f>IFERROR(IF($C$5="الكل", INDEX(البيانات_الأساسية!G:G, MATCH(161, البيانات_الأساسية!$I:$I, 0)), $C$5), "")</f>
        <v>0</v>
      </c>
    </row>
    <row r="175" spans="2:9" s="4" customFormat="1" ht="20" customHeight="1">
      <c r="B175" s="2">
        <f>IF(C175="","", 162)</f>
        <v>0</v>
      </c>
      <c r="C175" s="2">
        <f>IFERROR(INDEX(البيانات_الأساسية!A:A, MATCH(162, البيانات_الأساسية!$I:$I, 0)), "")</f>
        <v>0</v>
      </c>
      <c r="D175" s="2">
        <f>IFERROR(INDEX(البيانات_الأساسية!B:B, MATCH(162, البيانات_الأساسية!$I:$I, 0)), "")</f>
        <v>0</v>
      </c>
      <c r="E175" s="2">
        <f>IFERROR(IF($C$5="الكل", INDEX(البيانات_الأساسية!D:D, MATCH(162, البيانات_الأساسية!$I:$I, 0)), INDEX(البيانات_الأساسية!$V:$AG, MATCH(162, البيانات_الأساسية!$I:$I, 0), VALUE($C$5))), "")</f>
        <v>0</v>
      </c>
      <c r="F175" s="2">
        <f>IFERROR(IF($C$5="الكل", INDEX(البيانات_الأساسية!C:C, MATCH(162, البيانات_الأساسية!$I:$I, 0)), INDEX(البيانات_الأساسية!$J:$U, MATCH(162, البيانات_الأساسية!$I:$I, 0), VALUE($C$5))), "")</f>
        <v>0</v>
      </c>
      <c r="G175" s="2">
        <f>IFERROR(ROUND(F175/60, 2), "")</f>
        <v>0</v>
      </c>
      <c r="H175" s="2">
        <f>IFERROR(ROUND(F175/E175, 2), "")</f>
        <v>0</v>
      </c>
      <c r="I175" s="2">
        <f>IFERROR(IF($C$5="الكل", INDEX(البيانات_الأساسية!G:G, MATCH(162, البيانات_الأساسية!$I:$I, 0)), $C$5), "")</f>
        <v>0</v>
      </c>
    </row>
    <row r="176" spans="2:9" s="4" customFormat="1" ht="20" customHeight="1">
      <c r="B176" s="2">
        <f>IF(C176="","", 163)</f>
        <v>0</v>
      </c>
      <c r="C176" s="2">
        <f>IFERROR(INDEX(البيانات_الأساسية!A:A, MATCH(163, البيانات_الأساسية!$I:$I, 0)), "")</f>
        <v>0</v>
      </c>
      <c r="D176" s="2">
        <f>IFERROR(INDEX(البيانات_الأساسية!B:B, MATCH(163, البيانات_الأساسية!$I:$I, 0)), "")</f>
        <v>0</v>
      </c>
      <c r="E176" s="2">
        <f>IFERROR(IF($C$5="الكل", INDEX(البيانات_الأساسية!D:D, MATCH(163, البيانات_الأساسية!$I:$I, 0)), INDEX(البيانات_الأساسية!$V:$AG, MATCH(163, البيانات_الأساسية!$I:$I, 0), VALUE($C$5))), "")</f>
        <v>0</v>
      </c>
      <c r="F176" s="2">
        <f>IFERROR(IF($C$5="الكل", INDEX(البيانات_الأساسية!C:C, MATCH(163, البيانات_الأساسية!$I:$I, 0)), INDEX(البيانات_الأساسية!$J:$U, MATCH(163, البيانات_الأساسية!$I:$I, 0), VALUE($C$5))), "")</f>
        <v>0</v>
      </c>
      <c r="G176" s="2">
        <f>IFERROR(ROUND(F176/60, 2), "")</f>
        <v>0</v>
      </c>
      <c r="H176" s="2">
        <f>IFERROR(ROUND(F176/E176, 2), "")</f>
        <v>0</v>
      </c>
      <c r="I176" s="2">
        <f>IFERROR(IF($C$5="الكل", INDEX(البيانات_الأساسية!G:G, MATCH(163, البيانات_الأساسية!$I:$I, 0)), $C$5), "")</f>
        <v>0</v>
      </c>
    </row>
    <row r="177" spans="2:9" s="4" customFormat="1" ht="20" customHeight="1">
      <c r="B177" s="2">
        <f>IF(C177="","", 164)</f>
        <v>0</v>
      </c>
      <c r="C177" s="2">
        <f>IFERROR(INDEX(البيانات_الأساسية!A:A, MATCH(164, البيانات_الأساسية!$I:$I, 0)), "")</f>
        <v>0</v>
      </c>
      <c r="D177" s="2">
        <f>IFERROR(INDEX(البيانات_الأساسية!B:B, MATCH(164, البيانات_الأساسية!$I:$I, 0)), "")</f>
        <v>0</v>
      </c>
      <c r="E177" s="2">
        <f>IFERROR(IF($C$5="الكل", INDEX(البيانات_الأساسية!D:D, MATCH(164, البيانات_الأساسية!$I:$I, 0)), INDEX(البيانات_الأساسية!$V:$AG, MATCH(164, البيانات_الأساسية!$I:$I, 0), VALUE($C$5))), "")</f>
        <v>0</v>
      </c>
      <c r="F177" s="2">
        <f>IFERROR(IF($C$5="الكل", INDEX(البيانات_الأساسية!C:C, MATCH(164, البيانات_الأساسية!$I:$I, 0)), INDEX(البيانات_الأساسية!$J:$U, MATCH(164, البيانات_الأساسية!$I:$I, 0), VALUE($C$5))), "")</f>
        <v>0</v>
      </c>
      <c r="G177" s="2">
        <f>IFERROR(ROUND(F177/60, 2), "")</f>
        <v>0</v>
      </c>
      <c r="H177" s="2">
        <f>IFERROR(ROUND(F177/E177, 2), "")</f>
        <v>0</v>
      </c>
      <c r="I177" s="2">
        <f>IFERROR(IF($C$5="الكل", INDEX(البيانات_الأساسية!G:G, MATCH(164, البيانات_الأساسية!$I:$I, 0)), $C$5), "")</f>
        <v>0</v>
      </c>
    </row>
    <row r="178" spans="2:9" s="4" customFormat="1" ht="20" customHeight="1">
      <c r="B178" s="2">
        <f>IF(C178="","", 165)</f>
        <v>0</v>
      </c>
      <c r="C178" s="2">
        <f>IFERROR(INDEX(البيانات_الأساسية!A:A, MATCH(165, البيانات_الأساسية!$I:$I, 0)), "")</f>
        <v>0</v>
      </c>
      <c r="D178" s="2">
        <f>IFERROR(INDEX(البيانات_الأساسية!B:B, MATCH(165, البيانات_الأساسية!$I:$I, 0)), "")</f>
        <v>0</v>
      </c>
      <c r="E178" s="2">
        <f>IFERROR(IF($C$5="الكل", INDEX(البيانات_الأساسية!D:D, MATCH(165, البيانات_الأساسية!$I:$I, 0)), INDEX(البيانات_الأساسية!$V:$AG, MATCH(165, البيانات_الأساسية!$I:$I, 0), VALUE($C$5))), "")</f>
        <v>0</v>
      </c>
      <c r="F178" s="2">
        <f>IFERROR(IF($C$5="الكل", INDEX(البيانات_الأساسية!C:C, MATCH(165, البيانات_الأساسية!$I:$I, 0)), INDEX(البيانات_الأساسية!$J:$U, MATCH(165, البيانات_الأساسية!$I:$I, 0), VALUE($C$5))), "")</f>
        <v>0</v>
      </c>
      <c r="G178" s="2">
        <f>IFERROR(ROUND(F178/60, 2), "")</f>
        <v>0</v>
      </c>
      <c r="H178" s="2">
        <f>IFERROR(ROUND(F178/E178, 2), "")</f>
        <v>0</v>
      </c>
      <c r="I178" s="2">
        <f>IFERROR(IF($C$5="الكل", INDEX(البيانات_الأساسية!G:G, MATCH(165, البيانات_الأساسية!$I:$I, 0)), $C$5), "")</f>
        <v>0</v>
      </c>
    </row>
    <row r="179" spans="2:9" s="4" customFormat="1" ht="20" customHeight="1">
      <c r="B179" s="2">
        <f>IF(C179="","", 166)</f>
        <v>0</v>
      </c>
      <c r="C179" s="2">
        <f>IFERROR(INDEX(البيانات_الأساسية!A:A, MATCH(166, البيانات_الأساسية!$I:$I, 0)), "")</f>
        <v>0</v>
      </c>
      <c r="D179" s="2">
        <f>IFERROR(INDEX(البيانات_الأساسية!B:B, MATCH(166, البيانات_الأساسية!$I:$I, 0)), "")</f>
        <v>0</v>
      </c>
      <c r="E179" s="2">
        <f>IFERROR(IF($C$5="الكل", INDEX(البيانات_الأساسية!D:D, MATCH(166, البيانات_الأساسية!$I:$I, 0)), INDEX(البيانات_الأساسية!$V:$AG, MATCH(166, البيانات_الأساسية!$I:$I, 0), VALUE($C$5))), "")</f>
        <v>0</v>
      </c>
      <c r="F179" s="2">
        <f>IFERROR(IF($C$5="الكل", INDEX(البيانات_الأساسية!C:C, MATCH(166, البيانات_الأساسية!$I:$I, 0)), INDEX(البيانات_الأساسية!$J:$U, MATCH(166, البيانات_الأساسية!$I:$I, 0), VALUE($C$5))), "")</f>
        <v>0</v>
      </c>
      <c r="G179" s="2">
        <f>IFERROR(ROUND(F179/60, 2), "")</f>
        <v>0</v>
      </c>
      <c r="H179" s="2">
        <f>IFERROR(ROUND(F179/E179, 2), "")</f>
        <v>0</v>
      </c>
      <c r="I179" s="2">
        <f>IFERROR(IF($C$5="الكل", INDEX(البيانات_الأساسية!G:G, MATCH(166, البيانات_الأساسية!$I:$I, 0)), $C$5), "")</f>
        <v>0</v>
      </c>
    </row>
    <row r="180" spans="2:9" s="4" customFormat="1" ht="20" customHeight="1">
      <c r="B180" s="2">
        <f>IF(C180="","", 167)</f>
        <v>0</v>
      </c>
      <c r="C180" s="2">
        <f>IFERROR(INDEX(البيانات_الأساسية!A:A, MATCH(167, البيانات_الأساسية!$I:$I, 0)), "")</f>
        <v>0</v>
      </c>
      <c r="D180" s="2">
        <f>IFERROR(INDEX(البيانات_الأساسية!B:B, MATCH(167, البيانات_الأساسية!$I:$I, 0)), "")</f>
        <v>0</v>
      </c>
      <c r="E180" s="2">
        <f>IFERROR(IF($C$5="الكل", INDEX(البيانات_الأساسية!D:D, MATCH(167, البيانات_الأساسية!$I:$I, 0)), INDEX(البيانات_الأساسية!$V:$AG, MATCH(167, البيانات_الأساسية!$I:$I, 0), VALUE($C$5))), "")</f>
        <v>0</v>
      </c>
      <c r="F180" s="2">
        <f>IFERROR(IF($C$5="الكل", INDEX(البيانات_الأساسية!C:C, MATCH(167, البيانات_الأساسية!$I:$I, 0)), INDEX(البيانات_الأساسية!$J:$U, MATCH(167, البيانات_الأساسية!$I:$I, 0), VALUE($C$5))), "")</f>
        <v>0</v>
      </c>
      <c r="G180" s="2">
        <f>IFERROR(ROUND(F180/60, 2), "")</f>
        <v>0</v>
      </c>
      <c r="H180" s="2">
        <f>IFERROR(ROUND(F180/E180, 2), "")</f>
        <v>0</v>
      </c>
      <c r="I180" s="2">
        <f>IFERROR(IF($C$5="الكل", INDEX(البيانات_الأساسية!G:G, MATCH(167, البيانات_الأساسية!$I:$I, 0)), $C$5), "")</f>
        <v>0</v>
      </c>
    </row>
    <row r="181" spans="2:9" s="4" customFormat="1" ht="20" customHeight="1">
      <c r="B181" s="2">
        <f>IF(C181="","", 168)</f>
        <v>0</v>
      </c>
      <c r="C181" s="2">
        <f>IFERROR(INDEX(البيانات_الأساسية!A:A, MATCH(168, البيانات_الأساسية!$I:$I, 0)), "")</f>
        <v>0</v>
      </c>
      <c r="D181" s="2">
        <f>IFERROR(INDEX(البيانات_الأساسية!B:B, MATCH(168, البيانات_الأساسية!$I:$I, 0)), "")</f>
        <v>0</v>
      </c>
      <c r="E181" s="2">
        <f>IFERROR(IF($C$5="الكل", INDEX(البيانات_الأساسية!D:D, MATCH(168, البيانات_الأساسية!$I:$I, 0)), INDEX(البيانات_الأساسية!$V:$AG, MATCH(168, البيانات_الأساسية!$I:$I, 0), VALUE($C$5))), "")</f>
        <v>0</v>
      </c>
      <c r="F181" s="2">
        <f>IFERROR(IF($C$5="الكل", INDEX(البيانات_الأساسية!C:C, MATCH(168, البيانات_الأساسية!$I:$I, 0)), INDEX(البيانات_الأساسية!$J:$U, MATCH(168, البيانات_الأساسية!$I:$I, 0), VALUE($C$5))), "")</f>
        <v>0</v>
      </c>
      <c r="G181" s="2">
        <f>IFERROR(ROUND(F181/60, 2), "")</f>
        <v>0</v>
      </c>
      <c r="H181" s="2">
        <f>IFERROR(ROUND(F181/E181, 2), "")</f>
        <v>0</v>
      </c>
      <c r="I181" s="2">
        <f>IFERROR(IF($C$5="الكل", INDEX(البيانات_الأساسية!G:G, MATCH(168, البيانات_الأساسية!$I:$I, 0)), $C$5), "")</f>
        <v>0</v>
      </c>
    </row>
    <row r="182" spans="2:9" s="4" customFormat="1" ht="20" customHeight="1">
      <c r="B182" s="2">
        <f>IF(C182="","", 169)</f>
        <v>0</v>
      </c>
      <c r="C182" s="2">
        <f>IFERROR(INDEX(البيانات_الأساسية!A:A, MATCH(169, البيانات_الأساسية!$I:$I, 0)), "")</f>
        <v>0</v>
      </c>
      <c r="D182" s="2">
        <f>IFERROR(INDEX(البيانات_الأساسية!B:B, MATCH(169, البيانات_الأساسية!$I:$I, 0)), "")</f>
        <v>0</v>
      </c>
      <c r="E182" s="2">
        <f>IFERROR(IF($C$5="الكل", INDEX(البيانات_الأساسية!D:D, MATCH(169, البيانات_الأساسية!$I:$I, 0)), INDEX(البيانات_الأساسية!$V:$AG, MATCH(169, البيانات_الأساسية!$I:$I, 0), VALUE($C$5))), "")</f>
        <v>0</v>
      </c>
      <c r="F182" s="2">
        <f>IFERROR(IF($C$5="الكل", INDEX(البيانات_الأساسية!C:C, MATCH(169, البيانات_الأساسية!$I:$I, 0)), INDEX(البيانات_الأساسية!$J:$U, MATCH(169, البيانات_الأساسية!$I:$I, 0), VALUE($C$5))), "")</f>
        <v>0</v>
      </c>
      <c r="G182" s="2">
        <f>IFERROR(ROUND(F182/60, 2), "")</f>
        <v>0</v>
      </c>
      <c r="H182" s="2">
        <f>IFERROR(ROUND(F182/E182, 2), "")</f>
        <v>0</v>
      </c>
      <c r="I182" s="2">
        <f>IFERROR(IF($C$5="الكل", INDEX(البيانات_الأساسية!G:G, MATCH(169, البيانات_الأساسية!$I:$I, 0)), $C$5), "")</f>
        <v>0</v>
      </c>
    </row>
    <row r="183" spans="2:9" s="4" customFormat="1" ht="20" customHeight="1">
      <c r="B183" s="2">
        <f>IF(C183="","", 170)</f>
        <v>0</v>
      </c>
      <c r="C183" s="2">
        <f>IFERROR(INDEX(البيانات_الأساسية!A:A, MATCH(170, البيانات_الأساسية!$I:$I, 0)), "")</f>
        <v>0</v>
      </c>
      <c r="D183" s="2">
        <f>IFERROR(INDEX(البيانات_الأساسية!B:B, MATCH(170, البيانات_الأساسية!$I:$I, 0)), "")</f>
        <v>0</v>
      </c>
      <c r="E183" s="2">
        <f>IFERROR(IF($C$5="الكل", INDEX(البيانات_الأساسية!D:D, MATCH(170, البيانات_الأساسية!$I:$I, 0)), INDEX(البيانات_الأساسية!$V:$AG, MATCH(170, البيانات_الأساسية!$I:$I, 0), VALUE($C$5))), "")</f>
        <v>0</v>
      </c>
      <c r="F183" s="2">
        <f>IFERROR(IF($C$5="الكل", INDEX(البيانات_الأساسية!C:C, MATCH(170, البيانات_الأساسية!$I:$I, 0)), INDEX(البيانات_الأساسية!$J:$U, MATCH(170, البيانات_الأساسية!$I:$I, 0), VALUE($C$5))), "")</f>
        <v>0</v>
      </c>
      <c r="G183" s="2">
        <f>IFERROR(ROUND(F183/60, 2), "")</f>
        <v>0</v>
      </c>
      <c r="H183" s="2">
        <f>IFERROR(ROUND(F183/E183, 2), "")</f>
        <v>0</v>
      </c>
      <c r="I183" s="2">
        <f>IFERROR(IF($C$5="الكل", INDEX(البيانات_الأساسية!G:G, MATCH(170, البيانات_الأساسية!$I:$I, 0)), $C$5), "")</f>
        <v>0</v>
      </c>
    </row>
    <row r="184" spans="2:9" s="4" customFormat="1" ht="20" customHeight="1">
      <c r="B184" s="2">
        <f>IF(C184="","", 171)</f>
        <v>0</v>
      </c>
      <c r="C184" s="2">
        <f>IFERROR(INDEX(البيانات_الأساسية!A:A, MATCH(171, البيانات_الأساسية!$I:$I, 0)), "")</f>
        <v>0</v>
      </c>
      <c r="D184" s="2">
        <f>IFERROR(INDEX(البيانات_الأساسية!B:B, MATCH(171, البيانات_الأساسية!$I:$I, 0)), "")</f>
        <v>0</v>
      </c>
      <c r="E184" s="2">
        <f>IFERROR(IF($C$5="الكل", INDEX(البيانات_الأساسية!D:D, MATCH(171, البيانات_الأساسية!$I:$I, 0)), INDEX(البيانات_الأساسية!$V:$AG, MATCH(171, البيانات_الأساسية!$I:$I, 0), VALUE($C$5))), "")</f>
        <v>0</v>
      </c>
      <c r="F184" s="2">
        <f>IFERROR(IF($C$5="الكل", INDEX(البيانات_الأساسية!C:C, MATCH(171, البيانات_الأساسية!$I:$I, 0)), INDEX(البيانات_الأساسية!$J:$U, MATCH(171, البيانات_الأساسية!$I:$I, 0), VALUE($C$5))), "")</f>
        <v>0</v>
      </c>
      <c r="G184" s="2">
        <f>IFERROR(ROUND(F184/60, 2), "")</f>
        <v>0</v>
      </c>
      <c r="H184" s="2">
        <f>IFERROR(ROUND(F184/E184, 2), "")</f>
        <v>0</v>
      </c>
      <c r="I184" s="2">
        <f>IFERROR(IF($C$5="الكل", INDEX(البيانات_الأساسية!G:G, MATCH(171, البيانات_الأساسية!$I:$I, 0)), $C$5), "")</f>
        <v>0</v>
      </c>
    </row>
    <row r="185" spans="2:9" s="4" customFormat="1" ht="20" customHeight="1">
      <c r="B185" s="2">
        <f>IF(C185="","", 172)</f>
        <v>0</v>
      </c>
      <c r="C185" s="2">
        <f>IFERROR(INDEX(البيانات_الأساسية!A:A, MATCH(172, البيانات_الأساسية!$I:$I, 0)), "")</f>
        <v>0</v>
      </c>
      <c r="D185" s="2">
        <f>IFERROR(INDEX(البيانات_الأساسية!B:B, MATCH(172, البيانات_الأساسية!$I:$I, 0)), "")</f>
        <v>0</v>
      </c>
      <c r="E185" s="2">
        <f>IFERROR(IF($C$5="الكل", INDEX(البيانات_الأساسية!D:D, MATCH(172, البيانات_الأساسية!$I:$I, 0)), INDEX(البيانات_الأساسية!$V:$AG, MATCH(172, البيانات_الأساسية!$I:$I, 0), VALUE($C$5))), "")</f>
        <v>0</v>
      </c>
      <c r="F185" s="2">
        <f>IFERROR(IF($C$5="الكل", INDEX(البيانات_الأساسية!C:C, MATCH(172, البيانات_الأساسية!$I:$I, 0)), INDEX(البيانات_الأساسية!$J:$U, MATCH(172, البيانات_الأساسية!$I:$I, 0), VALUE($C$5))), "")</f>
        <v>0</v>
      </c>
      <c r="G185" s="2">
        <f>IFERROR(ROUND(F185/60, 2), "")</f>
        <v>0</v>
      </c>
      <c r="H185" s="2">
        <f>IFERROR(ROUND(F185/E185, 2), "")</f>
        <v>0</v>
      </c>
      <c r="I185" s="2">
        <f>IFERROR(IF($C$5="الكل", INDEX(البيانات_الأساسية!G:G, MATCH(172, البيانات_الأساسية!$I:$I, 0)), $C$5), "")</f>
        <v>0</v>
      </c>
    </row>
    <row r="186" spans="2:9" s="4" customFormat="1" ht="20" customHeight="1">
      <c r="B186" s="2">
        <f>IF(C186="","", 173)</f>
        <v>0</v>
      </c>
      <c r="C186" s="2">
        <f>IFERROR(INDEX(البيانات_الأساسية!A:A, MATCH(173, البيانات_الأساسية!$I:$I, 0)), "")</f>
        <v>0</v>
      </c>
      <c r="D186" s="2">
        <f>IFERROR(INDEX(البيانات_الأساسية!B:B, MATCH(173, البيانات_الأساسية!$I:$I, 0)), "")</f>
        <v>0</v>
      </c>
      <c r="E186" s="2">
        <f>IFERROR(IF($C$5="الكل", INDEX(البيانات_الأساسية!D:D, MATCH(173, البيانات_الأساسية!$I:$I, 0)), INDEX(البيانات_الأساسية!$V:$AG, MATCH(173, البيانات_الأساسية!$I:$I, 0), VALUE($C$5))), "")</f>
        <v>0</v>
      </c>
      <c r="F186" s="2">
        <f>IFERROR(IF($C$5="الكل", INDEX(البيانات_الأساسية!C:C, MATCH(173, البيانات_الأساسية!$I:$I, 0)), INDEX(البيانات_الأساسية!$J:$U, MATCH(173, البيانات_الأساسية!$I:$I, 0), VALUE($C$5))), "")</f>
        <v>0</v>
      </c>
      <c r="G186" s="2">
        <f>IFERROR(ROUND(F186/60, 2), "")</f>
        <v>0</v>
      </c>
      <c r="H186" s="2">
        <f>IFERROR(ROUND(F186/E186, 2), "")</f>
        <v>0</v>
      </c>
      <c r="I186" s="2">
        <f>IFERROR(IF($C$5="الكل", INDEX(البيانات_الأساسية!G:G, MATCH(173, البيانات_الأساسية!$I:$I, 0)), $C$5), "")</f>
        <v>0</v>
      </c>
    </row>
    <row r="187" spans="2:9" s="4" customFormat="1" ht="20" customHeight="1">
      <c r="B187" s="2">
        <f>IF(C187="","", 174)</f>
        <v>0</v>
      </c>
      <c r="C187" s="2">
        <f>IFERROR(INDEX(البيانات_الأساسية!A:A, MATCH(174, البيانات_الأساسية!$I:$I, 0)), "")</f>
        <v>0</v>
      </c>
      <c r="D187" s="2">
        <f>IFERROR(INDEX(البيانات_الأساسية!B:B, MATCH(174, البيانات_الأساسية!$I:$I, 0)), "")</f>
        <v>0</v>
      </c>
      <c r="E187" s="2">
        <f>IFERROR(IF($C$5="الكل", INDEX(البيانات_الأساسية!D:D, MATCH(174, البيانات_الأساسية!$I:$I, 0)), INDEX(البيانات_الأساسية!$V:$AG, MATCH(174, البيانات_الأساسية!$I:$I, 0), VALUE($C$5))), "")</f>
        <v>0</v>
      </c>
      <c r="F187" s="2">
        <f>IFERROR(IF($C$5="الكل", INDEX(البيانات_الأساسية!C:C, MATCH(174, البيانات_الأساسية!$I:$I, 0)), INDEX(البيانات_الأساسية!$J:$U, MATCH(174, البيانات_الأساسية!$I:$I, 0), VALUE($C$5))), "")</f>
        <v>0</v>
      </c>
      <c r="G187" s="2">
        <f>IFERROR(ROUND(F187/60, 2), "")</f>
        <v>0</v>
      </c>
      <c r="H187" s="2">
        <f>IFERROR(ROUND(F187/E187, 2), "")</f>
        <v>0</v>
      </c>
      <c r="I187" s="2">
        <f>IFERROR(IF($C$5="الكل", INDEX(البيانات_الأساسية!G:G, MATCH(174, البيانات_الأساسية!$I:$I, 0)), $C$5), "")</f>
        <v>0</v>
      </c>
    </row>
    <row r="188" spans="2:9" s="4" customFormat="1" ht="20" customHeight="1">
      <c r="B188" s="2">
        <f>IF(C188="","", 175)</f>
        <v>0</v>
      </c>
      <c r="C188" s="2">
        <f>IFERROR(INDEX(البيانات_الأساسية!A:A, MATCH(175, البيانات_الأساسية!$I:$I, 0)), "")</f>
        <v>0</v>
      </c>
      <c r="D188" s="2">
        <f>IFERROR(INDEX(البيانات_الأساسية!B:B, MATCH(175, البيانات_الأساسية!$I:$I, 0)), "")</f>
        <v>0</v>
      </c>
      <c r="E188" s="2">
        <f>IFERROR(IF($C$5="الكل", INDEX(البيانات_الأساسية!D:D, MATCH(175, البيانات_الأساسية!$I:$I, 0)), INDEX(البيانات_الأساسية!$V:$AG, MATCH(175, البيانات_الأساسية!$I:$I, 0), VALUE($C$5))), "")</f>
        <v>0</v>
      </c>
      <c r="F188" s="2">
        <f>IFERROR(IF($C$5="الكل", INDEX(البيانات_الأساسية!C:C, MATCH(175, البيانات_الأساسية!$I:$I, 0)), INDEX(البيانات_الأساسية!$J:$U, MATCH(175, البيانات_الأساسية!$I:$I, 0), VALUE($C$5))), "")</f>
        <v>0</v>
      </c>
      <c r="G188" s="2">
        <f>IFERROR(ROUND(F188/60, 2), "")</f>
        <v>0</v>
      </c>
      <c r="H188" s="2">
        <f>IFERROR(ROUND(F188/E188, 2), "")</f>
        <v>0</v>
      </c>
      <c r="I188" s="2">
        <f>IFERROR(IF($C$5="الكل", INDEX(البيانات_الأساسية!G:G, MATCH(175, البيانات_الأساسية!$I:$I, 0)), $C$5), "")</f>
        <v>0</v>
      </c>
    </row>
    <row r="189" spans="2:9" s="4" customFormat="1" ht="20" customHeight="1">
      <c r="B189" s="2">
        <f>IF(C189="","", 176)</f>
        <v>0</v>
      </c>
      <c r="C189" s="2">
        <f>IFERROR(INDEX(البيانات_الأساسية!A:A, MATCH(176, البيانات_الأساسية!$I:$I, 0)), "")</f>
        <v>0</v>
      </c>
      <c r="D189" s="2">
        <f>IFERROR(INDEX(البيانات_الأساسية!B:B, MATCH(176, البيانات_الأساسية!$I:$I, 0)), "")</f>
        <v>0</v>
      </c>
      <c r="E189" s="2">
        <f>IFERROR(IF($C$5="الكل", INDEX(البيانات_الأساسية!D:D, MATCH(176, البيانات_الأساسية!$I:$I, 0)), INDEX(البيانات_الأساسية!$V:$AG, MATCH(176, البيانات_الأساسية!$I:$I, 0), VALUE($C$5))), "")</f>
        <v>0</v>
      </c>
      <c r="F189" s="2">
        <f>IFERROR(IF($C$5="الكل", INDEX(البيانات_الأساسية!C:C, MATCH(176, البيانات_الأساسية!$I:$I, 0)), INDEX(البيانات_الأساسية!$J:$U, MATCH(176, البيانات_الأساسية!$I:$I, 0), VALUE($C$5))), "")</f>
        <v>0</v>
      </c>
      <c r="G189" s="2">
        <f>IFERROR(ROUND(F189/60, 2), "")</f>
        <v>0</v>
      </c>
      <c r="H189" s="2">
        <f>IFERROR(ROUND(F189/E189, 2), "")</f>
        <v>0</v>
      </c>
      <c r="I189" s="2">
        <f>IFERROR(IF($C$5="الكل", INDEX(البيانات_الأساسية!G:G, MATCH(176, البيانات_الأساسية!$I:$I, 0)), $C$5), "")</f>
        <v>0</v>
      </c>
    </row>
    <row r="190" spans="2:9" s="4" customFormat="1" ht="20" customHeight="1">
      <c r="B190" s="2">
        <f>IF(C190="","", 177)</f>
        <v>0</v>
      </c>
      <c r="C190" s="2">
        <f>IFERROR(INDEX(البيانات_الأساسية!A:A, MATCH(177, البيانات_الأساسية!$I:$I, 0)), "")</f>
        <v>0</v>
      </c>
      <c r="D190" s="2">
        <f>IFERROR(INDEX(البيانات_الأساسية!B:B, MATCH(177, البيانات_الأساسية!$I:$I, 0)), "")</f>
        <v>0</v>
      </c>
      <c r="E190" s="2">
        <f>IFERROR(IF($C$5="الكل", INDEX(البيانات_الأساسية!D:D, MATCH(177, البيانات_الأساسية!$I:$I, 0)), INDEX(البيانات_الأساسية!$V:$AG, MATCH(177, البيانات_الأساسية!$I:$I, 0), VALUE($C$5))), "")</f>
        <v>0</v>
      </c>
      <c r="F190" s="2">
        <f>IFERROR(IF($C$5="الكل", INDEX(البيانات_الأساسية!C:C, MATCH(177, البيانات_الأساسية!$I:$I, 0)), INDEX(البيانات_الأساسية!$J:$U, MATCH(177, البيانات_الأساسية!$I:$I, 0), VALUE($C$5))), "")</f>
        <v>0</v>
      </c>
      <c r="G190" s="2">
        <f>IFERROR(ROUND(F190/60, 2), "")</f>
        <v>0</v>
      </c>
      <c r="H190" s="2">
        <f>IFERROR(ROUND(F190/E190, 2), "")</f>
        <v>0</v>
      </c>
      <c r="I190" s="2">
        <f>IFERROR(IF($C$5="الكل", INDEX(البيانات_الأساسية!G:G, MATCH(177, البيانات_الأساسية!$I:$I, 0)), $C$5), "")</f>
        <v>0</v>
      </c>
    </row>
    <row r="191" spans="2:9" s="4" customFormat="1" ht="20" customHeight="1">
      <c r="B191" s="2">
        <f>IF(C191="","", 178)</f>
        <v>0</v>
      </c>
      <c r="C191" s="2">
        <f>IFERROR(INDEX(البيانات_الأساسية!A:A, MATCH(178, البيانات_الأساسية!$I:$I, 0)), "")</f>
        <v>0</v>
      </c>
      <c r="D191" s="2">
        <f>IFERROR(INDEX(البيانات_الأساسية!B:B, MATCH(178, البيانات_الأساسية!$I:$I, 0)), "")</f>
        <v>0</v>
      </c>
      <c r="E191" s="2">
        <f>IFERROR(IF($C$5="الكل", INDEX(البيانات_الأساسية!D:D, MATCH(178, البيانات_الأساسية!$I:$I, 0)), INDEX(البيانات_الأساسية!$V:$AG, MATCH(178, البيانات_الأساسية!$I:$I, 0), VALUE($C$5))), "")</f>
        <v>0</v>
      </c>
      <c r="F191" s="2">
        <f>IFERROR(IF($C$5="الكل", INDEX(البيانات_الأساسية!C:C, MATCH(178, البيانات_الأساسية!$I:$I, 0)), INDEX(البيانات_الأساسية!$J:$U, MATCH(178, البيانات_الأساسية!$I:$I, 0), VALUE($C$5))), "")</f>
        <v>0</v>
      </c>
      <c r="G191" s="2">
        <f>IFERROR(ROUND(F191/60, 2), "")</f>
        <v>0</v>
      </c>
      <c r="H191" s="2">
        <f>IFERROR(ROUND(F191/E191, 2), "")</f>
        <v>0</v>
      </c>
      <c r="I191" s="2">
        <f>IFERROR(IF($C$5="الكل", INDEX(البيانات_الأساسية!G:G, MATCH(178, البيانات_الأساسية!$I:$I, 0)), $C$5), "")</f>
        <v>0</v>
      </c>
    </row>
    <row r="192" spans="2:9" s="4" customFormat="1" ht="20" customHeight="1">
      <c r="B192" s="2">
        <f>IF(C192="","", 179)</f>
        <v>0</v>
      </c>
      <c r="C192" s="2">
        <f>IFERROR(INDEX(البيانات_الأساسية!A:A, MATCH(179, البيانات_الأساسية!$I:$I, 0)), "")</f>
        <v>0</v>
      </c>
      <c r="D192" s="2">
        <f>IFERROR(INDEX(البيانات_الأساسية!B:B, MATCH(179, البيانات_الأساسية!$I:$I, 0)), "")</f>
        <v>0</v>
      </c>
      <c r="E192" s="2">
        <f>IFERROR(IF($C$5="الكل", INDEX(البيانات_الأساسية!D:D, MATCH(179, البيانات_الأساسية!$I:$I, 0)), INDEX(البيانات_الأساسية!$V:$AG, MATCH(179, البيانات_الأساسية!$I:$I, 0), VALUE($C$5))), "")</f>
        <v>0</v>
      </c>
      <c r="F192" s="2">
        <f>IFERROR(IF($C$5="الكل", INDEX(البيانات_الأساسية!C:C, MATCH(179, البيانات_الأساسية!$I:$I, 0)), INDEX(البيانات_الأساسية!$J:$U, MATCH(179, البيانات_الأساسية!$I:$I, 0), VALUE($C$5))), "")</f>
        <v>0</v>
      </c>
      <c r="G192" s="2">
        <f>IFERROR(ROUND(F192/60, 2), "")</f>
        <v>0</v>
      </c>
      <c r="H192" s="2">
        <f>IFERROR(ROUND(F192/E192, 2), "")</f>
        <v>0</v>
      </c>
      <c r="I192" s="2">
        <f>IFERROR(IF($C$5="الكل", INDEX(البيانات_الأساسية!G:G, MATCH(179, البيانات_الأساسية!$I:$I, 0)), $C$5), "")</f>
        <v>0</v>
      </c>
    </row>
    <row r="193" spans="2:9" s="4" customFormat="1" ht="20" customHeight="1">
      <c r="B193" s="2">
        <f>IF(C193="","", 180)</f>
        <v>0</v>
      </c>
      <c r="C193" s="2">
        <f>IFERROR(INDEX(البيانات_الأساسية!A:A, MATCH(180, البيانات_الأساسية!$I:$I, 0)), "")</f>
        <v>0</v>
      </c>
      <c r="D193" s="2">
        <f>IFERROR(INDEX(البيانات_الأساسية!B:B, MATCH(180, البيانات_الأساسية!$I:$I, 0)), "")</f>
        <v>0</v>
      </c>
      <c r="E193" s="2">
        <f>IFERROR(IF($C$5="الكل", INDEX(البيانات_الأساسية!D:D, MATCH(180, البيانات_الأساسية!$I:$I, 0)), INDEX(البيانات_الأساسية!$V:$AG, MATCH(180, البيانات_الأساسية!$I:$I, 0), VALUE($C$5))), "")</f>
        <v>0</v>
      </c>
      <c r="F193" s="2">
        <f>IFERROR(IF($C$5="الكل", INDEX(البيانات_الأساسية!C:C, MATCH(180, البيانات_الأساسية!$I:$I, 0)), INDEX(البيانات_الأساسية!$J:$U, MATCH(180, البيانات_الأساسية!$I:$I, 0), VALUE($C$5))), "")</f>
        <v>0</v>
      </c>
      <c r="G193" s="2">
        <f>IFERROR(ROUND(F193/60, 2), "")</f>
        <v>0</v>
      </c>
      <c r="H193" s="2">
        <f>IFERROR(ROUND(F193/E193, 2), "")</f>
        <v>0</v>
      </c>
      <c r="I193" s="2">
        <f>IFERROR(IF($C$5="الكل", INDEX(البيانات_الأساسية!G:G, MATCH(180, البيانات_الأساسية!$I:$I, 0)), $C$5), "")</f>
        <v>0</v>
      </c>
    </row>
    <row r="194" spans="2:9" s="4" customFormat="1" ht="20" customHeight="1">
      <c r="B194" s="2">
        <f>IF(C194="","", 181)</f>
        <v>0</v>
      </c>
      <c r="C194" s="2">
        <f>IFERROR(INDEX(البيانات_الأساسية!A:A, MATCH(181, البيانات_الأساسية!$I:$I, 0)), "")</f>
        <v>0</v>
      </c>
      <c r="D194" s="2">
        <f>IFERROR(INDEX(البيانات_الأساسية!B:B, MATCH(181, البيانات_الأساسية!$I:$I, 0)), "")</f>
        <v>0</v>
      </c>
      <c r="E194" s="2">
        <f>IFERROR(IF($C$5="الكل", INDEX(البيانات_الأساسية!D:D, MATCH(181, البيانات_الأساسية!$I:$I, 0)), INDEX(البيانات_الأساسية!$V:$AG, MATCH(181, البيانات_الأساسية!$I:$I, 0), VALUE($C$5))), "")</f>
        <v>0</v>
      </c>
      <c r="F194" s="2">
        <f>IFERROR(IF($C$5="الكل", INDEX(البيانات_الأساسية!C:C, MATCH(181, البيانات_الأساسية!$I:$I, 0)), INDEX(البيانات_الأساسية!$J:$U, MATCH(181, البيانات_الأساسية!$I:$I, 0), VALUE($C$5))), "")</f>
        <v>0</v>
      </c>
      <c r="G194" s="2">
        <f>IFERROR(ROUND(F194/60, 2), "")</f>
        <v>0</v>
      </c>
      <c r="H194" s="2">
        <f>IFERROR(ROUND(F194/E194, 2), "")</f>
        <v>0</v>
      </c>
      <c r="I194" s="2">
        <f>IFERROR(IF($C$5="الكل", INDEX(البيانات_الأساسية!G:G, MATCH(181, البيانات_الأساسية!$I:$I, 0)), $C$5), "")</f>
        <v>0</v>
      </c>
    </row>
    <row r="195" spans="2:9" s="4" customFormat="1" ht="20" customHeight="1">
      <c r="B195" s="2">
        <f>IF(C195="","", 182)</f>
        <v>0</v>
      </c>
      <c r="C195" s="2">
        <f>IFERROR(INDEX(البيانات_الأساسية!A:A, MATCH(182, البيانات_الأساسية!$I:$I, 0)), "")</f>
        <v>0</v>
      </c>
      <c r="D195" s="2">
        <f>IFERROR(INDEX(البيانات_الأساسية!B:B, MATCH(182, البيانات_الأساسية!$I:$I, 0)), "")</f>
        <v>0</v>
      </c>
      <c r="E195" s="2">
        <f>IFERROR(IF($C$5="الكل", INDEX(البيانات_الأساسية!D:D, MATCH(182, البيانات_الأساسية!$I:$I, 0)), INDEX(البيانات_الأساسية!$V:$AG, MATCH(182, البيانات_الأساسية!$I:$I, 0), VALUE($C$5))), "")</f>
        <v>0</v>
      </c>
      <c r="F195" s="2">
        <f>IFERROR(IF($C$5="الكل", INDEX(البيانات_الأساسية!C:C, MATCH(182, البيانات_الأساسية!$I:$I, 0)), INDEX(البيانات_الأساسية!$J:$U, MATCH(182, البيانات_الأساسية!$I:$I, 0), VALUE($C$5))), "")</f>
        <v>0</v>
      </c>
      <c r="G195" s="2">
        <f>IFERROR(ROUND(F195/60, 2), "")</f>
        <v>0</v>
      </c>
      <c r="H195" s="2">
        <f>IFERROR(ROUND(F195/E195, 2), "")</f>
        <v>0</v>
      </c>
      <c r="I195" s="2">
        <f>IFERROR(IF($C$5="الكل", INDEX(البيانات_الأساسية!G:G, MATCH(182, البيانات_الأساسية!$I:$I, 0)), $C$5), "")</f>
        <v>0</v>
      </c>
    </row>
    <row r="196" spans="2:9" s="4" customFormat="1" ht="20" customHeight="1">
      <c r="B196" s="2">
        <f>IF(C196="","", 183)</f>
        <v>0</v>
      </c>
      <c r="C196" s="2">
        <f>IFERROR(INDEX(البيانات_الأساسية!A:A, MATCH(183, البيانات_الأساسية!$I:$I, 0)), "")</f>
        <v>0</v>
      </c>
      <c r="D196" s="2">
        <f>IFERROR(INDEX(البيانات_الأساسية!B:B, MATCH(183, البيانات_الأساسية!$I:$I, 0)), "")</f>
        <v>0</v>
      </c>
      <c r="E196" s="2">
        <f>IFERROR(IF($C$5="الكل", INDEX(البيانات_الأساسية!D:D, MATCH(183, البيانات_الأساسية!$I:$I, 0)), INDEX(البيانات_الأساسية!$V:$AG, MATCH(183, البيانات_الأساسية!$I:$I, 0), VALUE($C$5))), "")</f>
        <v>0</v>
      </c>
      <c r="F196" s="2">
        <f>IFERROR(IF($C$5="الكل", INDEX(البيانات_الأساسية!C:C, MATCH(183, البيانات_الأساسية!$I:$I, 0)), INDEX(البيانات_الأساسية!$J:$U, MATCH(183, البيانات_الأساسية!$I:$I, 0), VALUE($C$5))), "")</f>
        <v>0</v>
      </c>
      <c r="G196" s="2">
        <f>IFERROR(ROUND(F196/60, 2), "")</f>
        <v>0</v>
      </c>
      <c r="H196" s="2">
        <f>IFERROR(ROUND(F196/E196, 2), "")</f>
        <v>0</v>
      </c>
      <c r="I196" s="2">
        <f>IFERROR(IF($C$5="الكل", INDEX(البيانات_الأساسية!G:G, MATCH(183, البيانات_الأساسية!$I:$I, 0)), $C$5), "")</f>
        <v>0</v>
      </c>
    </row>
    <row r="197" spans="2:9" s="4" customFormat="1" ht="20" customHeight="1">
      <c r="B197" s="2">
        <f>IF(C197="","", 184)</f>
        <v>0</v>
      </c>
      <c r="C197" s="2">
        <f>IFERROR(INDEX(البيانات_الأساسية!A:A, MATCH(184, البيانات_الأساسية!$I:$I, 0)), "")</f>
        <v>0</v>
      </c>
      <c r="D197" s="2">
        <f>IFERROR(INDEX(البيانات_الأساسية!B:B, MATCH(184, البيانات_الأساسية!$I:$I, 0)), "")</f>
        <v>0</v>
      </c>
      <c r="E197" s="2">
        <f>IFERROR(IF($C$5="الكل", INDEX(البيانات_الأساسية!D:D, MATCH(184, البيانات_الأساسية!$I:$I, 0)), INDEX(البيانات_الأساسية!$V:$AG, MATCH(184, البيانات_الأساسية!$I:$I, 0), VALUE($C$5))), "")</f>
        <v>0</v>
      </c>
      <c r="F197" s="2">
        <f>IFERROR(IF($C$5="الكل", INDEX(البيانات_الأساسية!C:C, MATCH(184, البيانات_الأساسية!$I:$I, 0)), INDEX(البيانات_الأساسية!$J:$U, MATCH(184, البيانات_الأساسية!$I:$I, 0), VALUE($C$5))), "")</f>
        <v>0</v>
      </c>
      <c r="G197" s="2">
        <f>IFERROR(ROUND(F197/60, 2), "")</f>
        <v>0</v>
      </c>
      <c r="H197" s="2">
        <f>IFERROR(ROUND(F197/E197, 2), "")</f>
        <v>0</v>
      </c>
      <c r="I197" s="2">
        <f>IFERROR(IF($C$5="الكل", INDEX(البيانات_الأساسية!G:G, MATCH(184, البيانات_الأساسية!$I:$I, 0)), $C$5), "")</f>
        <v>0</v>
      </c>
    </row>
    <row r="198" spans="2:9" s="4" customFormat="1" ht="20" customHeight="1">
      <c r="B198" s="2">
        <f>IF(C198="","", 185)</f>
        <v>0</v>
      </c>
      <c r="C198" s="2">
        <f>IFERROR(INDEX(البيانات_الأساسية!A:A, MATCH(185, البيانات_الأساسية!$I:$I, 0)), "")</f>
        <v>0</v>
      </c>
      <c r="D198" s="2">
        <f>IFERROR(INDEX(البيانات_الأساسية!B:B, MATCH(185, البيانات_الأساسية!$I:$I, 0)), "")</f>
        <v>0</v>
      </c>
      <c r="E198" s="2">
        <f>IFERROR(IF($C$5="الكل", INDEX(البيانات_الأساسية!D:D, MATCH(185, البيانات_الأساسية!$I:$I, 0)), INDEX(البيانات_الأساسية!$V:$AG, MATCH(185, البيانات_الأساسية!$I:$I, 0), VALUE($C$5))), "")</f>
        <v>0</v>
      </c>
      <c r="F198" s="2">
        <f>IFERROR(IF($C$5="الكل", INDEX(البيانات_الأساسية!C:C, MATCH(185, البيانات_الأساسية!$I:$I, 0)), INDEX(البيانات_الأساسية!$J:$U, MATCH(185, البيانات_الأساسية!$I:$I, 0), VALUE($C$5))), "")</f>
        <v>0</v>
      </c>
      <c r="G198" s="2">
        <f>IFERROR(ROUND(F198/60, 2), "")</f>
        <v>0</v>
      </c>
      <c r="H198" s="2">
        <f>IFERROR(ROUND(F198/E198, 2), "")</f>
        <v>0</v>
      </c>
      <c r="I198" s="2">
        <f>IFERROR(IF($C$5="الكل", INDEX(البيانات_الأساسية!G:G, MATCH(185, البيانات_الأساسية!$I:$I, 0)), $C$5), "")</f>
        <v>0</v>
      </c>
    </row>
    <row r="199" spans="2:9" s="4" customFormat="1" ht="20" customHeight="1">
      <c r="B199" s="2">
        <f>IF(C199="","", 186)</f>
        <v>0</v>
      </c>
      <c r="C199" s="2">
        <f>IFERROR(INDEX(البيانات_الأساسية!A:A, MATCH(186, البيانات_الأساسية!$I:$I, 0)), "")</f>
        <v>0</v>
      </c>
      <c r="D199" s="2">
        <f>IFERROR(INDEX(البيانات_الأساسية!B:B, MATCH(186, البيانات_الأساسية!$I:$I, 0)), "")</f>
        <v>0</v>
      </c>
      <c r="E199" s="2">
        <f>IFERROR(IF($C$5="الكل", INDEX(البيانات_الأساسية!D:D, MATCH(186, البيانات_الأساسية!$I:$I, 0)), INDEX(البيانات_الأساسية!$V:$AG, MATCH(186, البيانات_الأساسية!$I:$I, 0), VALUE($C$5))), "")</f>
        <v>0</v>
      </c>
      <c r="F199" s="2">
        <f>IFERROR(IF($C$5="الكل", INDEX(البيانات_الأساسية!C:C, MATCH(186, البيانات_الأساسية!$I:$I, 0)), INDEX(البيانات_الأساسية!$J:$U, MATCH(186, البيانات_الأساسية!$I:$I, 0), VALUE($C$5))), "")</f>
        <v>0</v>
      </c>
      <c r="G199" s="2">
        <f>IFERROR(ROUND(F199/60, 2), "")</f>
        <v>0</v>
      </c>
      <c r="H199" s="2">
        <f>IFERROR(ROUND(F199/E199, 2), "")</f>
        <v>0</v>
      </c>
      <c r="I199" s="2">
        <f>IFERROR(IF($C$5="الكل", INDEX(البيانات_الأساسية!G:G, MATCH(186, البيانات_الأساسية!$I:$I, 0)), $C$5), "")</f>
        <v>0</v>
      </c>
    </row>
    <row r="200" spans="2:9" s="4" customFormat="1" ht="20" customHeight="1">
      <c r="B200" s="2">
        <f>IF(C200="","", 187)</f>
        <v>0</v>
      </c>
      <c r="C200" s="2">
        <f>IFERROR(INDEX(البيانات_الأساسية!A:A, MATCH(187, البيانات_الأساسية!$I:$I, 0)), "")</f>
        <v>0</v>
      </c>
      <c r="D200" s="2">
        <f>IFERROR(INDEX(البيانات_الأساسية!B:B, MATCH(187, البيانات_الأساسية!$I:$I, 0)), "")</f>
        <v>0</v>
      </c>
      <c r="E200" s="2">
        <f>IFERROR(IF($C$5="الكل", INDEX(البيانات_الأساسية!D:D, MATCH(187, البيانات_الأساسية!$I:$I, 0)), INDEX(البيانات_الأساسية!$V:$AG, MATCH(187, البيانات_الأساسية!$I:$I, 0), VALUE($C$5))), "")</f>
        <v>0</v>
      </c>
      <c r="F200" s="2">
        <f>IFERROR(IF($C$5="الكل", INDEX(البيانات_الأساسية!C:C, MATCH(187, البيانات_الأساسية!$I:$I, 0)), INDEX(البيانات_الأساسية!$J:$U, MATCH(187, البيانات_الأساسية!$I:$I, 0), VALUE($C$5))), "")</f>
        <v>0</v>
      </c>
      <c r="G200" s="2">
        <f>IFERROR(ROUND(F200/60, 2), "")</f>
        <v>0</v>
      </c>
      <c r="H200" s="2">
        <f>IFERROR(ROUND(F200/E200, 2), "")</f>
        <v>0</v>
      </c>
      <c r="I200" s="2">
        <f>IFERROR(IF($C$5="الكل", INDEX(البيانات_الأساسية!G:G, MATCH(187, البيانات_الأساسية!$I:$I, 0)), $C$5), "")</f>
        <v>0</v>
      </c>
    </row>
    <row r="201" spans="2:9" s="4" customFormat="1" ht="20" customHeight="1">
      <c r="B201" s="2">
        <f>IF(C201="","", 188)</f>
        <v>0</v>
      </c>
      <c r="C201" s="2">
        <f>IFERROR(INDEX(البيانات_الأساسية!A:A, MATCH(188, البيانات_الأساسية!$I:$I, 0)), "")</f>
        <v>0</v>
      </c>
      <c r="D201" s="2">
        <f>IFERROR(INDEX(البيانات_الأساسية!B:B, MATCH(188, البيانات_الأساسية!$I:$I, 0)), "")</f>
        <v>0</v>
      </c>
      <c r="E201" s="2">
        <f>IFERROR(IF($C$5="الكل", INDEX(البيانات_الأساسية!D:D, MATCH(188, البيانات_الأساسية!$I:$I, 0)), INDEX(البيانات_الأساسية!$V:$AG, MATCH(188, البيانات_الأساسية!$I:$I, 0), VALUE($C$5))), "")</f>
        <v>0</v>
      </c>
      <c r="F201" s="2">
        <f>IFERROR(IF($C$5="الكل", INDEX(البيانات_الأساسية!C:C, MATCH(188, البيانات_الأساسية!$I:$I, 0)), INDEX(البيانات_الأساسية!$J:$U, MATCH(188, البيانات_الأساسية!$I:$I, 0), VALUE($C$5))), "")</f>
        <v>0</v>
      </c>
      <c r="G201" s="2">
        <f>IFERROR(ROUND(F201/60, 2), "")</f>
        <v>0</v>
      </c>
      <c r="H201" s="2">
        <f>IFERROR(ROUND(F201/E201, 2), "")</f>
        <v>0</v>
      </c>
      <c r="I201" s="2">
        <f>IFERROR(IF($C$5="الكل", INDEX(البيانات_الأساسية!G:G, MATCH(188, البيانات_الأساسية!$I:$I, 0)), $C$5), "")</f>
        <v>0</v>
      </c>
    </row>
    <row r="202" spans="2:9" s="4" customFormat="1" ht="20" customHeight="1">
      <c r="B202" s="2">
        <f>IF(C202="","", 189)</f>
        <v>0</v>
      </c>
      <c r="C202" s="2">
        <f>IFERROR(INDEX(البيانات_الأساسية!A:A, MATCH(189, البيانات_الأساسية!$I:$I, 0)), "")</f>
        <v>0</v>
      </c>
      <c r="D202" s="2">
        <f>IFERROR(INDEX(البيانات_الأساسية!B:B, MATCH(189, البيانات_الأساسية!$I:$I, 0)), "")</f>
        <v>0</v>
      </c>
      <c r="E202" s="2">
        <f>IFERROR(IF($C$5="الكل", INDEX(البيانات_الأساسية!D:D, MATCH(189, البيانات_الأساسية!$I:$I, 0)), INDEX(البيانات_الأساسية!$V:$AG, MATCH(189, البيانات_الأساسية!$I:$I, 0), VALUE($C$5))), "")</f>
        <v>0</v>
      </c>
      <c r="F202" s="2">
        <f>IFERROR(IF($C$5="الكل", INDEX(البيانات_الأساسية!C:C, MATCH(189, البيانات_الأساسية!$I:$I, 0)), INDEX(البيانات_الأساسية!$J:$U, MATCH(189, البيانات_الأساسية!$I:$I, 0), VALUE($C$5))), "")</f>
        <v>0</v>
      </c>
      <c r="G202" s="2">
        <f>IFERROR(ROUND(F202/60, 2), "")</f>
        <v>0</v>
      </c>
      <c r="H202" s="2">
        <f>IFERROR(ROUND(F202/E202, 2), "")</f>
        <v>0</v>
      </c>
      <c r="I202" s="2">
        <f>IFERROR(IF($C$5="الكل", INDEX(البيانات_الأساسية!G:G, MATCH(189, البيانات_الأساسية!$I:$I, 0)), $C$5), "")</f>
        <v>0</v>
      </c>
    </row>
    <row r="203" spans="2:9" s="4" customFormat="1" ht="20" customHeight="1">
      <c r="B203" s="2">
        <f>IF(C203="","", 190)</f>
        <v>0</v>
      </c>
      <c r="C203" s="2">
        <f>IFERROR(INDEX(البيانات_الأساسية!A:A, MATCH(190, البيانات_الأساسية!$I:$I, 0)), "")</f>
        <v>0</v>
      </c>
      <c r="D203" s="2">
        <f>IFERROR(INDEX(البيانات_الأساسية!B:B, MATCH(190, البيانات_الأساسية!$I:$I, 0)), "")</f>
        <v>0</v>
      </c>
      <c r="E203" s="2">
        <f>IFERROR(IF($C$5="الكل", INDEX(البيانات_الأساسية!D:D, MATCH(190, البيانات_الأساسية!$I:$I, 0)), INDEX(البيانات_الأساسية!$V:$AG, MATCH(190, البيانات_الأساسية!$I:$I, 0), VALUE($C$5))), "")</f>
        <v>0</v>
      </c>
      <c r="F203" s="2">
        <f>IFERROR(IF($C$5="الكل", INDEX(البيانات_الأساسية!C:C, MATCH(190, البيانات_الأساسية!$I:$I, 0)), INDEX(البيانات_الأساسية!$J:$U, MATCH(190, البيانات_الأساسية!$I:$I, 0), VALUE($C$5))), "")</f>
        <v>0</v>
      </c>
      <c r="G203" s="2">
        <f>IFERROR(ROUND(F203/60, 2), "")</f>
        <v>0</v>
      </c>
      <c r="H203" s="2">
        <f>IFERROR(ROUND(F203/E203, 2), "")</f>
        <v>0</v>
      </c>
      <c r="I203" s="2">
        <f>IFERROR(IF($C$5="الكل", INDEX(البيانات_الأساسية!G:G, MATCH(190, البيانات_الأساسية!$I:$I, 0)), $C$5), "")</f>
        <v>0</v>
      </c>
    </row>
    <row r="204" spans="2:9" s="4" customFormat="1" ht="20" customHeight="1">
      <c r="B204" s="2">
        <f>IF(C204="","", 191)</f>
        <v>0</v>
      </c>
      <c r="C204" s="2">
        <f>IFERROR(INDEX(البيانات_الأساسية!A:A, MATCH(191, البيانات_الأساسية!$I:$I, 0)), "")</f>
        <v>0</v>
      </c>
      <c r="D204" s="2">
        <f>IFERROR(INDEX(البيانات_الأساسية!B:B, MATCH(191, البيانات_الأساسية!$I:$I, 0)), "")</f>
        <v>0</v>
      </c>
      <c r="E204" s="2">
        <f>IFERROR(IF($C$5="الكل", INDEX(البيانات_الأساسية!D:D, MATCH(191, البيانات_الأساسية!$I:$I, 0)), INDEX(البيانات_الأساسية!$V:$AG, MATCH(191, البيانات_الأساسية!$I:$I, 0), VALUE($C$5))), "")</f>
        <v>0</v>
      </c>
      <c r="F204" s="2">
        <f>IFERROR(IF($C$5="الكل", INDEX(البيانات_الأساسية!C:C, MATCH(191, البيانات_الأساسية!$I:$I, 0)), INDEX(البيانات_الأساسية!$J:$U, MATCH(191, البيانات_الأساسية!$I:$I, 0), VALUE($C$5))), "")</f>
        <v>0</v>
      </c>
      <c r="G204" s="2">
        <f>IFERROR(ROUND(F204/60, 2), "")</f>
        <v>0</v>
      </c>
      <c r="H204" s="2">
        <f>IFERROR(ROUND(F204/E204, 2), "")</f>
        <v>0</v>
      </c>
      <c r="I204" s="2">
        <f>IFERROR(IF($C$5="الكل", INDEX(البيانات_الأساسية!G:G, MATCH(191, البيانات_الأساسية!$I:$I, 0)), $C$5), "")</f>
        <v>0</v>
      </c>
    </row>
    <row r="205" spans="2:9" s="4" customFormat="1" ht="20" customHeight="1">
      <c r="B205" s="2">
        <f>IF(C205="","", 192)</f>
        <v>0</v>
      </c>
      <c r="C205" s="2">
        <f>IFERROR(INDEX(البيانات_الأساسية!A:A, MATCH(192, البيانات_الأساسية!$I:$I, 0)), "")</f>
        <v>0</v>
      </c>
      <c r="D205" s="2">
        <f>IFERROR(INDEX(البيانات_الأساسية!B:B, MATCH(192, البيانات_الأساسية!$I:$I, 0)), "")</f>
        <v>0</v>
      </c>
      <c r="E205" s="2">
        <f>IFERROR(IF($C$5="الكل", INDEX(البيانات_الأساسية!D:D, MATCH(192, البيانات_الأساسية!$I:$I, 0)), INDEX(البيانات_الأساسية!$V:$AG, MATCH(192, البيانات_الأساسية!$I:$I, 0), VALUE($C$5))), "")</f>
        <v>0</v>
      </c>
      <c r="F205" s="2">
        <f>IFERROR(IF($C$5="الكل", INDEX(البيانات_الأساسية!C:C, MATCH(192, البيانات_الأساسية!$I:$I, 0)), INDEX(البيانات_الأساسية!$J:$U, MATCH(192, البيانات_الأساسية!$I:$I, 0), VALUE($C$5))), "")</f>
        <v>0</v>
      </c>
      <c r="G205" s="2">
        <f>IFERROR(ROUND(F205/60, 2), "")</f>
        <v>0</v>
      </c>
      <c r="H205" s="2">
        <f>IFERROR(ROUND(F205/E205, 2), "")</f>
        <v>0</v>
      </c>
      <c r="I205" s="2">
        <f>IFERROR(IF($C$5="الكل", INDEX(البيانات_الأساسية!G:G, MATCH(192, البيانات_الأساسية!$I:$I, 0)), $C$5), "")</f>
        <v>0</v>
      </c>
    </row>
    <row r="206" spans="2:9" s="4" customFormat="1" ht="20" customHeight="1">
      <c r="B206" s="2">
        <f>IF(C206="","", 193)</f>
        <v>0</v>
      </c>
      <c r="C206" s="2">
        <f>IFERROR(INDEX(البيانات_الأساسية!A:A, MATCH(193, البيانات_الأساسية!$I:$I, 0)), "")</f>
        <v>0</v>
      </c>
      <c r="D206" s="2">
        <f>IFERROR(INDEX(البيانات_الأساسية!B:B, MATCH(193, البيانات_الأساسية!$I:$I, 0)), "")</f>
        <v>0</v>
      </c>
      <c r="E206" s="2">
        <f>IFERROR(IF($C$5="الكل", INDEX(البيانات_الأساسية!D:D, MATCH(193, البيانات_الأساسية!$I:$I, 0)), INDEX(البيانات_الأساسية!$V:$AG, MATCH(193, البيانات_الأساسية!$I:$I, 0), VALUE($C$5))), "")</f>
        <v>0</v>
      </c>
      <c r="F206" s="2">
        <f>IFERROR(IF($C$5="الكل", INDEX(البيانات_الأساسية!C:C, MATCH(193, البيانات_الأساسية!$I:$I, 0)), INDEX(البيانات_الأساسية!$J:$U, MATCH(193, البيانات_الأساسية!$I:$I, 0), VALUE($C$5))), "")</f>
        <v>0</v>
      </c>
      <c r="G206" s="2">
        <f>IFERROR(ROUND(F206/60, 2), "")</f>
        <v>0</v>
      </c>
      <c r="H206" s="2">
        <f>IFERROR(ROUND(F206/E206, 2), "")</f>
        <v>0</v>
      </c>
      <c r="I206" s="2">
        <f>IFERROR(IF($C$5="الكل", INDEX(البيانات_الأساسية!G:G, MATCH(193, البيانات_الأساسية!$I:$I, 0)), $C$5), "")</f>
        <v>0</v>
      </c>
    </row>
    <row r="207" spans="2:9" s="4" customFormat="1" ht="20" customHeight="1">
      <c r="B207" s="2">
        <f>IF(C207="","", 194)</f>
        <v>0</v>
      </c>
      <c r="C207" s="2">
        <f>IFERROR(INDEX(البيانات_الأساسية!A:A, MATCH(194, البيانات_الأساسية!$I:$I, 0)), "")</f>
        <v>0</v>
      </c>
      <c r="D207" s="2">
        <f>IFERROR(INDEX(البيانات_الأساسية!B:B, MATCH(194, البيانات_الأساسية!$I:$I, 0)), "")</f>
        <v>0</v>
      </c>
      <c r="E207" s="2">
        <f>IFERROR(IF($C$5="الكل", INDEX(البيانات_الأساسية!D:D, MATCH(194, البيانات_الأساسية!$I:$I, 0)), INDEX(البيانات_الأساسية!$V:$AG, MATCH(194, البيانات_الأساسية!$I:$I, 0), VALUE($C$5))), "")</f>
        <v>0</v>
      </c>
      <c r="F207" s="2">
        <f>IFERROR(IF($C$5="الكل", INDEX(البيانات_الأساسية!C:C, MATCH(194, البيانات_الأساسية!$I:$I, 0)), INDEX(البيانات_الأساسية!$J:$U, MATCH(194, البيانات_الأساسية!$I:$I, 0), VALUE($C$5))), "")</f>
        <v>0</v>
      </c>
      <c r="G207" s="2">
        <f>IFERROR(ROUND(F207/60, 2), "")</f>
        <v>0</v>
      </c>
      <c r="H207" s="2">
        <f>IFERROR(ROUND(F207/E207, 2), "")</f>
        <v>0</v>
      </c>
      <c r="I207" s="2">
        <f>IFERROR(IF($C$5="الكل", INDEX(البيانات_الأساسية!G:G, MATCH(194, البيانات_الأساسية!$I:$I, 0)), $C$5), "")</f>
        <v>0</v>
      </c>
    </row>
    <row r="208" spans="2:9" s="4" customFormat="1" ht="20" customHeight="1">
      <c r="B208" s="2">
        <f>IF(C208="","", 195)</f>
        <v>0</v>
      </c>
      <c r="C208" s="2">
        <f>IFERROR(INDEX(البيانات_الأساسية!A:A, MATCH(195, البيانات_الأساسية!$I:$I, 0)), "")</f>
        <v>0</v>
      </c>
      <c r="D208" s="2">
        <f>IFERROR(INDEX(البيانات_الأساسية!B:B, MATCH(195, البيانات_الأساسية!$I:$I, 0)), "")</f>
        <v>0</v>
      </c>
      <c r="E208" s="2">
        <f>IFERROR(IF($C$5="الكل", INDEX(البيانات_الأساسية!D:D, MATCH(195, البيانات_الأساسية!$I:$I, 0)), INDEX(البيانات_الأساسية!$V:$AG, MATCH(195, البيانات_الأساسية!$I:$I, 0), VALUE($C$5))), "")</f>
        <v>0</v>
      </c>
      <c r="F208" s="2">
        <f>IFERROR(IF($C$5="الكل", INDEX(البيانات_الأساسية!C:C, MATCH(195, البيانات_الأساسية!$I:$I, 0)), INDEX(البيانات_الأساسية!$J:$U, MATCH(195, البيانات_الأساسية!$I:$I, 0), VALUE($C$5))), "")</f>
        <v>0</v>
      </c>
      <c r="G208" s="2">
        <f>IFERROR(ROUND(F208/60, 2), "")</f>
        <v>0</v>
      </c>
      <c r="H208" s="2">
        <f>IFERROR(ROUND(F208/E208, 2), "")</f>
        <v>0</v>
      </c>
      <c r="I208" s="2">
        <f>IFERROR(IF($C$5="الكل", INDEX(البيانات_الأساسية!G:G, MATCH(195, البيانات_الأساسية!$I:$I, 0)), $C$5), "")</f>
        <v>0</v>
      </c>
    </row>
    <row r="209" spans="2:9" s="4" customFormat="1" ht="20" customHeight="1">
      <c r="B209" s="2">
        <f>IF(C209="","", 196)</f>
        <v>0</v>
      </c>
      <c r="C209" s="2">
        <f>IFERROR(INDEX(البيانات_الأساسية!A:A, MATCH(196, البيانات_الأساسية!$I:$I, 0)), "")</f>
        <v>0</v>
      </c>
      <c r="D209" s="2">
        <f>IFERROR(INDEX(البيانات_الأساسية!B:B, MATCH(196, البيانات_الأساسية!$I:$I, 0)), "")</f>
        <v>0</v>
      </c>
      <c r="E209" s="2">
        <f>IFERROR(IF($C$5="الكل", INDEX(البيانات_الأساسية!D:D, MATCH(196, البيانات_الأساسية!$I:$I, 0)), INDEX(البيانات_الأساسية!$V:$AG, MATCH(196, البيانات_الأساسية!$I:$I, 0), VALUE($C$5))), "")</f>
        <v>0</v>
      </c>
      <c r="F209" s="2">
        <f>IFERROR(IF($C$5="الكل", INDEX(البيانات_الأساسية!C:C, MATCH(196, البيانات_الأساسية!$I:$I, 0)), INDEX(البيانات_الأساسية!$J:$U, MATCH(196, البيانات_الأساسية!$I:$I, 0), VALUE($C$5))), "")</f>
        <v>0</v>
      </c>
      <c r="G209" s="2">
        <f>IFERROR(ROUND(F209/60, 2), "")</f>
        <v>0</v>
      </c>
      <c r="H209" s="2">
        <f>IFERROR(ROUND(F209/E209, 2), "")</f>
        <v>0</v>
      </c>
      <c r="I209" s="2">
        <f>IFERROR(IF($C$5="الكل", INDEX(البيانات_الأساسية!G:G, MATCH(196, البيانات_الأساسية!$I:$I, 0)), $C$5), "")</f>
        <v>0</v>
      </c>
    </row>
    <row r="210" spans="2:9" s="4" customFormat="1" ht="20" customHeight="1">
      <c r="B210" s="2">
        <f>IF(C210="","", 197)</f>
        <v>0</v>
      </c>
      <c r="C210" s="2">
        <f>IFERROR(INDEX(البيانات_الأساسية!A:A, MATCH(197, البيانات_الأساسية!$I:$I, 0)), "")</f>
        <v>0</v>
      </c>
      <c r="D210" s="2">
        <f>IFERROR(INDEX(البيانات_الأساسية!B:B, MATCH(197, البيانات_الأساسية!$I:$I, 0)), "")</f>
        <v>0</v>
      </c>
      <c r="E210" s="2">
        <f>IFERROR(IF($C$5="الكل", INDEX(البيانات_الأساسية!D:D, MATCH(197, البيانات_الأساسية!$I:$I, 0)), INDEX(البيانات_الأساسية!$V:$AG, MATCH(197, البيانات_الأساسية!$I:$I, 0), VALUE($C$5))), "")</f>
        <v>0</v>
      </c>
      <c r="F210" s="2">
        <f>IFERROR(IF($C$5="الكل", INDEX(البيانات_الأساسية!C:C, MATCH(197, البيانات_الأساسية!$I:$I, 0)), INDEX(البيانات_الأساسية!$J:$U, MATCH(197, البيانات_الأساسية!$I:$I, 0), VALUE($C$5))), "")</f>
        <v>0</v>
      </c>
      <c r="G210" s="2">
        <f>IFERROR(ROUND(F210/60, 2), "")</f>
        <v>0</v>
      </c>
      <c r="H210" s="2">
        <f>IFERROR(ROUND(F210/E210, 2), "")</f>
        <v>0</v>
      </c>
      <c r="I210" s="2">
        <f>IFERROR(IF($C$5="الكل", INDEX(البيانات_الأساسية!G:G, MATCH(197, البيانات_الأساسية!$I:$I, 0)), $C$5), "")</f>
        <v>0</v>
      </c>
    </row>
    <row r="211" spans="2:9" s="4" customFormat="1" ht="20" customHeight="1">
      <c r="B211" s="2">
        <f>IF(C211="","", 198)</f>
        <v>0</v>
      </c>
      <c r="C211" s="2">
        <f>IFERROR(INDEX(البيانات_الأساسية!A:A, MATCH(198, البيانات_الأساسية!$I:$I, 0)), "")</f>
        <v>0</v>
      </c>
      <c r="D211" s="2">
        <f>IFERROR(INDEX(البيانات_الأساسية!B:B, MATCH(198, البيانات_الأساسية!$I:$I, 0)), "")</f>
        <v>0</v>
      </c>
      <c r="E211" s="2">
        <f>IFERROR(IF($C$5="الكل", INDEX(البيانات_الأساسية!D:D, MATCH(198, البيانات_الأساسية!$I:$I, 0)), INDEX(البيانات_الأساسية!$V:$AG, MATCH(198, البيانات_الأساسية!$I:$I, 0), VALUE($C$5))), "")</f>
        <v>0</v>
      </c>
      <c r="F211" s="2">
        <f>IFERROR(IF($C$5="الكل", INDEX(البيانات_الأساسية!C:C, MATCH(198, البيانات_الأساسية!$I:$I, 0)), INDEX(البيانات_الأساسية!$J:$U, MATCH(198, البيانات_الأساسية!$I:$I, 0), VALUE($C$5))), "")</f>
        <v>0</v>
      </c>
      <c r="G211" s="2">
        <f>IFERROR(ROUND(F211/60, 2), "")</f>
        <v>0</v>
      </c>
      <c r="H211" s="2">
        <f>IFERROR(ROUND(F211/E211, 2), "")</f>
        <v>0</v>
      </c>
      <c r="I211" s="2">
        <f>IFERROR(IF($C$5="الكل", INDEX(البيانات_الأساسية!G:G, MATCH(198, البيانات_الأساسية!$I:$I, 0)), $C$5), "")</f>
        <v>0</v>
      </c>
    </row>
    <row r="212" spans="2:9" s="4" customFormat="1" ht="20" customHeight="1">
      <c r="B212" s="2">
        <f>IF(C212="","", 199)</f>
        <v>0</v>
      </c>
      <c r="C212" s="2">
        <f>IFERROR(INDEX(البيانات_الأساسية!A:A, MATCH(199, البيانات_الأساسية!$I:$I, 0)), "")</f>
        <v>0</v>
      </c>
      <c r="D212" s="2">
        <f>IFERROR(INDEX(البيانات_الأساسية!B:B, MATCH(199, البيانات_الأساسية!$I:$I, 0)), "")</f>
        <v>0</v>
      </c>
      <c r="E212" s="2">
        <f>IFERROR(IF($C$5="الكل", INDEX(البيانات_الأساسية!D:D, MATCH(199, البيانات_الأساسية!$I:$I, 0)), INDEX(البيانات_الأساسية!$V:$AG, MATCH(199, البيانات_الأساسية!$I:$I, 0), VALUE($C$5))), "")</f>
        <v>0</v>
      </c>
      <c r="F212" s="2">
        <f>IFERROR(IF($C$5="الكل", INDEX(البيانات_الأساسية!C:C, MATCH(199, البيانات_الأساسية!$I:$I, 0)), INDEX(البيانات_الأساسية!$J:$U, MATCH(199, البيانات_الأساسية!$I:$I, 0), VALUE($C$5))), "")</f>
        <v>0</v>
      </c>
      <c r="G212" s="2">
        <f>IFERROR(ROUND(F212/60, 2), "")</f>
        <v>0</v>
      </c>
      <c r="H212" s="2">
        <f>IFERROR(ROUND(F212/E212, 2), "")</f>
        <v>0</v>
      </c>
      <c r="I212" s="2">
        <f>IFERROR(IF($C$5="الكل", INDEX(البيانات_الأساسية!G:G, MATCH(199, البيانات_الأساسية!$I:$I, 0)), $C$5), "")</f>
        <v>0</v>
      </c>
    </row>
    <row r="213" spans="2:9" s="4" customFormat="1" ht="20" customHeight="1">
      <c r="B213" s="2">
        <f>IF(C213="","", 200)</f>
        <v>0</v>
      </c>
      <c r="C213" s="2">
        <f>IFERROR(INDEX(البيانات_الأساسية!A:A, MATCH(200, البيانات_الأساسية!$I:$I, 0)), "")</f>
        <v>0</v>
      </c>
      <c r="D213" s="2">
        <f>IFERROR(INDEX(البيانات_الأساسية!B:B, MATCH(200, البيانات_الأساسية!$I:$I, 0)), "")</f>
        <v>0</v>
      </c>
      <c r="E213" s="2">
        <f>IFERROR(IF($C$5="الكل", INDEX(البيانات_الأساسية!D:D, MATCH(200, البيانات_الأساسية!$I:$I, 0)), INDEX(البيانات_الأساسية!$V:$AG, MATCH(200, البيانات_الأساسية!$I:$I, 0), VALUE($C$5))), "")</f>
        <v>0</v>
      </c>
      <c r="F213" s="2">
        <f>IFERROR(IF($C$5="الكل", INDEX(البيانات_الأساسية!C:C, MATCH(200, البيانات_الأساسية!$I:$I, 0)), INDEX(البيانات_الأساسية!$J:$U, MATCH(200, البيانات_الأساسية!$I:$I, 0), VALUE($C$5))), "")</f>
        <v>0</v>
      </c>
      <c r="G213" s="2">
        <f>IFERROR(ROUND(F213/60, 2), "")</f>
        <v>0</v>
      </c>
      <c r="H213" s="2">
        <f>IFERROR(ROUND(F213/E213, 2), "")</f>
        <v>0</v>
      </c>
      <c r="I213" s="2">
        <f>IFERROR(IF($C$5="الكل", INDEX(البيانات_الأساسية!G:G, MATCH(200, البيانات_الأساسية!$I:$I, 0)), $C$5), "")</f>
        <v>0</v>
      </c>
    </row>
    <row r="214" spans="2:9" s="4" customFormat="1" ht="20" customHeight="1">
      <c r="B214" s="2">
        <f>IF(C214="","", 201)</f>
        <v>0</v>
      </c>
      <c r="C214" s="2">
        <f>IFERROR(INDEX(البيانات_الأساسية!A:A, MATCH(201, البيانات_الأساسية!$I:$I, 0)), "")</f>
        <v>0</v>
      </c>
      <c r="D214" s="2">
        <f>IFERROR(INDEX(البيانات_الأساسية!B:B, MATCH(201, البيانات_الأساسية!$I:$I, 0)), "")</f>
        <v>0</v>
      </c>
      <c r="E214" s="2">
        <f>IFERROR(IF($C$5="الكل", INDEX(البيانات_الأساسية!D:D, MATCH(201, البيانات_الأساسية!$I:$I, 0)), INDEX(البيانات_الأساسية!$V:$AG, MATCH(201, البيانات_الأساسية!$I:$I, 0), VALUE($C$5))), "")</f>
        <v>0</v>
      </c>
      <c r="F214" s="2">
        <f>IFERROR(IF($C$5="الكل", INDEX(البيانات_الأساسية!C:C, MATCH(201, البيانات_الأساسية!$I:$I, 0)), INDEX(البيانات_الأساسية!$J:$U, MATCH(201, البيانات_الأساسية!$I:$I, 0), VALUE($C$5))), "")</f>
        <v>0</v>
      </c>
      <c r="G214" s="2">
        <f>IFERROR(ROUND(F214/60, 2), "")</f>
        <v>0</v>
      </c>
      <c r="H214" s="2">
        <f>IFERROR(ROUND(F214/E214, 2), "")</f>
        <v>0</v>
      </c>
      <c r="I214" s="2">
        <f>IFERROR(IF($C$5="الكل", INDEX(البيانات_الأساسية!G:G, MATCH(201, البيانات_الأساسية!$I:$I, 0)), $C$5), "")</f>
        <v>0</v>
      </c>
    </row>
    <row r="215" spans="2:9" s="4" customFormat="1" ht="20" customHeight="1">
      <c r="B215" s="2">
        <f>IF(C215="","", 202)</f>
        <v>0</v>
      </c>
      <c r="C215" s="2">
        <f>IFERROR(INDEX(البيانات_الأساسية!A:A, MATCH(202, البيانات_الأساسية!$I:$I, 0)), "")</f>
        <v>0</v>
      </c>
      <c r="D215" s="2">
        <f>IFERROR(INDEX(البيانات_الأساسية!B:B, MATCH(202, البيانات_الأساسية!$I:$I, 0)), "")</f>
        <v>0</v>
      </c>
      <c r="E215" s="2">
        <f>IFERROR(IF($C$5="الكل", INDEX(البيانات_الأساسية!D:D, MATCH(202, البيانات_الأساسية!$I:$I, 0)), INDEX(البيانات_الأساسية!$V:$AG, MATCH(202, البيانات_الأساسية!$I:$I, 0), VALUE($C$5))), "")</f>
        <v>0</v>
      </c>
      <c r="F215" s="2">
        <f>IFERROR(IF($C$5="الكل", INDEX(البيانات_الأساسية!C:C, MATCH(202, البيانات_الأساسية!$I:$I, 0)), INDEX(البيانات_الأساسية!$J:$U, MATCH(202, البيانات_الأساسية!$I:$I, 0), VALUE($C$5))), "")</f>
        <v>0</v>
      </c>
      <c r="G215" s="2">
        <f>IFERROR(ROUND(F215/60, 2), "")</f>
        <v>0</v>
      </c>
      <c r="H215" s="2">
        <f>IFERROR(ROUND(F215/E215, 2), "")</f>
        <v>0</v>
      </c>
      <c r="I215" s="2">
        <f>IFERROR(IF($C$5="الكل", INDEX(البيانات_الأساسية!G:G, MATCH(202, البيانات_الأساسية!$I:$I, 0)), $C$5), "")</f>
        <v>0</v>
      </c>
    </row>
    <row r="216" spans="2:9" s="4" customFormat="1" ht="20" customHeight="1">
      <c r="B216" s="2">
        <f>IF(C216="","", 203)</f>
        <v>0</v>
      </c>
      <c r="C216" s="2">
        <f>IFERROR(INDEX(البيانات_الأساسية!A:A, MATCH(203, البيانات_الأساسية!$I:$I, 0)), "")</f>
        <v>0</v>
      </c>
      <c r="D216" s="2">
        <f>IFERROR(INDEX(البيانات_الأساسية!B:B, MATCH(203, البيانات_الأساسية!$I:$I, 0)), "")</f>
        <v>0</v>
      </c>
      <c r="E216" s="2">
        <f>IFERROR(IF($C$5="الكل", INDEX(البيانات_الأساسية!D:D, MATCH(203, البيانات_الأساسية!$I:$I, 0)), INDEX(البيانات_الأساسية!$V:$AG, MATCH(203, البيانات_الأساسية!$I:$I, 0), VALUE($C$5))), "")</f>
        <v>0</v>
      </c>
      <c r="F216" s="2">
        <f>IFERROR(IF($C$5="الكل", INDEX(البيانات_الأساسية!C:C, MATCH(203, البيانات_الأساسية!$I:$I, 0)), INDEX(البيانات_الأساسية!$J:$U, MATCH(203, البيانات_الأساسية!$I:$I, 0), VALUE($C$5))), "")</f>
        <v>0</v>
      </c>
      <c r="G216" s="2">
        <f>IFERROR(ROUND(F216/60, 2), "")</f>
        <v>0</v>
      </c>
      <c r="H216" s="2">
        <f>IFERROR(ROUND(F216/E216, 2), "")</f>
        <v>0</v>
      </c>
      <c r="I216" s="2">
        <f>IFERROR(IF($C$5="الكل", INDEX(البيانات_الأساسية!G:G, MATCH(203, البيانات_الأساسية!$I:$I, 0)), $C$5), "")</f>
        <v>0</v>
      </c>
    </row>
    <row r="217" spans="2:9" s="4" customFormat="1" ht="20" customHeight="1">
      <c r="B217" s="2">
        <f>IF(C217="","", 204)</f>
        <v>0</v>
      </c>
      <c r="C217" s="2">
        <f>IFERROR(INDEX(البيانات_الأساسية!A:A, MATCH(204, البيانات_الأساسية!$I:$I, 0)), "")</f>
        <v>0</v>
      </c>
      <c r="D217" s="2">
        <f>IFERROR(INDEX(البيانات_الأساسية!B:B, MATCH(204, البيانات_الأساسية!$I:$I, 0)), "")</f>
        <v>0</v>
      </c>
      <c r="E217" s="2">
        <f>IFERROR(IF($C$5="الكل", INDEX(البيانات_الأساسية!D:D, MATCH(204, البيانات_الأساسية!$I:$I, 0)), INDEX(البيانات_الأساسية!$V:$AG, MATCH(204, البيانات_الأساسية!$I:$I, 0), VALUE($C$5))), "")</f>
        <v>0</v>
      </c>
      <c r="F217" s="2">
        <f>IFERROR(IF($C$5="الكل", INDEX(البيانات_الأساسية!C:C, MATCH(204, البيانات_الأساسية!$I:$I, 0)), INDEX(البيانات_الأساسية!$J:$U, MATCH(204, البيانات_الأساسية!$I:$I, 0), VALUE($C$5))), "")</f>
        <v>0</v>
      </c>
      <c r="G217" s="2">
        <f>IFERROR(ROUND(F217/60, 2), "")</f>
        <v>0</v>
      </c>
      <c r="H217" s="2">
        <f>IFERROR(ROUND(F217/E217, 2), "")</f>
        <v>0</v>
      </c>
      <c r="I217" s="2">
        <f>IFERROR(IF($C$5="الكل", INDEX(البيانات_الأساسية!G:G, MATCH(204, البيانات_الأساسية!$I:$I, 0)), $C$5), "")</f>
        <v>0</v>
      </c>
    </row>
    <row r="218" spans="2:9" s="4" customFormat="1" ht="20" customHeight="1">
      <c r="B218" s="2">
        <f>IF(C218="","", 205)</f>
        <v>0</v>
      </c>
      <c r="C218" s="2">
        <f>IFERROR(INDEX(البيانات_الأساسية!A:A, MATCH(205, البيانات_الأساسية!$I:$I, 0)), "")</f>
        <v>0</v>
      </c>
      <c r="D218" s="2">
        <f>IFERROR(INDEX(البيانات_الأساسية!B:B, MATCH(205, البيانات_الأساسية!$I:$I, 0)), "")</f>
        <v>0</v>
      </c>
      <c r="E218" s="2">
        <f>IFERROR(IF($C$5="الكل", INDEX(البيانات_الأساسية!D:D, MATCH(205, البيانات_الأساسية!$I:$I, 0)), INDEX(البيانات_الأساسية!$V:$AG, MATCH(205, البيانات_الأساسية!$I:$I, 0), VALUE($C$5))), "")</f>
        <v>0</v>
      </c>
      <c r="F218" s="2">
        <f>IFERROR(IF($C$5="الكل", INDEX(البيانات_الأساسية!C:C, MATCH(205, البيانات_الأساسية!$I:$I, 0)), INDEX(البيانات_الأساسية!$J:$U, MATCH(205, البيانات_الأساسية!$I:$I, 0), VALUE($C$5))), "")</f>
        <v>0</v>
      </c>
      <c r="G218" s="2">
        <f>IFERROR(ROUND(F218/60, 2), "")</f>
        <v>0</v>
      </c>
      <c r="H218" s="2">
        <f>IFERROR(ROUND(F218/E218, 2), "")</f>
        <v>0</v>
      </c>
      <c r="I218" s="2">
        <f>IFERROR(IF($C$5="الكل", INDEX(البيانات_الأساسية!G:G, MATCH(205, البيانات_الأساسية!$I:$I, 0)), $C$5), "")</f>
        <v>0</v>
      </c>
    </row>
    <row r="219" spans="2:9" s="4" customFormat="1" ht="20" customHeight="1">
      <c r="B219" s="2">
        <f>IF(C219="","", 206)</f>
        <v>0</v>
      </c>
      <c r="C219" s="2">
        <f>IFERROR(INDEX(البيانات_الأساسية!A:A, MATCH(206, البيانات_الأساسية!$I:$I, 0)), "")</f>
        <v>0</v>
      </c>
      <c r="D219" s="2">
        <f>IFERROR(INDEX(البيانات_الأساسية!B:B, MATCH(206, البيانات_الأساسية!$I:$I, 0)), "")</f>
        <v>0</v>
      </c>
      <c r="E219" s="2">
        <f>IFERROR(IF($C$5="الكل", INDEX(البيانات_الأساسية!D:D, MATCH(206, البيانات_الأساسية!$I:$I, 0)), INDEX(البيانات_الأساسية!$V:$AG, MATCH(206, البيانات_الأساسية!$I:$I, 0), VALUE($C$5))), "")</f>
        <v>0</v>
      </c>
      <c r="F219" s="2">
        <f>IFERROR(IF($C$5="الكل", INDEX(البيانات_الأساسية!C:C, MATCH(206, البيانات_الأساسية!$I:$I, 0)), INDEX(البيانات_الأساسية!$J:$U, MATCH(206, البيانات_الأساسية!$I:$I, 0), VALUE($C$5))), "")</f>
        <v>0</v>
      </c>
      <c r="G219" s="2">
        <f>IFERROR(ROUND(F219/60, 2), "")</f>
        <v>0</v>
      </c>
      <c r="H219" s="2">
        <f>IFERROR(ROUND(F219/E219, 2), "")</f>
        <v>0</v>
      </c>
      <c r="I219" s="2">
        <f>IFERROR(IF($C$5="الكل", INDEX(البيانات_الأساسية!G:G, MATCH(206, البيانات_الأساسية!$I:$I, 0)), $C$5), "")</f>
        <v>0</v>
      </c>
    </row>
    <row r="220" spans="2:9" s="4" customFormat="1" ht="20" customHeight="1">
      <c r="B220" s="2">
        <f>IF(C220="","", 207)</f>
        <v>0</v>
      </c>
      <c r="C220" s="2">
        <f>IFERROR(INDEX(البيانات_الأساسية!A:A, MATCH(207, البيانات_الأساسية!$I:$I, 0)), "")</f>
        <v>0</v>
      </c>
      <c r="D220" s="2">
        <f>IFERROR(INDEX(البيانات_الأساسية!B:B, MATCH(207, البيانات_الأساسية!$I:$I, 0)), "")</f>
        <v>0</v>
      </c>
      <c r="E220" s="2">
        <f>IFERROR(IF($C$5="الكل", INDEX(البيانات_الأساسية!D:D, MATCH(207, البيانات_الأساسية!$I:$I, 0)), INDEX(البيانات_الأساسية!$V:$AG, MATCH(207, البيانات_الأساسية!$I:$I, 0), VALUE($C$5))), "")</f>
        <v>0</v>
      </c>
      <c r="F220" s="2">
        <f>IFERROR(IF($C$5="الكل", INDEX(البيانات_الأساسية!C:C, MATCH(207, البيانات_الأساسية!$I:$I, 0)), INDEX(البيانات_الأساسية!$J:$U, MATCH(207, البيانات_الأساسية!$I:$I, 0), VALUE($C$5))), "")</f>
        <v>0</v>
      </c>
      <c r="G220" s="2">
        <f>IFERROR(ROUND(F220/60, 2), "")</f>
        <v>0</v>
      </c>
      <c r="H220" s="2">
        <f>IFERROR(ROUND(F220/E220, 2), "")</f>
        <v>0</v>
      </c>
      <c r="I220" s="2">
        <f>IFERROR(IF($C$5="الكل", INDEX(البيانات_الأساسية!G:G, MATCH(207, البيانات_الأساسية!$I:$I, 0)), $C$5), "")</f>
        <v>0</v>
      </c>
    </row>
    <row r="221" spans="2:9" s="4" customFormat="1" ht="20" customHeight="1">
      <c r="B221" s="2">
        <f>IF(C221="","", 208)</f>
        <v>0</v>
      </c>
      <c r="C221" s="2">
        <f>IFERROR(INDEX(البيانات_الأساسية!A:A, MATCH(208, البيانات_الأساسية!$I:$I, 0)), "")</f>
        <v>0</v>
      </c>
      <c r="D221" s="2">
        <f>IFERROR(INDEX(البيانات_الأساسية!B:B, MATCH(208, البيانات_الأساسية!$I:$I, 0)), "")</f>
        <v>0</v>
      </c>
      <c r="E221" s="2">
        <f>IFERROR(IF($C$5="الكل", INDEX(البيانات_الأساسية!D:D, MATCH(208, البيانات_الأساسية!$I:$I, 0)), INDEX(البيانات_الأساسية!$V:$AG, MATCH(208, البيانات_الأساسية!$I:$I, 0), VALUE($C$5))), "")</f>
        <v>0</v>
      </c>
      <c r="F221" s="2">
        <f>IFERROR(IF($C$5="الكل", INDEX(البيانات_الأساسية!C:C, MATCH(208, البيانات_الأساسية!$I:$I, 0)), INDEX(البيانات_الأساسية!$J:$U, MATCH(208, البيانات_الأساسية!$I:$I, 0), VALUE($C$5))), "")</f>
        <v>0</v>
      </c>
      <c r="G221" s="2">
        <f>IFERROR(ROUND(F221/60, 2), "")</f>
        <v>0</v>
      </c>
      <c r="H221" s="2">
        <f>IFERROR(ROUND(F221/E221, 2), "")</f>
        <v>0</v>
      </c>
      <c r="I221" s="2">
        <f>IFERROR(IF($C$5="الكل", INDEX(البيانات_الأساسية!G:G, MATCH(208, البيانات_الأساسية!$I:$I, 0)), $C$5), "")</f>
        <v>0</v>
      </c>
    </row>
    <row r="222" spans="2:9" s="4" customFormat="1" ht="20" customHeight="1">
      <c r="B222" s="2">
        <f>IF(C222="","", 209)</f>
        <v>0</v>
      </c>
      <c r="C222" s="2">
        <f>IFERROR(INDEX(البيانات_الأساسية!A:A, MATCH(209, البيانات_الأساسية!$I:$I, 0)), "")</f>
        <v>0</v>
      </c>
      <c r="D222" s="2">
        <f>IFERROR(INDEX(البيانات_الأساسية!B:B, MATCH(209, البيانات_الأساسية!$I:$I, 0)), "")</f>
        <v>0</v>
      </c>
      <c r="E222" s="2">
        <f>IFERROR(IF($C$5="الكل", INDEX(البيانات_الأساسية!D:D, MATCH(209, البيانات_الأساسية!$I:$I, 0)), INDEX(البيانات_الأساسية!$V:$AG, MATCH(209, البيانات_الأساسية!$I:$I, 0), VALUE($C$5))), "")</f>
        <v>0</v>
      </c>
      <c r="F222" s="2">
        <f>IFERROR(IF($C$5="الكل", INDEX(البيانات_الأساسية!C:C, MATCH(209, البيانات_الأساسية!$I:$I, 0)), INDEX(البيانات_الأساسية!$J:$U, MATCH(209, البيانات_الأساسية!$I:$I, 0), VALUE($C$5))), "")</f>
        <v>0</v>
      </c>
      <c r="G222" s="2">
        <f>IFERROR(ROUND(F222/60, 2), "")</f>
        <v>0</v>
      </c>
      <c r="H222" s="2">
        <f>IFERROR(ROUND(F222/E222, 2), "")</f>
        <v>0</v>
      </c>
      <c r="I222" s="2">
        <f>IFERROR(IF($C$5="الكل", INDEX(البيانات_الأساسية!G:G, MATCH(209, البيانات_الأساسية!$I:$I, 0)), $C$5), "")</f>
        <v>0</v>
      </c>
    </row>
    <row r="223" spans="2:9" s="4" customFormat="1" ht="20" customHeight="1">
      <c r="B223" s="2">
        <f>IF(C223="","", 210)</f>
        <v>0</v>
      </c>
      <c r="C223" s="2">
        <f>IFERROR(INDEX(البيانات_الأساسية!A:A, MATCH(210, البيانات_الأساسية!$I:$I, 0)), "")</f>
        <v>0</v>
      </c>
      <c r="D223" s="2">
        <f>IFERROR(INDEX(البيانات_الأساسية!B:B, MATCH(210, البيانات_الأساسية!$I:$I, 0)), "")</f>
        <v>0</v>
      </c>
      <c r="E223" s="2">
        <f>IFERROR(IF($C$5="الكل", INDEX(البيانات_الأساسية!D:D, MATCH(210, البيانات_الأساسية!$I:$I, 0)), INDEX(البيانات_الأساسية!$V:$AG, MATCH(210, البيانات_الأساسية!$I:$I, 0), VALUE($C$5))), "")</f>
        <v>0</v>
      </c>
      <c r="F223" s="2">
        <f>IFERROR(IF($C$5="الكل", INDEX(البيانات_الأساسية!C:C, MATCH(210, البيانات_الأساسية!$I:$I, 0)), INDEX(البيانات_الأساسية!$J:$U, MATCH(210, البيانات_الأساسية!$I:$I, 0), VALUE($C$5))), "")</f>
        <v>0</v>
      </c>
      <c r="G223" s="2">
        <f>IFERROR(ROUND(F223/60, 2), "")</f>
        <v>0</v>
      </c>
      <c r="H223" s="2">
        <f>IFERROR(ROUND(F223/E223, 2), "")</f>
        <v>0</v>
      </c>
      <c r="I223" s="2">
        <f>IFERROR(IF($C$5="الكل", INDEX(البيانات_الأساسية!G:G, MATCH(210, البيانات_الأساسية!$I:$I, 0)), $C$5), "")</f>
        <v>0</v>
      </c>
    </row>
    <row r="224" spans="2:9" s="4" customFormat="1" ht="20" customHeight="1">
      <c r="B224" s="2">
        <f>IF(C224="","", 211)</f>
        <v>0</v>
      </c>
      <c r="C224" s="2">
        <f>IFERROR(INDEX(البيانات_الأساسية!A:A, MATCH(211, البيانات_الأساسية!$I:$I, 0)), "")</f>
        <v>0</v>
      </c>
      <c r="D224" s="2">
        <f>IFERROR(INDEX(البيانات_الأساسية!B:B, MATCH(211, البيانات_الأساسية!$I:$I, 0)), "")</f>
        <v>0</v>
      </c>
      <c r="E224" s="2">
        <f>IFERROR(IF($C$5="الكل", INDEX(البيانات_الأساسية!D:D, MATCH(211, البيانات_الأساسية!$I:$I, 0)), INDEX(البيانات_الأساسية!$V:$AG, MATCH(211, البيانات_الأساسية!$I:$I, 0), VALUE($C$5))), "")</f>
        <v>0</v>
      </c>
      <c r="F224" s="2">
        <f>IFERROR(IF($C$5="الكل", INDEX(البيانات_الأساسية!C:C, MATCH(211, البيانات_الأساسية!$I:$I, 0)), INDEX(البيانات_الأساسية!$J:$U, MATCH(211, البيانات_الأساسية!$I:$I, 0), VALUE($C$5))), "")</f>
        <v>0</v>
      </c>
      <c r="G224" s="2">
        <f>IFERROR(ROUND(F224/60, 2), "")</f>
        <v>0</v>
      </c>
      <c r="H224" s="2">
        <f>IFERROR(ROUND(F224/E224, 2), "")</f>
        <v>0</v>
      </c>
      <c r="I224" s="2">
        <f>IFERROR(IF($C$5="الكل", INDEX(البيانات_الأساسية!G:G, MATCH(211, البيانات_الأساسية!$I:$I, 0)), $C$5), "")</f>
        <v>0</v>
      </c>
    </row>
    <row r="225" spans="2:9" s="4" customFormat="1" ht="20" customHeight="1">
      <c r="B225" s="2">
        <f>IF(C225="","", 212)</f>
        <v>0</v>
      </c>
      <c r="C225" s="2">
        <f>IFERROR(INDEX(البيانات_الأساسية!A:A, MATCH(212, البيانات_الأساسية!$I:$I, 0)), "")</f>
        <v>0</v>
      </c>
      <c r="D225" s="2">
        <f>IFERROR(INDEX(البيانات_الأساسية!B:B, MATCH(212, البيانات_الأساسية!$I:$I, 0)), "")</f>
        <v>0</v>
      </c>
      <c r="E225" s="2">
        <f>IFERROR(IF($C$5="الكل", INDEX(البيانات_الأساسية!D:D, MATCH(212, البيانات_الأساسية!$I:$I, 0)), INDEX(البيانات_الأساسية!$V:$AG, MATCH(212, البيانات_الأساسية!$I:$I, 0), VALUE($C$5))), "")</f>
        <v>0</v>
      </c>
      <c r="F225" s="2">
        <f>IFERROR(IF($C$5="الكل", INDEX(البيانات_الأساسية!C:C, MATCH(212, البيانات_الأساسية!$I:$I, 0)), INDEX(البيانات_الأساسية!$J:$U, MATCH(212, البيانات_الأساسية!$I:$I, 0), VALUE($C$5))), "")</f>
        <v>0</v>
      </c>
      <c r="G225" s="2">
        <f>IFERROR(ROUND(F225/60, 2), "")</f>
        <v>0</v>
      </c>
      <c r="H225" s="2">
        <f>IFERROR(ROUND(F225/E225, 2), "")</f>
        <v>0</v>
      </c>
      <c r="I225" s="2">
        <f>IFERROR(IF($C$5="الكل", INDEX(البيانات_الأساسية!G:G, MATCH(212, البيانات_الأساسية!$I:$I, 0)), $C$5), "")</f>
        <v>0</v>
      </c>
    </row>
    <row r="226" spans="2:9" s="4" customFormat="1" ht="20" customHeight="1">
      <c r="B226" s="2">
        <f>IF(C226="","", 213)</f>
        <v>0</v>
      </c>
      <c r="C226" s="2">
        <f>IFERROR(INDEX(البيانات_الأساسية!A:A, MATCH(213, البيانات_الأساسية!$I:$I, 0)), "")</f>
        <v>0</v>
      </c>
      <c r="D226" s="2">
        <f>IFERROR(INDEX(البيانات_الأساسية!B:B, MATCH(213, البيانات_الأساسية!$I:$I, 0)), "")</f>
        <v>0</v>
      </c>
      <c r="E226" s="2">
        <f>IFERROR(IF($C$5="الكل", INDEX(البيانات_الأساسية!D:D, MATCH(213, البيانات_الأساسية!$I:$I, 0)), INDEX(البيانات_الأساسية!$V:$AG, MATCH(213, البيانات_الأساسية!$I:$I, 0), VALUE($C$5))), "")</f>
        <v>0</v>
      </c>
      <c r="F226" s="2">
        <f>IFERROR(IF($C$5="الكل", INDEX(البيانات_الأساسية!C:C, MATCH(213, البيانات_الأساسية!$I:$I, 0)), INDEX(البيانات_الأساسية!$J:$U, MATCH(213, البيانات_الأساسية!$I:$I, 0), VALUE($C$5))), "")</f>
        <v>0</v>
      </c>
      <c r="G226" s="2">
        <f>IFERROR(ROUND(F226/60, 2), "")</f>
        <v>0</v>
      </c>
      <c r="H226" s="2">
        <f>IFERROR(ROUND(F226/E226, 2), "")</f>
        <v>0</v>
      </c>
      <c r="I226" s="2">
        <f>IFERROR(IF($C$5="الكل", INDEX(البيانات_الأساسية!G:G, MATCH(213, البيانات_الأساسية!$I:$I, 0)), $C$5), "")</f>
        <v>0</v>
      </c>
    </row>
    <row r="227" spans="2:9" s="4" customFormat="1" ht="20" customHeight="1">
      <c r="B227" s="2">
        <f>IF(C227="","", 214)</f>
        <v>0</v>
      </c>
      <c r="C227" s="2">
        <f>IFERROR(INDEX(البيانات_الأساسية!A:A, MATCH(214, البيانات_الأساسية!$I:$I, 0)), "")</f>
        <v>0</v>
      </c>
      <c r="D227" s="2">
        <f>IFERROR(INDEX(البيانات_الأساسية!B:B, MATCH(214, البيانات_الأساسية!$I:$I, 0)), "")</f>
        <v>0</v>
      </c>
      <c r="E227" s="2">
        <f>IFERROR(IF($C$5="الكل", INDEX(البيانات_الأساسية!D:D, MATCH(214, البيانات_الأساسية!$I:$I, 0)), INDEX(البيانات_الأساسية!$V:$AG, MATCH(214, البيانات_الأساسية!$I:$I, 0), VALUE($C$5))), "")</f>
        <v>0</v>
      </c>
      <c r="F227" s="2">
        <f>IFERROR(IF($C$5="الكل", INDEX(البيانات_الأساسية!C:C, MATCH(214, البيانات_الأساسية!$I:$I, 0)), INDEX(البيانات_الأساسية!$J:$U, MATCH(214, البيانات_الأساسية!$I:$I, 0), VALUE($C$5))), "")</f>
        <v>0</v>
      </c>
      <c r="G227" s="2">
        <f>IFERROR(ROUND(F227/60, 2), "")</f>
        <v>0</v>
      </c>
      <c r="H227" s="2">
        <f>IFERROR(ROUND(F227/E227, 2), "")</f>
        <v>0</v>
      </c>
      <c r="I227" s="2">
        <f>IFERROR(IF($C$5="الكل", INDEX(البيانات_الأساسية!G:G, MATCH(214, البيانات_الأساسية!$I:$I, 0)), $C$5), "")</f>
        <v>0</v>
      </c>
    </row>
    <row r="228" spans="2:9" s="4" customFormat="1" ht="20" customHeight="1">
      <c r="B228" s="2">
        <f>IF(C228="","", 215)</f>
        <v>0</v>
      </c>
      <c r="C228" s="2">
        <f>IFERROR(INDEX(البيانات_الأساسية!A:A, MATCH(215, البيانات_الأساسية!$I:$I, 0)), "")</f>
        <v>0</v>
      </c>
      <c r="D228" s="2">
        <f>IFERROR(INDEX(البيانات_الأساسية!B:B, MATCH(215, البيانات_الأساسية!$I:$I, 0)), "")</f>
        <v>0</v>
      </c>
      <c r="E228" s="2">
        <f>IFERROR(IF($C$5="الكل", INDEX(البيانات_الأساسية!D:D, MATCH(215, البيانات_الأساسية!$I:$I, 0)), INDEX(البيانات_الأساسية!$V:$AG, MATCH(215, البيانات_الأساسية!$I:$I, 0), VALUE($C$5))), "")</f>
        <v>0</v>
      </c>
      <c r="F228" s="2">
        <f>IFERROR(IF($C$5="الكل", INDEX(البيانات_الأساسية!C:C, MATCH(215, البيانات_الأساسية!$I:$I, 0)), INDEX(البيانات_الأساسية!$J:$U, MATCH(215, البيانات_الأساسية!$I:$I, 0), VALUE($C$5))), "")</f>
        <v>0</v>
      </c>
      <c r="G228" s="2">
        <f>IFERROR(ROUND(F228/60, 2), "")</f>
        <v>0</v>
      </c>
      <c r="H228" s="2">
        <f>IFERROR(ROUND(F228/E228, 2), "")</f>
        <v>0</v>
      </c>
      <c r="I228" s="2">
        <f>IFERROR(IF($C$5="الكل", INDEX(البيانات_الأساسية!G:G, MATCH(215, البيانات_الأساسية!$I:$I, 0)), $C$5), "")</f>
        <v>0</v>
      </c>
    </row>
    <row r="229" spans="2:9" s="4" customFormat="1" ht="20" customHeight="1">
      <c r="B229" s="2">
        <f>IF(C229="","", 216)</f>
        <v>0</v>
      </c>
      <c r="C229" s="2">
        <f>IFERROR(INDEX(البيانات_الأساسية!A:A, MATCH(216, البيانات_الأساسية!$I:$I, 0)), "")</f>
        <v>0</v>
      </c>
      <c r="D229" s="2">
        <f>IFERROR(INDEX(البيانات_الأساسية!B:B, MATCH(216, البيانات_الأساسية!$I:$I, 0)), "")</f>
        <v>0</v>
      </c>
      <c r="E229" s="2">
        <f>IFERROR(IF($C$5="الكل", INDEX(البيانات_الأساسية!D:D, MATCH(216, البيانات_الأساسية!$I:$I, 0)), INDEX(البيانات_الأساسية!$V:$AG, MATCH(216, البيانات_الأساسية!$I:$I, 0), VALUE($C$5))), "")</f>
        <v>0</v>
      </c>
      <c r="F229" s="2">
        <f>IFERROR(IF($C$5="الكل", INDEX(البيانات_الأساسية!C:C, MATCH(216, البيانات_الأساسية!$I:$I, 0)), INDEX(البيانات_الأساسية!$J:$U, MATCH(216, البيانات_الأساسية!$I:$I, 0), VALUE($C$5))), "")</f>
        <v>0</v>
      </c>
      <c r="G229" s="2">
        <f>IFERROR(ROUND(F229/60, 2), "")</f>
        <v>0</v>
      </c>
      <c r="H229" s="2">
        <f>IFERROR(ROUND(F229/E229, 2), "")</f>
        <v>0</v>
      </c>
      <c r="I229" s="2">
        <f>IFERROR(IF($C$5="الكل", INDEX(البيانات_الأساسية!G:G, MATCH(216, البيانات_الأساسية!$I:$I, 0)), $C$5), "")</f>
        <v>0</v>
      </c>
    </row>
    <row r="230" spans="2:9" s="4" customFormat="1" ht="20" customHeight="1">
      <c r="B230" s="2">
        <f>IF(C230="","", 217)</f>
        <v>0</v>
      </c>
      <c r="C230" s="2">
        <f>IFERROR(INDEX(البيانات_الأساسية!A:A, MATCH(217, البيانات_الأساسية!$I:$I, 0)), "")</f>
        <v>0</v>
      </c>
      <c r="D230" s="2">
        <f>IFERROR(INDEX(البيانات_الأساسية!B:B, MATCH(217, البيانات_الأساسية!$I:$I, 0)), "")</f>
        <v>0</v>
      </c>
      <c r="E230" s="2">
        <f>IFERROR(IF($C$5="الكل", INDEX(البيانات_الأساسية!D:D, MATCH(217, البيانات_الأساسية!$I:$I, 0)), INDEX(البيانات_الأساسية!$V:$AG, MATCH(217, البيانات_الأساسية!$I:$I, 0), VALUE($C$5))), "")</f>
        <v>0</v>
      </c>
      <c r="F230" s="2">
        <f>IFERROR(IF($C$5="الكل", INDEX(البيانات_الأساسية!C:C, MATCH(217, البيانات_الأساسية!$I:$I, 0)), INDEX(البيانات_الأساسية!$J:$U, MATCH(217, البيانات_الأساسية!$I:$I, 0), VALUE($C$5))), "")</f>
        <v>0</v>
      </c>
      <c r="G230" s="2">
        <f>IFERROR(ROUND(F230/60, 2), "")</f>
        <v>0</v>
      </c>
      <c r="H230" s="2">
        <f>IFERROR(ROUND(F230/E230, 2), "")</f>
        <v>0</v>
      </c>
      <c r="I230" s="2">
        <f>IFERROR(IF($C$5="الكل", INDEX(البيانات_الأساسية!G:G, MATCH(217, البيانات_الأساسية!$I:$I, 0)), $C$5), "")</f>
        <v>0</v>
      </c>
    </row>
    <row r="231" spans="2:9" s="4" customFormat="1" ht="20" customHeight="1">
      <c r="B231" s="2">
        <f>IF(C231="","", 218)</f>
        <v>0</v>
      </c>
      <c r="C231" s="2">
        <f>IFERROR(INDEX(البيانات_الأساسية!A:A, MATCH(218, البيانات_الأساسية!$I:$I, 0)), "")</f>
        <v>0</v>
      </c>
      <c r="D231" s="2">
        <f>IFERROR(INDEX(البيانات_الأساسية!B:B, MATCH(218, البيانات_الأساسية!$I:$I, 0)), "")</f>
        <v>0</v>
      </c>
      <c r="E231" s="2">
        <f>IFERROR(IF($C$5="الكل", INDEX(البيانات_الأساسية!D:D, MATCH(218, البيانات_الأساسية!$I:$I, 0)), INDEX(البيانات_الأساسية!$V:$AG, MATCH(218, البيانات_الأساسية!$I:$I, 0), VALUE($C$5))), "")</f>
        <v>0</v>
      </c>
      <c r="F231" s="2">
        <f>IFERROR(IF($C$5="الكل", INDEX(البيانات_الأساسية!C:C, MATCH(218, البيانات_الأساسية!$I:$I, 0)), INDEX(البيانات_الأساسية!$J:$U, MATCH(218, البيانات_الأساسية!$I:$I, 0), VALUE($C$5))), "")</f>
        <v>0</v>
      </c>
      <c r="G231" s="2">
        <f>IFERROR(ROUND(F231/60, 2), "")</f>
        <v>0</v>
      </c>
      <c r="H231" s="2">
        <f>IFERROR(ROUND(F231/E231, 2), "")</f>
        <v>0</v>
      </c>
      <c r="I231" s="2">
        <f>IFERROR(IF($C$5="الكل", INDEX(البيانات_الأساسية!G:G, MATCH(218, البيانات_الأساسية!$I:$I, 0)), $C$5), "")</f>
        <v>0</v>
      </c>
    </row>
    <row r="232" spans="2:9" s="4" customFormat="1" ht="20" customHeight="1">
      <c r="B232" s="2">
        <f>IF(C232="","", 219)</f>
        <v>0</v>
      </c>
      <c r="C232" s="2">
        <f>IFERROR(INDEX(البيانات_الأساسية!A:A, MATCH(219, البيانات_الأساسية!$I:$I, 0)), "")</f>
        <v>0</v>
      </c>
      <c r="D232" s="2">
        <f>IFERROR(INDEX(البيانات_الأساسية!B:B, MATCH(219, البيانات_الأساسية!$I:$I, 0)), "")</f>
        <v>0</v>
      </c>
      <c r="E232" s="2">
        <f>IFERROR(IF($C$5="الكل", INDEX(البيانات_الأساسية!D:D, MATCH(219, البيانات_الأساسية!$I:$I, 0)), INDEX(البيانات_الأساسية!$V:$AG, MATCH(219, البيانات_الأساسية!$I:$I, 0), VALUE($C$5))), "")</f>
        <v>0</v>
      </c>
      <c r="F232" s="2">
        <f>IFERROR(IF($C$5="الكل", INDEX(البيانات_الأساسية!C:C, MATCH(219, البيانات_الأساسية!$I:$I, 0)), INDEX(البيانات_الأساسية!$J:$U, MATCH(219, البيانات_الأساسية!$I:$I, 0), VALUE($C$5))), "")</f>
        <v>0</v>
      </c>
      <c r="G232" s="2">
        <f>IFERROR(ROUND(F232/60, 2), "")</f>
        <v>0</v>
      </c>
      <c r="H232" s="2">
        <f>IFERROR(ROUND(F232/E232, 2), "")</f>
        <v>0</v>
      </c>
      <c r="I232" s="2">
        <f>IFERROR(IF($C$5="الكل", INDEX(البيانات_الأساسية!G:G, MATCH(219, البيانات_الأساسية!$I:$I, 0)), $C$5), "")</f>
        <v>0</v>
      </c>
    </row>
    <row r="233" spans="2:9" s="4" customFormat="1" ht="20" customHeight="1">
      <c r="B233" s="2">
        <f>IF(C233="","", 220)</f>
        <v>0</v>
      </c>
      <c r="C233" s="2">
        <f>IFERROR(INDEX(البيانات_الأساسية!A:A, MATCH(220, البيانات_الأساسية!$I:$I, 0)), "")</f>
        <v>0</v>
      </c>
      <c r="D233" s="2">
        <f>IFERROR(INDEX(البيانات_الأساسية!B:B, MATCH(220, البيانات_الأساسية!$I:$I, 0)), "")</f>
        <v>0</v>
      </c>
      <c r="E233" s="2">
        <f>IFERROR(IF($C$5="الكل", INDEX(البيانات_الأساسية!D:D, MATCH(220, البيانات_الأساسية!$I:$I, 0)), INDEX(البيانات_الأساسية!$V:$AG, MATCH(220, البيانات_الأساسية!$I:$I, 0), VALUE($C$5))), "")</f>
        <v>0</v>
      </c>
      <c r="F233" s="2">
        <f>IFERROR(IF($C$5="الكل", INDEX(البيانات_الأساسية!C:C, MATCH(220, البيانات_الأساسية!$I:$I, 0)), INDEX(البيانات_الأساسية!$J:$U, MATCH(220, البيانات_الأساسية!$I:$I, 0), VALUE($C$5))), "")</f>
        <v>0</v>
      </c>
      <c r="G233" s="2">
        <f>IFERROR(ROUND(F233/60, 2), "")</f>
        <v>0</v>
      </c>
      <c r="H233" s="2">
        <f>IFERROR(ROUND(F233/E233, 2), "")</f>
        <v>0</v>
      </c>
      <c r="I233" s="2">
        <f>IFERROR(IF($C$5="الكل", INDEX(البيانات_الأساسية!G:G, MATCH(220, البيانات_الأساسية!$I:$I, 0)), $C$5), "")</f>
        <v>0</v>
      </c>
    </row>
    <row r="234" spans="2:9" s="4" customFormat="1" ht="20" customHeight="1">
      <c r="B234" s="2">
        <f>IF(C234="","", 221)</f>
        <v>0</v>
      </c>
      <c r="C234" s="2">
        <f>IFERROR(INDEX(البيانات_الأساسية!A:A, MATCH(221, البيانات_الأساسية!$I:$I, 0)), "")</f>
        <v>0</v>
      </c>
      <c r="D234" s="2">
        <f>IFERROR(INDEX(البيانات_الأساسية!B:B, MATCH(221, البيانات_الأساسية!$I:$I, 0)), "")</f>
        <v>0</v>
      </c>
      <c r="E234" s="2">
        <f>IFERROR(IF($C$5="الكل", INDEX(البيانات_الأساسية!D:D, MATCH(221, البيانات_الأساسية!$I:$I, 0)), INDEX(البيانات_الأساسية!$V:$AG, MATCH(221, البيانات_الأساسية!$I:$I, 0), VALUE($C$5))), "")</f>
        <v>0</v>
      </c>
      <c r="F234" s="2">
        <f>IFERROR(IF($C$5="الكل", INDEX(البيانات_الأساسية!C:C, MATCH(221, البيانات_الأساسية!$I:$I, 0)), INDEX(البيانات_الأساسية!$J:$U, MATCH(221, البيانات_الأساسية!$I:$I, 0), VALUE($C$5))), "")</f>
        <v>0</v>
      </c>
      <c r="G234" s="2">
        <f>IFERROR(ROUND(F234/60, 2), "")</f>
        <v>0</v>
      </c>
      <c r="H234" s="2">
        <f>IFERROR(ROUND(F234/E234, 2), "")</f>
        <v>0</v>
      </c>
      <c r="I234" s="2">
        <f>IFERROR(IF($C$5="الكل", INDEX(البيانات_الأساسية!G:G, MATCH(221, البيانات_الأساسية!$I:$I, 0)), $C$5), "")</f>
        <v>0</v>
      </c>
    </row>
    <row r="235" spans="2:9" s="4" customFormat="1" ht="20" customHeight="1">
      <c r="B235" s="2">
        <f>IF(C235="","", 222)</f>
        <v>0</v>
      </c>
      <c r="C235" s="2">
        <f>IFERROR(INDEX(البيانات_الأساسية!A:A, MATCH(222, البيانات_الأساسية!$I:$I, 0)), "")</f>
        <v>0</v>
      </c>
      <c r="D235" s="2">
        <f>IFERROR(INDEX(البيانات_الأساسية!B:B, MATCH(222, البيانات_الأساسية!$I:$I, 0)), "")</f>
        <v>0</v>
      </c>
      <c r="E235" s="2">
        <f>IFERROR(IF($C$5="الكل", INDEX(البيانات_الأساسية!D:D, MATCH(222, البيانات_الأساسية!$I:$I, 0)), INDEX(البيانات_الأساسية!$V:$AG, MATCH(222, البيانات_الأساسية!$I:$I, 0), VALUE($C$5))), "")</f>
        <v>0</v>
      </c>
      <c r="F235" s="2">
        <f>IFERROR(IF($C$5="الكل", INDEX(البيانات_الأساسية!C:C, MATCH(222, البيانات_الأساسية!$I:$I, 0)), INDEX(البيانات_الأساسية!$J:$U, MATCH(222, البيانات_الأساسية!$I:$I, 0), VALUE($C$5))), "")</f>
        <v>0</v>
      </c>
      <c r="G235" s="2">
        <f>IFERROR(ROUND(F235/60, 2), "")</f>
        <v>0</v>
      </c>
      <c r="H235" s="2">
        <f>IFERROR(ROUND(F235/E235, 2), "")</f>
        <v>0</v>
      </c>
      <c r="I235" s="2">
        <f>IFERROR(IF($C$5="الكل", INDEX(البيانات_الأساسية!G:G, MATCH(222, البيانات_الأساسية!$I:$I, 0)), $C$5), "")</f>
        <v>0</v>
      </c>
    </row>
    <row r="236" spans="2:9" s="4" customFormat="1" ht="20" customHeight="1">
      <c r="B236" s="2">
        <f>IF(C236="","", 223)</f>
        <v>0</v>
      </c>
      <c r="C236" s="2">
        <f>IFERROR(INDEX(البيانات_الأساسية!A:A, MATCH(223, البيانات_الأساسية!$I:$I, 0)), "")</f>
        <v>0</v>
      </c>
      <c r="D236" s="2">
        <f>IFERROR(INDEX(البيانات_الأساسية!B:B, MATCH(223, البيانات_الأساسية!$I:$I, 0)), "")</f>
        <v>0</v>
      </c>
      <c r="E236" s="2">
        <f>IFERROR(IF($C$5="الكل", INDEX(البيانات_الأساسية!D:D, MATCH(223, البيانات_الأساسية!$I:$I, 0)), INDEX(البيانات_الأساسية!$V:$AG, MATCH(223, البيانات_الأساسية!$I:$I, 0), VALUE($C$5))), "")</f>
        <v>0</v>
      </c>
      <c r="F236" s="2">
        <f>IFERROR(IF($C$5="الكل", INDEX(البيانات_الأساسية!C:C, MATCH(223, البيانات_الأساسية!$I:$I, 0)), INDEX(البيانات_الأساسية!$J:$U, MATCH(223, البيانات_الأساسية!$I:$I, 0), VALUE($C$5))), "")</f>
        <v>0</v>
      </c>
      <c r="G236" s="2">
        <f>IFERROR(ROUND(F236/60, 2), "")</f>
        <v>0</v>
      </c>
      <c r="H236" s="2">
        <f>IFERROR(ROUND(F236/E236, 2), "")</f>
        <v>0</v>
      </c>
      <c r="I236" s="2">
        <f>IFERROR(IF($C$5="الكل", INDEX(البيانات_الأساسية!G:G, MATCH(223, البيانات_الأساسية!$I:$I, 0)), $C$5), "")</f>
        <v>0</v>
      </c>
    </row>
    <row r="237" spans="2:9" s="4" customFormat="1" ht="20" customHeight="1">
      <c r="B237" s="2">
        <f>IF(C237="","", 224)</f>
        <v>0</v>
      </c>
      <c r="C237" s="2">
        <f>IFERROR(INDEX(البيانات_الأساسية!A:A, MATCH(224, البيانات_الأساسية!$I:$I, 0)), "")</f>
        <v>0</v>
      </c>
      <c r="D237" s="2">
        <f>IFERROR(INDEX(البيانات_الأساسية!B:B, MATCH(224, البيانات_الأساسية!$I:$I, 0)), "")</f>
        <v>0</v>
      </c>
      <c r="E237" s="2">
        <f>IFERROR(IF($C$5="الكل", INDEX(البيانات_الأساسية!D:D, MATCH(224, البيانات_الأساسية!$I:$I, 0)), INDEX(البيانات_الأساسية!$V:$AG, MATCH(224, البيانات_الأساسية!$I:$I, 0), VALUE($C$5))), "")</f>
        <v>0</v>
      </c>
      <c r="F237" s="2">
        <f>IFERROR(IF($C$5="الكل", INDEX(البيانات_الأساسية!C:C, MATCH(224, البيانات_الأساسية!$I:$I, 0)), INDEX(البيانات_الأساسية!$J:$U, MATCH(224, البيانات_الأساسية!$I:$I, 0), VALUE($C$5))), "")</f>
        <v>0</v>
      </c>
      <c r="G237" s="2">
        <f>IFERROR(ROUND(F237/60, 2), "")</f>
        <v>0</v>
      </c>
      <c r="H237" s="2">
        <f>IFERROR(ROUND(F237/E237, 2), "")</f>
        <v>0</v>
      </c>
      <c r="I237" s="2">
        <f>IFERROR(IF($C$5="الكل", INDEX(البيانات_الأساسية!G:G, MATCH(224, البيانات_الأساسية!$I:$I, 0)), $C$5), "")</f>
        <v>0</v>
      </c>
    </row>
    <row r="238" spans="2:9" s="4" customFormat="1" ht="20" customHeight="1">
      <c r="B238" s="2">
        <f>IF(C238="","", 225)</f>
        <v>0</v>
      </c>
      <c r="C238" s="2">
        <f>IFERROR(INDEX(البيانات_الأساسية!A:A, MATCH(225, البيانات_الأساسية!$I:$I, 0)), "")</f>
        <v>0</v>
      </c>
      <c r="D238" s="2">
        <f>IFERROR(INDEX(البيانات_الأساسية!B:B, MATCH(225, البيانات_الأساسية!$I:$I, 0)), "")</f>
        <v>0</v>
      </c>
      <c r="E238" s="2">
        <f>IFERROR(IF($C$5="الكل", INDEX(البيانات_الأساسية!D:D, MATCH(225, البيانات_الأساسية!$I:$I, 0)), INDEX(البيانات_الأساسية!$V:$AG, MATCH(225, البيانات_الأساسية!$I:$I, 0), VALUE($C$5))), "")</f>
        <v>0</v>
      </c>
      <c r="F238" s="2">
        <f>IFERROR(IF($C$5="الكل", INDEX(البيانات_الأساسية!C:C, MATCH(225, البيانات_الأساسية!$I:$I, 0)), INDEX(البيانات_الأساسية!$J:$U, MATCH(225, البيانات_الأساسية!$I:$I, 0), VALUE($C$5))), "")</f>
        <v>0</v>
      </c>
      <c r="G238" s="2">
        <f>IFERROR(ROUND(F238/60, 2), "")</f>
        <v>0</v>
      </c>
      <c r="H238" s="2">
        <f>IFERROR(ROUND(F238/E238, 2), "")</f>
        <v>0</v>
      </c>
      <c r="I238" s="2">
        <f>IFERROR(IF($C$5="الكل", INDEX(البيانات_الأساسية!G:G, MATCH(225, البيانات_الأساسية!$I:$I, 0)), $C$5), "")</f>
        <v>0</v>
      </c>
    </row>
    <row r="239" spans="2:9" s="4" customFormat="1" ht="20" customHeight="1">
      <c r="B239" s="2">
        <f>IF(C239="","", 226)</f>
        <v>0</v>
      </c>
      <c r="C239" s="2">
        <f>IFERROR(INDEX(البيانات_الأساسية!A:A, MATCH(226, البيانات_الأساسية!$I:$I, 0)), "")</f>
        <v>0</v>
      </c>
      <c r="D239" s="2">
        <f>IFERROR(INDEX(البيانات_الأساسية!B:B, MATCH(226, البيانات_الأساسية!$I:$I, 0)), "")</f>
        <v>0</v>
      </c>
      <c r="E239" s="2">
        <f>IFERROR(IF($C$5="الكل", INDEX(البيانات_الأساسية!D:D, MATCH(226, البيانات_الأساسية!$I:$I, 0)), INDEX(البيانات_الأساسية!$V:$AG, MATCH(226, البيانات_الأساسية!$I:$I, 0), VALUE($C$5))), "")</f>
        <v>0</v>
      </c>
      <c r="F239" s="2">
        <f>IFERROR(IF($C$5="الكل", INDEX(البيانات_الأساسية!C:C, MATCH(226, البيانات_الأساسية!$I:$I, 0)), INDEX(البيانات_الأساسية!$J:$U, MATCH(226, البيانات_الأساسية!$I:$I, 0), VALUE($C$5))), "")</f>
        <v>0</v>
      </c>
      <c r="G239" s="2">
        <f>IFERROR(ROUND(F239/60, 2), "")</f>
        <v>0</v>
      </c>
      <c r="H239" s="2">
        <f>IFERROR(ROUND(F239/E239, 2), "")</f>
        <v>0</v>
      </c>
      <c r="I239" s="2">
        <f>IFERROR(IF($C$5="الكل", INDEX(البيانات_الأساسية!G:G, MATCH(226, البيانات_الأساسية!$I:$I, 0)), $C$5), "")</f>
        <v>0</v>
      </c>
    </row>
    <row r="240" spans="2:9" s="4" customFormat="1" ht="20" customHeight="1">
      <c r="B240" s="2">
        <f>IF(C240="","", 227)</f>
        <v>0</v>
      </c>
      <c r="C240" s="2">
        <f>IFERROR(INDEX(البيانات_الأساسية!A:A, MATCH(227, البيانات_الأساسية!$I:$I, 0)), "")</f>
        <v>0</v>
      </c>
      <c r="D240" s="2">
        <f>IFERROR(INDEX(البيانات_الأساسية!B:B, MATCH(227, البيانات_الأساسية!$I:$I, 0)), "")</f>
        <v>0</v>
      </c>
      <c r="E240" s="2">
        <f>IFERROR(IF($C$5="الكل", INDEX(البيانات_الأساسية!D:D, MATCH(227, البيانات_الأساسية!$I:$I, 0)), INDEX(البيانات_الأساسية!$V:$AG, MATCH(227, البيانات_الأساسية!$I:$I, 0), VALUE($C$5))), "")</f>
        <v>0</v>
      </c>
      <c r="F240" s="2">
        <f>IFERROR(IF($C$5="الكل", INDEX(البيانات_الأساسية!C:C, MATCH(227, البيانات_الأساسية!$I:$I, 0)), INDEX(البيانات_الأساسية!$J:$U, MATCH(227, البيانات_الأساسية!$I:$I, 0), VALUE($C$5))), "")</f>
        <v>0</v>
      </c>
      <c r="G240" s="2">
        <f>IFERROR(ROUND(F240/60, 2), "")</f>
        <v>0</v>
      </c>
      <c r="H240" s="2">
        <f>IFERROR(ROUND(F240/E240, 2), "")</f>
        <v>0</v>
      </c>
      <c r="I240" s="2">
        <f>IFERROR(IF($C$5="الكل", INDEX(البيانات_الأساسية!G:G, MATCH(227, البيانات_الأساسية!$I:$I, 0)), $C$5), "")</f>
        <v>0</v>
      </c>
    </row>
    <row r="241" spans="2:9" s="4" customFormat="1" ht="20" customHeight="1">
      <c r="B241" s="2">
        <f>IF(C241="","", 228)</f>
        <v>0</v>
      </c>
      <c r="C241" s="2">
        <f>IFERROR(INDEX(البيانات_الأساسية!A:A, MATCH(228, البيانات_الأساسية!$I:$I, 0)), "")</f>
        <v>0</v>
      </c>
      <c r="D241" s="2">
        <f>IFERROR(INDEX(البيانات_الأساسية!B:B, MATCH(228, البيانات_الأساسية!$I:$I, 0)), "")</f>
        <v>0</v>
      </c>
      <c r="E241" s="2">
        <f>IFERROR(IF($C$5="الكل", INDEX(البيانات_الأساسية!D:D, MATCH(228, البيانات_الأساسية!$I:$I, 0)), INDEX(البيانات_الأساسية!$V:$AG, MATCH(228, البيانات_الأساسية!$I:$I, 0), VALUE($C$5))), "")</f>
        <v>0</v>
      </c>
      <c r="F241" s="2">
        <f>IFERROR(IF($C$5="الكل", INDEX(البيانات_الأساسية!C:C, MATCH(228, البيانات_الأساسية!$I:$I, 0)), INDEX(البيانات_الأساسية!$J:$U, MATCH(228, البيانات_الأساسية!$I:$I, 0), VALUE($C$5))), "")</f>
        <v>0</v>
      </c>
      <c r="G241" s="2">
        <f>IFERROR(ROUND(F241/60, 2), "")</f>
        <v>0</v>
      </c>
      <c r="H241" s="2">
        <f>IFERROR(ROUND(F241/E241, 2), "")</f>
        <v>0</v>
      </c>
      <c r="I241" s="2">
        <f>IFERROR(IF($C$5="الكل", INDEX(البيانات_الأساسية!G:G, MATCH(228, البيانات_الأساسية!$I:$I, 0)), $C$5), "")</f>
        <v>0</v>
      </c>
    </row>
    <row r="242" spans="2:9" s="4" customFormat="1" ht="20" customHeight="1">
      <c r="B242" s="2">
        <f>IF(C242="","", 229)</f>
        <v>0</v>
      </c>
      <c r="C242" s="2">
        <f>IFERROR(INDEX(البيانات_الأساسية!A:A, MATCH(229, البيانات_الأساسية!$I:$I, 0)), "")</f>
        <v>0</v>
      </c>
      <c r="D242" s="2">
        <f>IFERROR(INDEX(البيانات_الأساسية!B:B, MATCH(229, البيانات_الأساسية!$I:$I, 0)), "")</f>
        <v>0</v>
      </c>
      <c r="E242" s="2">
        <f>IFERROR(IF($C$5="الكل", INDEX(البيانات_الأساسية!D:D, MATCH(229, البيانات_الأساسية!$I:$I, 0)), INDEX(البيانات_الأساسية!$V:$AG, MATCH(229, البيانات_الأساسية!$I:$I, 0), VALUE($C$5))), "")</f>
        <v>0</v>
      </c>
      <c r="F242" s="2">
        <f>IFERROR(IF($C$5="الكل", INDEX(البيانات_الأساسية!C:C, MATCH(229, البيانات_الأساسية!$I:$I, 0)), INDEX(البيانات_الأساسية!$J:$U, MATCH(229, البيانات_الأساسية!$I:$I, 0), VALUE($C$5))), "")</f>
        <v>0</v>
      </c>
      <c r="G242" s="2">
        <f>IFERROR(ROUND(F242/60, 2), "")</f>
        <v>0</v>
      </c>
      <c r="H242" s="2">
        <f>IFERROR(ROUND(F242/E242, 2), "")</f>
        <v>0</v>
      </c>
      <c r="I242" s="2">
        <f>IFERROR(IF($C$5="الكل", INDEX(البيانات_الأساسية!G:G, MATCH(229, البيانات_الأساسية!$I:$I, 0)), $C$5), "")</f>
        <v>0</v>
      </c>
    </row>
    <row r="243" spans="2:9" s="4" customFormat="1" ht="20" customHeight="1">
      <c r="B243" s="2">
        <f>IF(C243="","", 230)</f>
        <v>0</v>
      </c>
      <c r="C243" s="2">
        <f>IFERROR(INDEX(البيانات_الأساسية!A:A, MATCH(230, البيانات_الأساسية!$I:$I, 0)), "")</f>
        <v>0</v>
      </c>
      <c r="D243" s="2">
        <f>IFERROR(INDEX(البيانات_الأساسية!B:B, MATCH(230, البيانات_الأساسية!$I:$I, 0)), "")</f>
        <v>0</v>
      </c>
      <c r="E243" s="2">
        <f>IFERROR(IF($C$5="الكل", INDEX(البيانات_الأساسية!D:D, MATCH(230, البيانات_الأساسية!$I:$I, 0)), INDEX(البيانات_الأساسية!$V:$AG, MATCH(230, البيانات_الأساسية!$I:$I, 0), VALUE($C$5))), "")</f>
        <v>0</v>
      </c>
      <c r="F243" s="2">
        <f>IFERROR(IF($C$5="الكل", INDEX(البيانات_الأساسية!C:C, MATCH(230, البيانات_الأساسية!$I:$I, 0)), INDEX(البيانات_الأساسية!$J:$U, MATCH(230, البيانات_الأساسية!$I:$I, 0), VALUE($C$5))), "")</f>
        <v>0</v>
      </c>
      <c r="G243" s="2">
        <f>IFERROR(ROUND(F243/60, 2), "")</f>
        <v>0</v>
      </c>
      <c r="H243" s="2">
        <f>IFERROR(ROUND(F243/E243, 2), "")</f>
        <v>0</v>
      </c>
      <c r="I243" s="2">
        <f>IFERROR(IF($C$5="الكل", INDEX(البيانات_الأساسية!G:G, MATCH(230, البيانات_الأساسية!$I:$I, 0)), $C$5), "")</f>
        <v>0</v>
      </c>
    </row>
    <row r="244" spans="2:9" s="4" customFormat="1" ht="20" customHeight="1">
      <c r="B244" s="2">
        <f>IF(C244="","", 231)</f>
        <v>0</v>
      </c>
      <c r="C244" s="2">
        <f>IFERROR(INDEX(البيانات_الأساسية!A:A, MATCH(231, البيانات_الأساسية!$I:$I, 0)), "")</f>
        <v>0</v>
      </c>
      <c r="D244" s="2">
        <f>IFERROR(INDEX(البيانات_الأساسية!B:B, MATCH(231, البيانات_الأساسية!$I:$I, 0)), "")</f>
        <v>0</v>
      </c>
      <c r="E244" s="2">
        <f>IFERROR(IF($C$5="الكل", INDEX(البيانات_الأساسية!D:D, MATCH(231, البيانات_الأساسية!$I:$I, 0)), INDEX(البيانات_الأساسية!$V:$AG, MATCH(231, البيانات_الأساسية!$I:$I, 0), VALUE($C$5))), "")</f>
        <v>0</v>
      </c>
      <c r="F244" s="2">
        <f>IFERROR(IF($C$5="الكل", INDEX(البيانات_الأساسية!C:C, MATCH(231, البيانات_الأساسية!$I:$I, 0)), INDEX(البيانات_الأساسية!$J:$U, MATCH(231, البيانات_الأساسية!$I:$I, 0), VALUE($C$5))), "")</f>
        <v>0</v>
      </c>
      <c r="G244" s="2">
        <f>IFERROR(ROUND(F244/60, 2), "")</f>
        <v>0</v>
      </c>
      <c r="H244" s="2">
        <f>IFERROR(ROUND(F244/E244, 2), "")</f>
        <v>0</v>
      </c>
      <c r="I244" s="2">
        <f>IFERROR(IF($C$5="الكل", INDEX(البيانات_الأساسية!G:G, MATCH(231, البيانات_الأساسية!$I:$I, 0)), $C$5), "")</f>
        <v>0</v>
      </c>
    </row>
    <row r="245" spans="2:9" s="4" customFormat="1" ht="20" customHeight="1">
      <c r="B245" s="2">
        <f>IF(C245="","", 232)</f>
        <v>0</v>
      </c>
      <c r="C245" s="2">
        <f>IFERROR(INDEX(البيانات_الأساسية!A:A, MATCH(232, البيانات_الأساسية!$I:$I, 0)), "")</f>
        <v>0</v>
      </c>
      <c r="D245" s="2">
        <f>IFERROR(INDEX(البيانات_الأساسية!B:B, MATCH(232, البيانات_الأساسية!$I:$I, 0)), "")</f>
        <v>0</v>
      </c>
      <c r="E245" s="2">
        <f>IFERROR(IF($C$5="الكل", INDEX(البيانات_الأساسية!D:D, MATCH(232, البيانات_الأساسية!$I:$I, 0)), INDEX(البيانات_الأساسية!$V:$AG, MATCH(232, البيانات_الأساسية!$I:$I, 0), VALUE($C$5))), "")</f>
        <v>0</v>
      </c>
      <c r="F245" s="2">
        <f>IFERROR(IF($C$5="الكل", INDEX(البيانات_الأساسية!C:C, MATCH(232, البيانات_الأساسية!$I:$I, 0)), INDEX(البيانات_الأساسية!$J:$U, MATCH(232, البيانات_الأساسية!$I:$I, 0), VALUE($C$5))), "")</f>
        <v>0</v>
      </c>
      <c r="G245" s="2">
        <f>IFERROR(ROUND(F245/60, 2), "")</f>
        <v>0</v>
      </c>
      <c r="H245" s="2">
        <f>IFERROR(ROUND(F245/E245, 2), "")</f>
        <v>0</v>
      </c>
      <c r="I245" s="2">
        <f>IFERROR(IF($C$5="الكل", INDEX(البيانات_الأساسية!G:G, MATCH(232, البيانات_الأساسية!$I:$I, 0)), $C$5), "")</f>
        <v>0</v>
      </c>
    </row>
    <row r="246" spans="2:9" s="4" customFormat="1" ht="20" customHeight="1">
      <c r="B246" s="2">
        <f>IF(C246="","", 233)</f>
        <v>0</v>
      </c>
      <c r="C246" s="2">
        <f>IFERROR(INDEX(البيانات_الأساسية!A:A, MATCH(233, البيانات_الأساسية!$I:$I, 0)), "")</f>
        <v>0</v>
      </c>
      <c r="D246" s="2">
        <f>IFERROR(INDEX(البيانات_الأساسية!B:B, MATCH(233, البيانات_الأساسية!$I:$I, 0)), "")</f>
        <v>0</v>
      </c>
      <c r="E246" s="2">
        <f>IFERROR(IF($C$5="الكل", INDEX(البيانات_الأساسية!D:D, MATCH(233, البيانات_الأساسية!$I:$I, 0)), INDEX(البيانات_الأساسية!$V:$AG, MATCH(233, البيانات_الأساسية!$I:$I, 0), VALUE($C$5))), "")</f>
        <v>0</v>
      </c>
      <c r="F246" s="2">
        <f>IFERROR(IF($C$5="الكل", INDEX(البيانات_الأساسية!C:C, MATCH(233, البيانات_الأساسية!$I:$I, 0)), INDEX(البيانات_الأساسية!$J:$U, MATCH(233, البيانات_الأساسية!$I:$I, 0), VALUE($C$5))), "")</f>
        <v>0</v>
      </c>
      <c r="G246" s="2">
        <f>IFERROR(ROUND(F246/60, 2), "")</f>
        <v>0</v>
      </c>
      <c r="H246" s="2">
        <f>IFERROR(ROUND(F246/E246, 2), "")</f>
        <v>0</v>
      </c>
      <c r="I246" s="2">
        <f>IFERROR(IF($C$5="الكل", INDEX(البيانات_الأساسية!G:G, MATCH(233, البيانات_الأساسية!$I:$I, 0)), $C$5), "")</f>
        <v>0</v>
      </c>
    </row>
    <row r="247" spans="2:9" s="4" customFormat="1" ht="20" customHeight="1">
      <c r="B247" s="2">
        <f>IF(C247="","", 234)</f>
        <v>0</v>
      </c>
      <c r="C247" s="2">
        <f>IFERROR(INDEX(البيانات_الأساسية!A:A, MATCH(234, البيانات_الأساسية!$I:$I, 0)), "")</f>
        <v>0</v>
      </c>
      <c r="D247" s="2">
        <f>IFERROR(INDEX(البيانات_الأساسية!B:B, MATCH(234, البيانات_الأساسية!$I:$I, 0)), "")</f>
        <v>0</v>
      </c>
      <c r="E247" s="2">
        <f>IFERROR(IF($C$5="الكل", INDEX(البيانات_الأساسية!D:D, MATCH(234, البيانات_الأساسية!$I:$I, 0)), INDEX(البيانات_الأساسية!$V:$AG, MATCH(234, البيانات_الأساسية!$I:$I, 0), VALUE($C$5))), "")</f>
        <v>0</v>
      </c>
      <c r="F247" s="2">
        <f>IFERROR(IF($C$5="الكل", INDEX(البيانات_الأساسية!C:C, MATCH(234, البيانات_الأساسية!$I:$I, 0)), INDEX(البيانات_الأساسية!$J:$U, MATCH(234, البيانات_الأساسية!$I:$I, 0), VALUE($C$5))), "")</f>
        <v>0</v>
      </c>
      <c r="G247" s="2">
        <f>IFERROR(ROUND(F247/60, 2), "")</f>
        <v>0</v>
      </c>
      <c r="H247" s="2">
        <f>IFERROR(ROUND(F247/E247, 2), "")</f>
        <v>0</v>
      </c>
      <c r="I247" s="2">
        <f>IFERROR(IF($C$5="الكل", INDEX(البيانات_الأساسية!G:G, MATCH(234, البيانات_الأساسية!$I:$I, 0)), $C$5), "")</f>
        <v>0</v>
      </c>
    </row>
    <row r="248" spans="2:9" s="4" customFormat="1" ht="20" customHeight="1">
      <c r="B248" s="2">
        <f>IF(C248="","", 235)</f>
        <v>0</v>
      </c>
      <c r="C248" s="2">
        <f>IFERROR(INDEX(البيانات_الأساسية!A:A, MATCH(235, البيانات_الأساسية!$I:$I, 0)), "")</f>
        <v>0</v>
      </c>
      <c r="D248" s="2">
        <f>IFERROR(INDEX(البيانات_الأساسية!B:B, MATCH(235, البيانات_الأساسية!$I:$I, 0)), "")</f>
        <v>0</v>
      </c>
      <c r="E248" s="2">
        <f>IFERROR(IF($C$5="الكل", INDEX(البيانات_الأساسية!D:D, MATCH(235, البيانات_الأساسية!$I:$I, 0)), INDEX(البيانات_الأساسية!$V:$AG, MATCH(235, البيانات_الأساسية!$I:$I, 0), VALUE($C$5))), "")</f>
        <v>0</v>
      </c>
      <c r="F248" s="2">
        <f>IFERROR(IF($C$5="الكل", INDEX(البيانات_الأساسية!C:C, MATCH(235, البيانات_الأساسية!$I:$I, 0)), INDEX(البيانات_الأساسية!$J:$U, MATCH(235, البيانات_الأساسية!$I:$I, 0), VALUE($C$5))), "")</f>
        <v>0</v>
      </c>
      <c r="G248" s="2">
        <f>IFERROR(ROUND(F248/60, 2), "")</f>
        <v>0</v>
      </c>
      <c r="H248" s="2">
        <f>IFERROR(ROUND(F248/E248, 2), "")</f>
        <v>0</v>
      </c>
      <c r="I248" s="2">
        <f>IFERROR(IF($C$5="الكل", INDEX(البيانات_الأساسية!G:G, MATCH(235, البيانات_الأساسية!$I:$I, 0)), $C$5), "")</f>
        <v>0</v>
      </c>
    </row>
    <row r="249" spans="2:9" s="4" customFormat="1" ht="20" customHeight="1">
      <c r="B249" s="2">
        <f>IF(C249="","", 236)</f>
        <v>0</v>
      </c>
      <c r="C249" s="2">
        <f>IFERROR(INDEX(البيانات_الأساسية!A:A, MATCH(236, البيانات_الأساسية!$I:$I, 0)), "")</f>
        <v>0</v>
      </c>
      <c r="D249" s="2">
        <f>IFERROR(INDEX(البيانات_الأساسية!B:B, MATCH(236, البيانات_الأساسية!$I:$I, 0)), "")</f>
        <v>0</v>
      </c>
      <c r="E249" s="2">
        <f>IFERROR(IF($C$5="الكل", INDEX(البيانات_الأساسية!D:D, MATCH(236, البيانات_الأساسية!$I:$I, 0)), INDEX(البيانات_الأساسية!$V:$AG, MATCH(236, البيانات_الأساسية!$I:$I, 0), VALUE($C$5))), "")</f>
        <v>0</v>
      </c>
      <c r="F249" s="2">
        <f>IFERROR(IF($C$5="الكل", INDEX(البيانات_الأساسية!C:C, MATCH(236, البيانات_الأساسية!$I:$I, 0)), INDEX(البيانات_الأساسية!$J:$U, MATCH(236, البيانات_الأساسية!$I:$I, 0), VALUE($C$5))), "")</f>
        <v>0</v>
      </c>
      <c r="G249" s="2">
        <f>IFERROR(ROUND(F249/60, 2), "")</f>
        <v>0</v>
      </c>
      <c r="H249" s="2">
        <f>IFERROR(ROUND(F249/E249, 2), "")</f>
        <v>0</v>
      </c>
      <c r="I249" s="2">
        <f>IFERROR(IF($C$5="الكل", INDEX(البيانات_الأساسية!G:G, MATCH(236, البيانات_الأساسية!$I:$I, 0)), $C$5), "")</f>
        <v>0</v>
      </c>
    </row>
    <row r="250" spans="2:9" s="4" customFormat="1" ht="20" customHeight="1">
      <c r="B250" s="2">
        <f>IF(C250="","", 237)</f>
        <v>0</v>
      </c>
      <c r="C250" s="2">
        <f>IFERROR(INDEX(البيانات_الأساسية!A:A, MATCH(237, البيانات_الأساسية!$I:$I, 0)), "")</f>
        <v>0</v>
      </c>
      <c r="D250" s="2">
        <f>IFERROR(INDEX(البيانات_الأساسية!B:B, MATCH(237, البيانات_الأساسية!$I:$I, 0)), "")</f>
        <v>0</v>
      </c>
      <c r="E250" s="2">
        <f>IFERROR(IF($C$5="الكل", INDEX(البيانات_الأساسية!D:D, MATCH(237, البيانات_الأساسية!$I:$I, 0)), INDEX(البيانات_الأساسية!$V:$AG, MATCH(237, البيانات_الأساسية!$I:$I, 0), VALUE($C$5))), "")</f>
        <v>0</v>
      </c>
      <c r="F250" s="2">
        <f>IFERROR(IF($C$5="الكل", INDEX(البيانات_الأساسية!C:C, MATCH(237, البيانات_الأساسية!$I:$I, 0)), INDEX(البيانات_الأساسية!$J:$U, MATCH(237, البيانات_الأساسية!$I:$I, 0), VALUE($C$5))), "")</f>
        <v>0</v>
      </c>
      <c r="G250" s="2">
        <f>IFERROR(ROUND(F250/60, 2), "")</f>
        <v>0</v>
      </c>
      <c r="H250" s="2">
        <f>IFERROR(ROUND(F250/E250, 2), "")</f>
        <v>0</v>
      </c>
      <c r="I250" s="2">
        <f>IFERROR(IF($C$5="الكل", INDEX(البيانات_الأساسية!G:G, MATCH(237, البيانات_الأساسية!$I:$I, 0)), $C$5), "")</f>
        <v>0</v>
      </c>
    </row>
    <row r="251" spans="2:9" s="4" customFormat="1" ht="20" customHeight="1">
      <c r="B251" s="2">
        <f>IF(C251="","", 238)</f>
        <v>0</v>
      </c>
      <c r="C251" s="2">
        <f>IFERROR(INDEX(البيانات_الأساسية!A:A, MATCH(238, البيانات_الأساسية!$I:$I, 0)), "")</f>
        <v>0</v>
      </c>
      <c r="D251" s="2">
        <f>IFERROR(INDEX(البيانات_الأساسية!B:B, MATCH(238, البيانات_الأساسية!$I:$I, 0)), "")</f>
        <v>0</v>
      </c>
      <c r="E251" s="2">
        <f>IFERROR(IF($C$5="الكل", INDEX(البيانات_الأساسية!D:D, MATCH(238, البيانات_الأساسية!$I:$I, 0)), INDEX(البيانات_الأساسية!$V:$AG, MATCH(238, البيانات_الأساسية!$I:$I, 0), VALUE($C$5))), "")</f>
        <v>0</v>
      </c>
      <c r="F251" s="2">
        <f>IFERROR(IF($C$5="الكل", INDEX(البيانات_الأساسية!C:C, MATCH(238, البيانات_الأساسية!$I:$I, 0)), INDEX(البيانات_الأساسية!$J:$U, MATCH(238, البيانات_الأساسية!$I:$I, 0), VALUE($C$5))), "")</f>
        <v>0</v>
      </c>
      <c r="G251" s="2">
        <f>IFERROR(ROUND(F251/60, 2), "")</f>
        <v>0</v>
      </c>
      <c r="H251" s="2">
        <f>IFERROR(ROUND(F251/E251, 2), "")</f>
        <v>0</v>
      </c>
      <c r="I251" s="2">
        <f>IFERROR(IF($C$5="الكل", INDEX(البيانات_الأساسية!G:G, MATCH(238, البيانات_الأساسية!$I:$I, 0)), $C$5), "")</f>
        <v>0</v>
      </c>
    </row>
    <row r="252" spans="2:9" s="4" customFormat="1" ht="20" customHeight="1">
      <c r="B252" s="2">
        <f>IF(C252="","", 239)</f>
        <v>0</v>
      </c>
      <c r="C252" s="2">
        <f>IFERROR(INDEX(البيانات_الأساسية!A:A, MATCH(239, البيانات_الأساسية!$I:$I, 0)), "")</f>
        <v>0</v>
      </c>
      <c r="D252" s="2">
        <f>IFERROR(INDEX(البيانات_الأساسية!B:B, MATCH(239, البيانات_الأساسية!$I:$I, 0)), "")</f>
        <v>0</v>
      </c>
      <c r="E252" s="2">
        <f>IFERROR(IF($C$5="الكل", INDEX(البيانات_الأساسية!D:D, MATCH(239, البيانات_الأساسية!$I:$I, 0)), INDEX(البيانات_الأساسية!$V:$AG, MATCH(239, البيانات_الأساسية!$I:$I, 0), VALUE($C$5))), "")</f>
        <v>0</v>
      </c>
      <c r="F252" s="2">
        <f>IFERROR(IF($C$5="الكل", INDEX(البيانات_الأساسية!C:C, MATCH(239, البيانات_الأساسية!$I:$I, 0)), INDEX(البيانات_الأساسية!$J:$U, MATCH(239, البيانات_الأساسية!$I:$I, 0), VALUE($C$5))), "")</f>
        <v>0</v>
      </c>
      <c r="G252" s="2">
        <f>IFERROR(ROUND(F252/60, 2), "")</f>
        <v>0</v>
      </c>
      <c r="H252" s="2">
        <f>IFERROR(ROUND(F252/E252, 2), "")</f>
        <v>0</v>
      </c>
      <c r="I252" s="2">
        <f>IFERROR(IF($C$5="الكل", INDEX(البيانات_الأساسية!G:G, MATCH(239, البيانات_الأساسية!$I:$I, 0)), $C$5), "")</f>
        <v>0</v>
      </c>
    </row>
    <row r="253" spans="2:9" s="4" customFormat="1" ht="20" customHeight="1">
      <c r="B253" s="2">
        <f>IF(C253="","", 240)</f>
        <v>0</v>
      </c>
      <c r="C253" s="2">
        <f>IFERROR(INDEX(البيانات_الأساسية!A:A, MATCH(240, البيانات_الأساسية!$I:$I, 0)), "")</f>
        <v>0</v>
      </c>
      <c r="D253" s="2">
        <f>IFERROR(INDEX(البيانات_الأساسية!B:B, MATCH(240, البيانات_الأساسية!$I:$I, 0)), "")</f>
        <v>0</v>
      </c>
      <c r="E253" s="2">
        <f>IFERROR(IF($C$5="الكل", INDEX(البيانات_الأساسية!D:D, MATCH(240, البيانات_الأساسية!$I:$I, 0)), INDEX(البيانات_الأساسية!$V:$AG, MATCH(240, البيانات_الأساسية!$I:$I, 0), VALUE($C$5))), "")</f>
        <v>0</v>
      </c>
      <c r="F253" s="2">
        <f>IFERROR(IF($C$5="الكل", INDEX(البيانات_الأساسية!C:C, MATCH(240, البيانات_الأساسية!$I:$I, 0)), INDEX(البيانات_الأساسية!$J:$U, MATCH(240, البيانات_الأساسية!$I:$I, 0), VALUE($C$5))), "")</f>
        <v>0</v>
      </c>
      <c r="G253" s="2">
        <f>IFERROR(ROUND(F253/60, 2), "")</f>
        <v>0</v>
      </c>
      <c r="H253" s="2">
        <f>IFERROR(ROUND(F253/E253, 2), "")</f>
        <v>0</v>
      </c>
      <c r="I253" s="2">
        <f>IFERROR(IF($C$5="الكل", INDEX(البيانات_الأساسية!G:G, MATCH(240, البيانات_الأساسية!$I:$I, 0)), $C$5), "")</f>
        <v>0</v>
      </c>
    </row>
    <row r="254" spans="2:9" s="4" customFormat="1" ht="20" customHeight="1">
      <c r="B254" s="2">
        <f>IF(C254="","", 241)</f>
        <v>0</v>
      </c>
      <c r="C254" s="2">
        <f>IFERROR(INDEX(البيانات_الأساسية!A:A, MATCH(241, البيانات_الأساسية!$I:$I, 0)), "")</f>
        <v>0</v>
      </c>
      <c r="D254" s="2">
        <f>IFERROR(INDEX(البيانات_الأساسية!B:B, MATCH(241, البيانات_الأساسية!$I:$I, 0)), "")</f>
        <v>0</v>
      </c>
      <c r="E254" s="2">
        <f>IFERROR(IF($C$5="الكل", INDEX(البيانات_الأساسية!D:D, MATCH(241, البيانات_الأساسية!$I:$I, 0)), INDEX(البيانات_الأساسية!$V:$AG, MATCH(241, البيانات_الأساسية!$I:$I, 0), VALUE($C$5))), "")</f>
        <v>0</v>
      </c>
      <c r="F254" s="2">
        <f>IFERROR(IF($C$5="الكل", INDEX(البيانات_الأساسية!C:C, MATCH(241, البيانات_الأساسية!$I:$I, 0)), INDEX(البيانات_الأساسية!$J:$U, MATCH(241, البيانات_الأساسية!$I:$I, 0), VALUE($C$5))), "")</f>
        <v>0</v>
      </c>
      <c r="G254" s="2">
        <f>IFERROR(ROUND(F254/60, 2), "")</f>
        <v>0</v>
      </c>
      <c r="H254" s="2">
        <f>IFERROR(ROUND(F254/E254, 2), "")</f>
        <v>0</v>
      </c>
      <c r="I254" s="2">
        <f>IFERROR(IF($C$5="الكل", INDEX(البيانات_الأساسية!G:G, MATCH(241, البيانات_الأساسية!$I:$I, 0)), $C$5), "")</f>
        <v>0</v>
      </c>
    </row>
    <row r="255" spans="2:9" s="4" customFormat="1" ht="20" customHeight="1">
      <c r="B255" s="2">
        <f>IF(C255="","", 242)</f>
        <v>0</v>
      </c>
      <c r="C255" s="2">
        <f>IFERROR(INDEX(البيانات_الأساسية!A:A, MATCH(242, البيانات_الأساسية!$I:$I, 0)), "")</f>
        <v>0</v>
      </c>
      <c r="D255" s="2">
        <f>IFERROR(INDEX(البيانات_الأساسية!B:B, MATCH(242, البيانات_الأساسية!$I:$I, 0)), "")</f>
        <v>0</v>
      </c>
      <c r="E255" s="2">
        <f>IFERROR(IF($C$5="الكل", INDEX(البيانات_الأساسية!D:D, MATCH(242, البيانات_الأساسية!$I:$I, 0)), INDEX(البيانات_الأساسية!$V:$AG, MATCH(242, البيانات_الأساسية!$I:$I, 0), VALUE($C$5))), "")</f>
        <v>0</v>
      </c>
      <c r="F255" s="2">
        <f>IFERROR(IF($C$5="الكل", INDEX(البيانات_الأساسية!C:C, MATCH(242, البيانات_الأساسية!$I:$I, 0)), INDEX(البيانات_الأساسية!$J:$U, MATCH(242, البيانات_الأساسية!$I:$I, 0), VALUE($C$5))), "")</f>
        <v>0</v>
      </c>
      <c r="G255" s="2">
        <f>IFERROR(ROUND(F255/60, 2), "")</f>
        <v>0</v>
      </c>
      <c r="H255" s="2">
        <f>IFERROR(ROUND(F255/E255, 2), "")</f>
        <v>0</v>
      </c>
      <c r="I255" s="2">
        <f>IFERROR(IF($C$5="الكل", INDEX(البيانات_الأساسية!G:G, MATCH(242, البيانات_الأساسية!$I:$I, 0)), $C$5), "")</f>
        <v>0</v>
      </c>
    </row>
    <row r="256" spans="2:9" s="4" customFormat="1" ht="20" customHeight="1">
      <c r="B256" s="2">
        <f>IF(C256="","", 243)</f>
        <v>0</v>
      </c>
      <c r="C256" s="2">
        <f>IFERROR(INDEX(البيانات_الأساسية!A:A, MATCH(243, البيانات_الأساسية!$I:$I, 0)), "")</f>
        <v>0</v>
      </c>
      <c r="D256" s="2">
        <f>IFERROR(INDEX(البيانات_الأساسية!B:B, MATCH(243, البيانات_الأساسية!$I:$I, 0)), "")</f>
        <v>0</v>
      </c>
      <c r="E256" s="2">
        <f>IFERROR(IF($C$5="الكل", INDEX(البيانات_الأساسية!D:D, MATCH(243, البيانات_الأساسية!$I:$I, 0)), INDEX(البيانات_الأساسية!$V:$AG, MATCH(243, البيانات_الأساسية!$I:$I, 0), VALUE($C$5))), "")</f>
        <v>0</v>
      </c>
      <c r="F256" s="2">
        <f>IFERROR(IF($C$5="الكل", INDEX(البيانات_الأساسية!C:C, MATCH(243, البيانات_الأساسية!$I:$I, 0)), INDEX(البيانات_الأساسية!$J:$U, MATCH(243, البيانات_الأساسية!$I:$I, 0), VALUE($C$5))), "")</f>
        <v>0</v>
      </c>
      <c r="G256" s="2">
        <f>IFERROR(ROUND(F256/60, 2), "")</f>
        <v>0</v>
      </c>
      <c r="H256" s="2">
        <f>IFERROR(ROUND(F256/E256, 2), "")</f>
        <v>0</v>
      </c>
      <c r="I256" s="2">
        <f>IFERROR(IF($C$5="الكل", INDEX(البيانات_الأساسية!G:G, MATCH(243, البيانات_الأساسية!$I:$I, 0)), $C$5), "")</f>
        <v>0</v>
      </c>
    </row>
    <row r="257" spans="2:9" s="4" customFormat="1" ht="20" customHeight="1">
      <c r="B257" s="2">
        <f>IF(C257="","", 244)</f>
        <v>0</v>
      </c>
      <c r="C257" s="2">
        <f>IFERROR(INDEX(البيانات_الأساسية!A:A, MATCH(244, البيانات_الأساسية!$I:$I, 0)), "")</f>
        <v>0</v>
      </c>
      <c r="D257" s="2">
        <f>IFERROR(INDEX(البيانات_الأساسية!B:B, MATCH(244, البيانات_الأساسية!$I:$I, 0)), "")</f>
        <v>0</v>
      </c>
      <c r="E257" s="2">
        <f>IFERROR(IF($C$5="الكل", INDEX(البيانات_الأساسية!D:D, MATCH(244, البيانات_الأساسية!$I:$I, 0)), INDEX(البيانات_الأساسية!$V:$AG, MATCH(244, البيانات_الأساسية!$I:$I, 0), VALUE($C$5))), "")</f>
        <v>0</v>
      </c>
      <c r="F257" s="2">
        <f>IFERROR(IF($C$5="الكل", INDEX(البيانات_الأساسية!C:C, MATCH(244, البيانات_الأساسية!$I:$I, 0)), INDEX(البيانات_الأساسية!$J:$U, MATCH(244, البيانات_الأساسية!$I:$I, 0), VALUE($C$5))), "")</f>
        <v>0</v>
      </c>
      <c r="G257" s="2">
        <f>IFERROR(ROUND(F257/60, 2), "")</f>
        <v>0</v>
      </c>
      <c r="H257" s="2">
        <f>IFERROR(ROUND(F257/E257, 2), "")</f>
        <v>0</v>
      </c>
      <c r="I257" s="2">
        <f>IFERROR(IF($C$5="الكل", INDEX(البيانات_الأساسية!G:G, MATCH(244, البيانات_الأساسية!$I:$I, 0)), $C$5), "")</f>
        <v>0</v>
      </c>
    </row>
    <row r="258" spans="2:9" s="4" customFormat="1" ht="20" customHeight="1">
      <c r="B258" s="2">
        <f>IF(C258="","", 245)</f>
        <v>0</v>
      </c>
      <c r="C258" s="2">
        <f>IFERROR(INDEX(البيانات_الأساسية!A:A, MATCH(245, البيانات_الأساسية!$I:$I, 0)), "")</f>
        <v>0</v>
      </c>
      <c r="D258" s="2">
        <f>IFERROR(INDEX(البيانات_الأساسية!B:B, MATCH(245, البيانات_الأساسية!$I:$I, 0)), "")</f>
        <v>0</v>
      </c>
      <c r="E258" s="2">
        <f>IFERROR(IF($C$5="الكل", INDEX(البيانات_الأساسية!D:D, MATCH(245, البيانات_الأساسية!$I:$I, 0)), INDEX(البيانات_الأساسية!$V:$AG, MATCH(245, البيانات_الأساسية!$I:$I, 0), VALUE($C$5))), "")</f>
        <v>0</v>
      </c>
      <c r="F258" s="2">
        <f>IFERROR(IF($C$5="الكل", INDEX(البيانات_الأساسية!C:C, MATCH(245, البيانات_الأساسية!$I:$I, 0)), INDEX(البيانات_الأساسية!$J:$U, MATCH(245, البيانات_الأساسية!$I:$I, 0), VALUE($C$5))), "")</f>
        <v>0</v>
      </c>
      <c r="G258" s="2">
        <f>IFERROR(ROUND(F258/60, 2), "")</f>
        <v>0</v>
      </c>
      <c r="H258" s="2">
        <f>IFERROR(ROUND(F258/E258, 2), "")</f>
        <v>0</v>
      </c>
      <c r="I258" s="2">
        <f>IFERROR(IF($C$5="الكل", INDEX(البيانات_الأساسية!G:G, MATCH(245, البيانات_الأساسية!$I:$I, 0)), $C$5), "")</f>
        <v>0</v>
      </c>
    </row>
    <row r="259" spans="2:9" s="4" customFormat="1" ht="20" customHeight="1">
      <c r="B259" s="2">
        <f>IF(C259="","", 246)</f>
        <v>0</v>
      </c>
      <c r="C259" s="2">
        <f>IFERROR(INDEX(البيانات_الأساسية!A:A, MATCH(246, البيانات_الأساسية!$I:$I, 0)), "")</f>
        <v>0</v>
      </c>
      <c r="D259" s="2">
        <f>IFERROR(INDEX(البيانات_الأساسية!B:B, MATCH(246, البيانات_الأساسية!$I:$I, 0)), "")</f>
        <v>0</v>
      </c>
      <c r="E259" s="2">
        <f>IFERROR(IF($C$5="الكل", INDEX(البيانات_الأساسية!D:D, MATCH(246, البيانات_الأساسية!$I:$I, 0)), INDEX(البيانات_الأساسية!$V:$AG, MATCH(246, البيانات_الأساسية!$I:$I, 0), VALUE($C$5))), "")</f>
        <v>0</v>
      </c>
      <c r="F259" s="2">
        <f>IFERROR(IF($C$5="الكل", INDEX(البيانات_الأساسية!C:C, MATCH(246, البيانات_الأساسية!$I:$I, 0)), INDEX(البيانات_الأساسية!$J:$U, MATCH(246, البيانات_الأساسية!$I:$I, 0), VALUE($C$5))), "")</f>
        <v>0</v>
      </c>
      <c r="G259" s="2">
        <f>IFERROR(ROUND(F259/60, 2), "")</f>
        <v>0</v>
      </c>
      <c r="H259" s="2">
        <f>IFERROR(ROUND(F259/E259, 2), "")</f>
        <v>0</v>
      </c>
      <c r="I259" s="2">
        <f>IFERROR(IF($C$5="الكل", INDEX(البيانات_الأساسية!G:G, MATCH(246, البيانات_الأساسية!$I:$I, 0)), $C$5), "")</f>
        <v>0</v>
      </c>
    </row>
    <row r="260" spans="2:9" s="4" customFormat="1" ht="20" customHeight="1">
      <c r="B260" s="2">
        <f>IF(C260="","", 247)</f>
        <v>0</v>
      </c>
      <c r="C260" s="2">
        <f>IFERROR(INDEX(البيانات_الأساسية!A:A, MATCH(247, البيانات_الأساسية!$I:$I, 0)), "")</f>
        <v>0</v>
      </c>
      <c r="D260" s="2">
        <f>IFERROR(INDEX(البيانات_الأساسية!B:B, MATCH(247, البيانات_الأساسية!$I:$I, 0)), "")</f>
        <v>0</v>
      </c>
      <c r="E260" s="2">
        <f>IFERROR(IF($C$5="الكل", INDEX(البيانات_الأساسية!D:D, MATCH(247, البيانات_الأساسية!$I:$I, 0)), INDEX(البيانات_الأساسية!$V:$AG, MATCH(247, البيانات_الأساسية!$I:$I, 0), VALUE($C$5))), "")</f>
        <v>0</v>
      </c>
      <c r="F260" s="2">
        <f>IFERROR(IF($C$5="الكل", INDEX(البيانات_الأساسية!C:C, MATCH(247, البيانات_الأساسية!$I:$I, 0)), INDEX(البيانات_الأساسية!$J:$U, MATCH(247, البيانات_الأساسية!$I:$I, 0), VALUE($C$5))), "")</f>
        <v>0</v>
      </c>
      <c r="G260" s="2">
        <f>IFERROR(ROUND(F260/60, 2), "")</f>
        <v>0</v>
      </c>
      <c r="H260" s="2">
        <f>IFERROR(ROUND(F260/E260, 2), "")</f>
        <v>0</v>
      </c>
      <c r="I260" s="2">
        <f>IFERROR(IF($C$5="الكل", INDEX(البيانات_الأساسية!G:G, MATCH(247, البيانات_الأساسية!$I:$I, 0)), $C$5), "")</f>
        <v>0</v>
      </c>
    </row>
    <row r="261" spans="2:9" s="4" customFormat="1" ht="20" customHeight="1">
      <c r="B261" s="2">
        <f>IF(C261="","", 248)</f>
        <v>0</v>
      </c>
      <c r="C261" s="2">
        <f>IFERROR(INDEX(البيانات_الأساسية!A:A, MATCH(248, البيانات_الأساسية!$I:$I, 0)), "")</f>
        <v>0</v>
      </c>
      <c r="D261" s="2">
        <f>IFERROR(INDEX(البيانات_الأساسية!B:B, MATCH(248, البيانات_الأساسية!$I:$I, 0)), "")</f>
        <v>0</v>
      </c>
      <c r="E261" s="2">
        <f>IFERROR(IF($C$5="الكل", INDEX(البيانات_الأساسية!D:D, MATCH(248, البيانات_الأساسية!$I:$I, 0)), INDEX(البيانات_الأساسية!$V:$AG, MATCH(248, البيانات_الأساسية!$I:$I, 0), VALUE($C$5))), "")</f>
        <v>0</v>
      </c>
      <c r="F261" s="2">
        <f>IFERROR(IF($C$5="الكل", INDEX(البيانات_الأساسية!C:C, MATCH(248, البيانات_الأساسية!$I:$I, 0)), INDEX(البيانات_الأساسية!$J:$U, MATCH(248, البيانات_الأساسية!$I:$I, 0), VALUE($C$5))), "")</f>
        <v>0</v>
      </c>
      <c r="G261" s="2">
        <f>IFERROR(ROUND(F261/60, 2), "")</f>
        <v>0</v>
      </c>
      <c r="H261" s="2">
        <f>IFERROR(ROUND(F261/E261, 2), "")</f>
        <v>0</v>
      </c>
      <c r="I261" s="2">
        <f>IFERROR(IF($C$5="الكل", INDEX(البيانات_الأساسية!G:G, MATCH(248, البيانات_الأساسية!$I:$I, 0)), $C$5), "")</f>
        <v>0</v>
      </c>
    </row>
    <row r="262" spans="2:9" s="4" customFormat="1" ht="20" customHeight="1">
      <c r="B262" s="2">
        <f>IF(C262="","", 249)</f>
        <v>0</v>
      </c>
      <c r="C262" s="2">
        <f>IFERROR(INDEX(البيانات_الأساسية!A:A, MATCH(249, البيانات_الأساسية!$I:$I, 0)), "")</f>
        <v>0</v>
      </c>
      <c r="D262" s="2">
        <f>IFERROR(INDEX(البيانات_الأساسية!B:B, MATCH(249, البيانات_الأساسية!$I:$I, 0)), "")</f>
        <v>0</v>
      </c>
      <c r="E262" s="2">
        <f>IFERROR(IF($C$5="الكل", INDEX(البيانات_الأساسية!D:D, MATCH(249, البيانات_الأساسية!$I:$I, 0)), INDEX(البيانات_الأساسية!$V:$AG, MATCH(249, البيانات_الأساسية!$I:$I, 0), VALUE($C$5))), "")</f>
        <v>0</v>
      </c>
      <c r="F262" s="2">
        <f>IFERROR(IF($C$5="الكل", INDEX(البيانات_الأساسية!C:C, MATCH(249, البيانات_الأساسية!$I:$I, 0)), INDEX(البيانات_الأساسية!$J:$U, MATCH(249, البيانات_الأساسية!$I:$I, 0), VALUE($C$5))), "")</f>
        <v>0</v>
      </c>
      <c r="G262" s="2">
        <f>IFERROR(ROUND(F262/60, 2), "")</f>
        <v>0</v>
      </c>
      <c r="H262" s="2">
        <f>IFERROR(ROUND(F262/E262, 2), "")</f>
        <v>0</v>
      </c>
      <c r="I262" s="2">
        <f>IFERROR(IF($C$5="الكل", INDEX(البيانات_الأساسية!G:G, MATCH(249, البيانات_الأساسية!$I:$I, 0)), $C$5), "")</f>
        <v>0</v>
      </c>
    </row>
    <row r="263" spans="2:9" s="4" customFormat="1" ht="20" customHeight="1">
      <c r="B263" s="2">
        <f>IF(C263="","", 250)</f>
        <v>0</v>
      </c>
      <c r="C263" s="2">
        <f>IFERROR(INDEX(البيانات_الأساسية!A:A, MATCH(250, البيانات_الأساسية!$I:$I, 0)), "")</f>
        <v>0</v>
      </c>
      <c r="D263" s="2">
        <f>IFERROR(INDEX(البيانات_الأساسية!B:B, MATCH(250, البيانات_الأساسية!$I:$I, 0)), "")</f>
        <v>0</v>
      </c>
      <c r="E263" s="2">
        <f>IFERROR(IF($C$5="الكل", INDEX(البيانات_الأساسية!D:D, MATCH(250, البيانات_الأساسية!$I:$I, 0)), INDEX(البيانات_الأساسية!$V:$AG, MATCH(250, البيانات_الأساسية!$I:$I, 0), VALUE($C$5))), "")</f>
        <v>0</v>
      </c>
      <c r="F263" s="2">
        <f>IFERROR(IF($C$5="الكل", INDEX(البيانات_الأساسية!C:C, MATCH(250, البيانات_الأساسية!$I:$I, 0)), INDEX(البيانات_الأساسية!$J:$U, MATCH(250, البيانات_الأساسية!$I:$I, 0), VALUE($C$5))), "")</f>
        <v>0</v>
      </c>
      <c r="G263" s="2">
        <f>IFERROR(ROUND(F263/60, 2), "")</f>
        <v>0</v>
      </c>
      <c r="H263" s="2">
        <f>IFERROR(ROUND(F263/E263, 2), "")</f>
        <v>0</v>
      </c>
      <c r="I263" s="2">
        <f>IFERROR(IF($C$5="الكل", INDEX(البيانات_الأساسية!G:G, MATCH(250, البيانات_الأساسية!$I:$I, 0)), $C$5), "")</f>
        <v>0</v>
      </c>
    </row>
    <row r="264" spans="2:9" s="4" customFormat="1" ht="20" customHeight="1">
      <c r="B264" s="2">
        <f>IF(C264="","", 251)</f>
        <v>0</v>
      </c>
      <c r="C264" s="2">
        <f>IFERROR(INDEX(البيانات_الأساسية!A:A, MATCH(251, البيانات_الأساسية!$I:$I, 0)), "")</f>
        <v>0</v>
      </c>
      <c r="D264" s="2">
        <f>IFERROR(INDEX(البيانات_الأساسية!B:B, MATCH(251, البيانات_الأساسية!$I:$I, 0)), "")</f>
        <v>0</v>
      </c>
      <c r="E264" s="2">
        <f>IFERROR(IF($C$5="الكل", INDEX(البيانات_الأساسية!D:D, MATCH(251, البيانات_الأساسية!$I:$I, 0)), INDEX(البيانات_الأساسية!$V:$AG, MATCH(251, البيانات_الأساسية!$I:$I, 0), VALUE($C$5))), "")</f>
        <v>0</v>
      </c>
      <c r="F264" s="2">
        <f>IFERROR(IF($C$5="الكل", INDEX(البيانات_الأساسية!C:C, MATCH(251, البيانات_الأساسية!$I:$I, 0)), INDEX(البيانات_الأساسية!$J:$U, MATCH(251, البيانات_الأساسية!$I:$I, 0), VALUE($C$5))), "")</f>
        <v>0</v>
      </c>
      <c r="G264" s="2">
        <f>IFERROR(ROUND(F264/60, 2), "")</f>
        <v>0</v>
      </c>
      <c r="H264" s="2">
        <f>IFERROR(ROUND(F264/E264, 2), "")</f>
        <v>0</v>
      </c>
      <c r="I264" s="2">
        <f>IFERROR(IF($C$5="الكل", INDEX(البيانات_الأساسية!G:G, MATCH(251, البيانات_الأساسية!$I:$I, 0)), $C$5), "")</f>
        <v>0</v>
      </c>
    </row>
    <row r="265" spans="2:9" s="4" customFormat="1" ht="20" customHeight="1">
      <c r="B265" s="2">
        <f>IF(C265="","", 252)</f>
        <v>0</v>
      </c>
      <c r="C265" s="2">
        <f>IFERROR(INDEX(البيانات_الأساسية!A:A, MATCH(252, البيانات_الأساسية!$I:$I, 0)), "")</f>
        <v>0</v>
      </c>
      <c r="D265" s="2">
        <f>IFERROR(INDEX(البيانات_الأساسية!B:B, MATCH(252, البيانات_الأساسية!$I:$I, 0)), "")</f>
        <v>0</v>
      </c>
      <c r="E265" s="2">
        <f>IFERROR(IF($C$5="الكل", INDEX(البيانات_الأساسية!D:D, MATCH(252, البيانات_الأساسية!$I:$I, 0)), INDEX(البيانات_الأساسية!$V:$AG, MATCH(252, البيانات_الأساسية!$I:$I, 0), VALUE($C$5))), "")</f>
        <v>0</v>
      </c>
      <c r="F265" s="2">
        <f>IFERROR(IF($C$5="الكل", INDEX(البيانات_الأساسية!C:C, MATCH(252, البيانات_الأساسية!$I:$I, 0)), INDEX(البيانات_الأساسية!$J:$U, MATCH(252, البيانات_الأساسية!$I:$I, 0), VALUE($C$5))), "")</f>
        <v>0</v>
      </c>
      <c r="G265" s="2">
        <f>IFERROR(ROUND(F265/60, 2), "")</f>
        <v>0</v>
      </c>
      <c r="H265" s="2">
        <f>IFERROR(ROUND(F265/E265, 2), "")</f>
        <v>0</v>
      </c>
      <c r="I265" s="2">
        <f>IFERROR(IF($C$5="الكل", INDEX(البيانات_الأساسية!G:G, MATCH(252, البيانات_الأساسية!$I:$I, 0)), $C$5), "")</f>
        <v>0</v>
      </c>
    </row>
    <row r="266" spans="2:9" s="4" customFormat="1" ht="20" customHeight="1">
      <c r="B266" s="2">
        <f>IF(C266="","", 253)</f>
        <v>0</v>
      </c>
      <c r="C266" s="2">
        <f>IFERROR(INDEX(البيانات_الأساسية!A:A, MATCH(253, البيانات_الأساسية!$I:$I, 0)), "")</f>
        <v>0</v>
      </c>
      <c r="D266" s="2">
        <f>IFERROR(INDEX(البيانات_الأساسية!B:B, MATCH(253, البيانات_الأساسية!$I:$I, 0)), "")</f>
        <v>0</v>
      </c>
      <c r="E266" s="2">
        <f>IFERROR(IF($C$5="الكل", INDEX(البيانات_الأساسية!D:D, MATCH(253, البيانات_الأساسية!$I:$I, 0)), INDEX(البيانات_الأساسية!$V:$AG, MATCH(253, البيانات_الأساسية!$I:$I, 0), VALUE($C$5))), "")</f>
        <v>0</v>
      </c>
      <c r="F266" s="2">
        <f>IFERROR(IF($C$5="الكل", INDEX(البيانات_الأساسية!C:C, MATCH(253, البيانات_الأساسية!$I:$I, 0)), INDEX(البيانات_الأساسية!$J:$U, MATCH(253, البيانات_الأساسية!$I:$I, 0), VALUE($C$5))), "")</f>
        <v>0</v>
      </c>
      <c r="G266" s="2">
        <f>IFERROR(ROUND(F266/60, 2), "")</f>
        <v>0</v>
      </c>
      <c r="H266" s="2">
        <f>IFERROR(ROUND(F266/E266, 2), "")</f>
        <v>0</v>
      </c>
      <c r="I266" s="2">
        <f>IFERROR(IF($C$5="الكل", INDEX(البيانات_الأساسية!G:G, MATCH(253, البيانات_الأساسية!$I:$I, 0)), $C$5), "")</f>
        <v>0</v>
      </c>
    </row>
    <row r="267" spans="2:9" s="4" customFormat="1" ht="20" customHeight="1">
      <c r="B267" s="2">
        <f>IF(C267="","", 254)</f>
        <v>0</v>
      </c>
      <c r="C267" s="2">
        <f>IFERROR(INDEX(البيانات_الأساسية!A:A, MATCH(254, البيانات_الأساسية!$I:$I, 0)), "")</f>
        <v>0</v>
      </c>
      <c r="D267" s="2">
        <f>IFERROR(INDEX(البيانات_الأساسية!B:B, MATCH(254, البيانات_الأساسية!$I:$I, 0)), "")</f>
        <v>0</v>
      </c>
      <c r="E267" s="2">
        <f>IFERROR(IF($C$5="الكل", INDEX(البيانات_الأساسية!D:D, MATCH(254, البيانات_الأساسية!$I:$I, 0)), INDEX(البيانات_الأساسية!$V:$AG, MATCH(254, البيانات_الأساسية!$I:$I, 0), VALUE($C$5))), "")</f>
        <v>0</v>
      </c>
      <c r="F267" s="2">
        <f>IFERROR(IF($C$5="الكل", INDEX(البيانات_الأساسية!C:C, MATCH(254, البيانات_الأساسية!$I:$I, 0)), INDEX(البيانات_الأساسية!$J:$U, MATCH(254, البيانات_الأساسية!$I:$I, 0), VALUE($C$5))), "")</f>
        <v>0</v>
      </c>
      <c r="G267" s="2">
        <f>IFERROR(ROUND(F267/60, 2), "")</f>
        <v>0</v>
      </c>
      <c r="H267" s="2">
        <f>IFERROR(ROUND(F267/E267, 2), "")</f>
        <v>0</v>
      </c>
      <c r="I267" s="2">
        <f>IFERROR(IF($C$5="الكل", INDEX(البيانات_الأساسية!G:G, MATCH(254, البيانات_الأساسية!$I:$I, 0)), $C$5), "")</f>
        <v>0</v>
      </c>
    </row>
    <row r="268" spans="2:9" s="4" customFormat="1" ht="20" customHeight="1">
      <c r="B268" s="2">
        <f>IF(C268="","", 255)</f>
        <v>0</v>
      </c>
      <c r="C268" s="2">
        <f>IFERROR(INDEX(البيانات_الأساسية!A:A, MATCH(255, البيانات_الأساسية!$I:$I, 0)), "")</f>
        <v>0</v>
      </c>
      <c r="D268" s="2">
        <f>IFERROR(INDEX(البيانات_الأساسية!B:B, MATCH(255, البيانات_الأساسية!$I:$I, 0)), "")</f>
        <v>0</v>
      </c>
      <c r="E268" s="2">
        <f>IFERROR(IF($C$5="الكل", INDEX(البيانات_الأساسية!D:D, MATCH(255, البيانات_الأساسية!$I:$I, 0)), INDEX(البيانات_الأساسية!$V:$AG, MATCH(255, البيانات_الأساسية!$I:$I, 0), VALUE($C$5))), "")</f>
        <v>0</v>
      </c>
      <c r="F268" s="2">
        <f>IFERROR(IF($C$5="الكل", INDEX(البيانات_الأساسية!C:C, MATCH(255, البيانات_الأساسية!$I:$I, 0)), INDEX(البيانات_الأساسية!$J:$U, MATCH(255, البيانات_الأساسية!$I:$I, 0), VALUE($C$5))), "")</f>
        <v>0</v>
      </c>
      <c r="G268" s="2">
        <f>IFERROR(ROUND(F268/60, 2), "")</f>
        <v>0</v>
      </c>
      <c r="H268" s="2">
        <f>IFERROR(ROUND(F268/E268, 2), "")</f>
        <v>0</v>
      </c>
      <c r="I268" s="2">
        <f>IFERROR(IF($C$5="الكل", INDEX(البيانات_الأساسية!G:G, MATCH(255, البيانات_الأساسية!$I:$I, 0)), $C$5), "")</f>
        <v>0</v>
      </c>
    </row>
    <row r="269" spans="2:9" s="4" customFormat="1" ht="20" customHeight="1">
      <c r="B269" s="2">
        <f>IF(C269="","", 256)</f>
        <v>0</v>
      </c>
      <c r="C269" s="2">
        <f>IFERROR(INDEX(البيانات_الأساسية!A:A, MATCH(256, البيانات_الأساسية!$I:$I, 0)), "")</f>
        <v>0</v>
      </c>
      <c r="D269" s="2">
        <f>IFERROR(INDEX(البيانات_الأساسية!B:B, MATCH(256, البيانات_الأساسية!$I:$I, 0)), "")</f>
        <v>0</v>
      </c>
      <c r="E269" s="2">
        <f>IFERROR(IF($C$5="الكل", INDEX(البيانات_الأساسية!D:D, MATCH(256, البيانات_الأساسية!$I:$I, 0)), INDEX(البيانات_الأساسية!$V:$AG, MATCH(256, البيانات_الأساسية!$I:$I, 0), VALUE($C$5))), "")</f>
        <v>0</v>
      </c>
      <c r="F269" s="2">
        <f>IFERROR(IF($C$5="الكل", INDEX(البيانات_الأساسية!C:C, MATCH(256, البيانات_الأساسية!$I:$I, 0)), INDEX(البيانات_الأساسية!$J:$U, MATCH(256, البيانات_الأساسية!$I:$I, 0), VALUE($C$5))), "")</f>
        <v>0</v>
      </c>
      <c r="G269" s="2">
        <f>IFERROR(ROUND(F269/60, 2), "")</f>
        <v>0</v>
      </c>
      <c r="H269" s="2">
        <f>IFERROR(ROUND(F269/E269, 2), "")</f>
        <v>0</v>
      </c>
      <c r="I269" s="2">
        <f>IFERROR(IF($C$5="الكل", INDEX(البيانات_الأساسية!G:G, MATCH(256, البيانات_الأساسية!$I:$I, 0)), $C$5), "")</f>
        <v>0</v>
      </c>
    </row>
    <row r="270" spans="2:9" s="4" customFormat="1" ht="20" customHeight="1">
      <c r="B270" s="2">
        <f>IF(C270="","", 257)</f>
        <v>0</v>
      </c>
      <c r="C270" s="2">
        <f>IFERROR(INDEX(البيانات_الأساسية!A:A, MATCH(257, البيانات_الأساسية!$I:$I, 0)), "")</f>
        <v>0</v>
      </c>
      <c r="D270" s="2">
        <f>IFERROR(INDEX(البيانات_الأساسية!B:B, MATCH(257, البيانات_الأساسية!$I:$I, 0)), "")</f>
        <v>0</v>
      </c>
      <c r="E270" s="2">
        <f>IFERROR(IF($C$5="الكل", INDEX(البيانات_الأساسية!D:D, MATCH(257, البيانات_الأساسية!$I:$I, 0)), INDEX(البيانات_الأساسية!$V:$AG, MATCH(257, البيانات_الأساسية!$I:$I, 0), VALUE($C$5))), "")</f>
        <v>0</v>
      </c>
      <c r="F270" s="2">
        <f>IFERROR(IF($C$5="الكل", INDEX(البيانات_الأساسية!C:C, MATCH(257, البيانات_الأساسية!$I:$I, 0)), INDEX(البيانات_الأساسية!$J:$U, MATCH(257, البيانات_الأساسية!$I:$I, 0), VALUE($C$5))), "")</f>
        <v>0</v>
      </c>
      <c r="G270" s="2">
        <f>IFERROR(ROUND(F270/60, 2), "")</f>
        <v>0</v>
      </c>
      <c r="H270" s="2">
        <f>IFERROR(ROUND(F270/E270, 2), "")</f>
        <v>0</v>
      </c>
      <c r="I270" s="2">
        <f>IFERROR(IF($C$5="الكل", INDEX(البيانات_الأساسية!G:G, MATCH(257, البيانات_الأساسية!$I:$I, 0)), $C$5), "")</f>
        <v>0</v>
      </c>
    </row>
    <row r="271" spans="2:9" s="4" customFormat="1" ht="20" customHeight="1">
      <c r="B271" s="2">
        <f>IF(C271="","", 258)</f>
        <v>0</v>
      </c>
      <c r="C271" s="2">
        <f>IFERROR(INDEX(البيانات_الأساسية!A:A, MATCH(258, البيانات_الأساسية!$I:$I, 0)), "")</f>
        <v>0</v>
      </c>
      <c r="D271" s="2">
        <f>IFERROR(INDEX(البيانات_الأساسية!B:B, MATCH(258, البيانات_الأساسية!$I:$I, 0)), "")</f>
        <v>0</v>
      </c>
      <c r="E271" s="2">
        <f>IFERROR(IF($C$5="الكل", INDEX(البيانات_الأساسية!D:D, MATCH(258, البيانات_الأساسية!$I:$I, 0)), INDEX(البيانات_الأساسية!$V:$AG, MATCH(258, البيانات_الأساسية!$I:$I, 0), VALUE($C$5))), "")</f>
        <v>0</v>
      </c>
      <c r="F271" s="2">
        <f>IFERROR(IF($C$5="الكل", INDEX(البيانات_الأساسية!C:C, MATCH(258, البيانات_الأساسية!$I:$I, 0)), INDEX(البيانات_الأساسية!$J:$U, MATCH(258, البيانات_الأساسية!$I:$I, 0), VALUE($C$5))), "")</f>
        <v>0</v>
      </c>
      <c r="G271" s="2">
        <f>IFERROR(ROUND(F271/60, 2), "")</f>
        <v>0</v>
      </c>
      <c r="H271" s="2">
        <f>IFERROR(ROUND(F271/E271, 2), "")</f>
        <v>0</v>
      </c>
      <c r="I271" s="2">
        <f>IFERROR(IF($C$5="الكل", INDEX(البيانات_الأساسية!G:G, MATCH(258, البيانات_الأساسية!$I:$I, 0)), $C$5), "")</f>
        <v>0</v>
      </c>
    </row>
    <row r="272" spans="2:9" s="4" customFormat="1" ht="20" customHeight="1">
      <c r="B272" s="2">
        <f>IF(C272="","", 259)</f>
        <v>0</v>
      </c>
      <c r="C272" s="2">
        <f>IFERROR(INDEX(البيانات_الأساسية!A:A, MATCH(259, البيانات_الأساسية!$I:$I, 0)), "")</f>
        <v>0</v>
      </c>
      <c r="D272" s="2">
        <f>IFERROR(INDEX(البيانات_الأساسية!B:B, MATCH(259, البيانات_الأساسية!$I:$I, 0)), "")</f>
        <v>0</v>
      </c>
      <c r="E272" s="2">
        <f>IFERROR(IF($C$5="الكل", INDEX(البيانات_الأساسية!D:D, MATCH(259, البيانات_الأساسية!$I:$I, 0)), INDEX(البيانات_الأساسية!$V:$AG, MATCH(259, البيانات_الأساسية!$I:$I, 0), VALUE($C$5))), "")</f>
        <v>0</v>
      </c>
      <c r="F272" s="2">
        <f>IFERROR(IF($C$5="الكل", INDEX(البيانات_الأساسية!C:C, MATCH(259, البيانات_الأساسية!$I:$I, 0)), INDEX(البيانات_الأساسية!$J:$U, MATCH(259, البيانات_الأساسية!$I:$I, 0), VALUE($C$5))), "")</f>
        <v>0</v>
      </c>
      <c r="G272" s="2">
        <f>IFERROR(ROUND(F272/60, 2), "")</f>
        <v>0</v>
      </c>
      <c r="H272" s="2">
        <f>IFERROR(ROUND(F272/E272, 2), "")</f>
        <v>0</v>
      </c>
      <c r="I272" s="2">
        <f>IFERROR(IF($C$5="الكل", INDEX(البيانات_الأساسية!G:G, MATCH(259, البيانات_الأساسية!$I:$I, 0)), $C$5), "")</f>
        <v>0</v>
      </c>
    </row>
    <row r="273" spans="2:9" s="4" customFormat="1" ht="20" customHeight="1">
      <c r="B273" s="2">
        <f>IF(C273="","", 260)</f>
        <v>0</v>
      </c>
      <c r="C273" s="2">
        <f>IFERROR(INDEX(البيانات_الأساسية!A:A, MATCH(260, البيانات_الأساسية!$I:$I, 0)), "")</f>
        <v>0</v>
      </c>
      <c r="D273" s="2">
        <f>IFERROR(INDEX(البيانات_الأساسية!B:B, MATCH(260, البيانات_الأساسية!$I:$I, 0)), "")</f>
        <v>0</v>
      </c>
      <c r="E273" s="2">
        <f>IFERROR(IF($C$5="الكل", INDEX(البيانات_الأساسية!D:D, MATCH(260, البيانات_الأساسية!$I:$I, 0)), INDEX(البيانات_الأساسية!$V:$AG, MATCH(260, البيانات_الأساسية!$I:$I, 0), VALUE($C$5))), "")</f>
        <v>0</v>
      </c>
      <c r="F273" s="2">
        <f>IFERROR(IF($C$5="الكل", INDEX(البيانات_الأساسية!C:C, MATCH(260, البيانات_الأساسية!$I:$I, 0)), INDEX(البيانات_الأساسية!$J:$U, MATCH(260, البيانات_الأساسية!$I:$I, 0), VALUE($C$5))), "")</f>
        <v>0</v>
      </c>
      <c r="G273" s="2">
        <f>IFERROR(ROUND(F273/60, 2), "")</f>
        <v>0</v>
      </c>
      <c r="H273" s="2">
        <f>IFERROR(ROUND(F273/E273, 2), "")</f>
        <v>0</v>
      </c>
      <c r="I273" s="2">
        <f>IFERROR(IF($C$5="الكل", INDEX(البيانات_الأساسية!G:G, MATCH(260, البيانات_الأساسية!$I:$I, 0)), $C$5), "")</f>
        <v>0</v>
      </c>
    </row>
    <row r="274" spans="2:9" s="4" customFormat="1" ht="20" customHeight="1">
      <c r="B274" s="2">
        <f>IF(C274="","", 261)</f>
        <v>0</v>
      </c>
      <c r="C274" s="2">
        <f>IFERROR(INDEX(البيانات_الأساسية!A:A, MATCH(261, البيانات_الأساسية!$I:$I, 0)), "")</f>
        <v>0</v>
      </c>
      <c r="D274" s="2">
        <f>IFERROR(INDEX(البيانات_الأساسية!B:B, MATCH(261, البيانات_الأساسية!$I:$I, 0)), "")</f>
        <v>0</v>
      </c>
      <c r="E274" s="2">
        <f>IFERROR(IF($C$5="الكل", INDEX(البيانات_الأساسية!D:D, MATCH(261, البيانات_الأساسية!$I:$I, 0)), INDEX(البيانات_الأساسية!$V:$AG, MATCH(261, البيانات_الأساسية!$I:$I, 0), VALUE($C$5))), "")</f>
        <v>0</v>
      </c>
      <c r="F274" s="2">
        <f>IFERROR(IF($C$5="الكل", INDEX(البيانات_الأساسية!C:C, MATCH(261, البيانات_الأساسية!$I:$I, 0)), INDEX(البيانات_الأساسية!$J:$U, MATCH(261, البيانات_الأساسية!$I:$I, 0), VALUE($C$5))), "")</f>
        <v>0</v>
      </c>
      <c r="G274" s="2">
        <f>IFERROR(ROUND(F274/60, 2), "")</f>
        <v>0</v>
      </c>
      <c r="H274" s="2">
        <f>IFERROR(ROUND(F274/E274, 2), "")</f>
        <v>0</v>
      </c>
      <c r="I274" s="2">
        <f>IFERROR(IF($C$5="الكل", INDEX(البيانات_الأساسية!G:G, MATCH(261, البيانات_الأساسية!$I:$I, 0)), $C$5), "")</f>
        <v>0</v>
      </c>
    </row>
    <row r="275" spans="2:9" s="4" customFormat="1" ht="20" customHeight="1">
      <c r="B275" s="2">
        <f>IF(C275="","", 262)</f>
        <v>0</v>
      </c>
      <c r="C275" s="2">
        <f>IFERROR(INDEX(البيانات_الأساسية!A:A, MATCH(262, البيانات_الأساسية!$I:$I, 0)), "")</f>
        <v>0</v>
      </c>
      <c r="D275" s="2">
        <f>IFERROR(INDEX(البيانات_الأساسية!B:B, MATCH(262, البيانات_الأساسية!$I:$I, 0)), "")</f>
        <v>0</v>
      </c>
      <c r="E275" s="2">
        <f>IFERROR(IF($C$5="الكل", INDEX(البيانات_الأساسية!D:D, MATCH(262, البيانات_الأساسية!$I:$I, 0)), INDEX(البيانات_الأساسية!$V:$AG, MATCH(262, البيانات_الأساسية!$I:$I, 0), VALUE($C$5))), "")</f>
        <v>0</v>
      </c>
      <c r="F275" s="2">
        <f>IFERROR(IF($C$5="الكل", INDEX(البيانات_الأساسية!C:C, MATCH(262, البيانات_الأساسية!$I:$I, 0)), INDEX(البيانات_الأساسية!$J:$U, MATCH(262, البيانات_الأساسية!$I:$I, 0), VALUE($C$5))), "")</f>
        <v>0</v>
      </c>
      <c r="G275" s="2">
        <f>IFERROR(ROUND(F275/60, 2), "")</f>
        <v>0</v>
      </c>
      <c r="H275" s="2">
        <f>IFERROR(ROUND(F275/E275, 2), "")</f>
        <v>0</v>
      </c>
      <c r="I275" s="2">
        <f>IFERROR(IF($C$5="الكل", INDEX(البيانات_الأساسية!G:G, MATCH(262, البيانات_الأساسية!$I:$I, 0)), $C$5), "")</f>
        <v>0</v>
      </c>
    </row>
    <row r="276" spans="2:9" s="4" customFormat="1" ht="20" customHeight="1">
      <c r="B276" s="2">
        <f>IF(C276="","", 263)</f>
        <v>0</v>
      </c>
      <c r="C276" s="2">
        <f>IFERROR(INDEX(البيانات_الأساسية!A:A, MATCH(263, البيانات_الأساسية!$I:$I, 0)), "")</f>
        <v>0</v>
      </c>
      <c r="D276" s="2">
        <f>IFERROR(INDEX(البيانات_الأساسية!B:B, MATCH(263, البيانات_الأساسية!$I:$I, 0)), "")</f>
        <v>0</v>
      </c>
      <c r="E276" s="2">
        <f>IFERROR(IF($C$5="الكل", INDEX(البيانات_الأساسية!D:D, MATCH(263, البيانات_الأساسية!$I:$I, 0)), INDEX(البيانات_الأساسية!$V:$AG, MATCH(263, البيانات_الأساسية!$I:$I, 0), VALUE($C$5))), "")</f>
        <v>0</v>
      </c>
      <c r="F276" s="2">
        <f>IFERROR(IF($C$5="الكل", INDEX(البيانات_الأساسية!C:C, MATCH(263, البيانات_الأساسية!$I:$I, 0)), INDEX(البيانات_الأساسية!$J:$U, MATCH(263, البيانات_الأساسية!$I:$I, 0), VALUE($C$5))), "")</f>
        <v>0</v>
      </c>
      <c r="G276" s="2">
        <f>IFERROR(ROUND(F276/60, 2), "")</f>
        <v>0</v>
      </c>
      <c r="H276" s="2">
        <f>IFERROR(ROUND(F276/E276, 2), "")</f>
        <v>0</v>
      </c>
      <c r="I276" s="2">
        <f>IFERROR(IF($C$5="الكل", INDEX(البيانات_الأساسية!G:G, MATCH(263, البيانات_الأساسية!$I:$I, 0)), $C$5), "")</f>
        <v>0</v>
      </c>
    </row>
    <row r="277" spans="2:9" s="4" customFormat="1" ht="20" customHeight="1">
      <c r="B277" s="2">
        <f>IF(C277="","", 264)</f>
        <v>0</v>
      </c>
      <c r="C277" s="2">
        <f>IFERROR(INDEX(البيانات_الأساسية!A:A, MATCH(264, البيانات_الأساسية!$I:$I, 0)), "")</f>
        <v>0</v>
      </c>
      <c r="D277" s="2">
        <f>IFERROR(INDEX(البيانات_الأساسية!B:B, MATCH(264, البيانات_الأساسية!$I:$I, 0)), "")</f>
        <v>0</v>
      </c>
      <c r="E277" s="2">
        <f>IFERROR(IF($C$5="الكل", INDEX(البيانات_الأساسية!D:D, MATCH(264, البيانات_الأساسية!$I:$I, 0)), INDEX(البيانات_الأساسية!$V:$AG, MATCH(264, البيانات_الأساسية!$I:$I, 0), VALUE($C$5))), "")</f>
        <v>0</v>
      </c>
      <c r="F277" s="2">
        <f>IFERROR(IF($C$5="الكل", INDEX(البيانات_الأساسية!C:C, MATCH(264, البيانات_الأساسية!$I:$I, 0)), INDEX(البيانات_الأساسية!$J:$U, MATCH(264, البيانات_الأساسية!$I:$I, 0), VALUE($C$5))), "")</f>
        <v>0</v>
      </c>
      <c r="G277" s="2">
        <f>IFERROR(ROUND(F277/60, 2), "")</f>
        <v>0</v>
      </c>
      <c r="H277" s="2">
        <f>IFERROR(ROUND(F277/E277, 2), "")</f>
        <v>0</v>
      </c>
      <c r="I277" s="2">
        <f>IFERROR(IF($C$5="الكل", INDEX(البيانات_الأساسية!G:G, MATCH(264, البيانات_الأساسية!$I:$I, 0)), $C$5), "")</f>
        <v>0</v>
      </c>
    </row>
    <row r="278" spans="2:9" s="4" customFormat="1" ht="20" customHeight="1">
      <c r="B278" s="2">
        <f>IF(C278="","", 265)</f>
        <v>0</v>
      </c>
      <c r="C278" s="2">
        <f>IFERROR(INDEX(البيانات_الأساسية!A:A, MATCH(265, البيانات_الأساسية!$I:$I, 0)), "")</f>
        <v>0</v>
      </c>
      <c r="D278" s="2">
        <f>IFERROR(INDEX(البيانات_الأساسية!B:B, MATCH(265, البيانات_الأساسية!$I:$I, 0)), "")</f>
        <v>0</v>
      </c>
      <c r="E278" s="2">
        <f>IFERROR(IF($C$5="الكل", INDEX(البيانات_الأساسية!D:D, MATCH(265, البيانات_الأساسية!$I:$I, 0)), INDEX(البيانات_الأساسية!$V:$AG, MATCH(265, البيانات_الأساسية!$I:$I, 0), VALUE($C$5))), "")</f>
        <v>0</v>
      </c>
      <c r="F278" s="2">
        <f>IFERROR(IF($C$5="الكل", INDEX(البيانات_الأساسية!C:C, MATCH(265, البيانات_الأساسية!$I:$I, 0)), INDEX(البيانات_الأساسية!$J:$U, MATCH(265, البيانات_الأساسية!$I:$I, 0), VALUE($C$5))), "")</f>
        <v>0</v>
      </c>
      <c r="G278" s="2">
        <f>IFERROR(ROUND(F278/60, 2), "")</f>
        <v>0</v>
      </c>
      <c r="H278" s="2">
        <f>IFERROR(ROUND(F278/E278, 2), "")</f>
        <v>0</v>
      </c>
      <c r="I278" s="2">
        <f>IFERROR(IF($C$5="الكل", INDEX(البيانات_الأساسية!G:G, MATCH(265, البيانات_الأساسية!$I:$I, 0)), $C$5), "")</f>
        <v>0</v>
      </c>
    </row>
    <row r="279" spans="2:9" s="4" customFormat="1" ht="20" customHeight="1">
      <c r="B279" s="2">
        <f>IF(C279="","", 266)</f>
        <v>0</v>
      </c>
      <c r="C279" s="2">
        <f>IFERROR(INDEX(البيانات_الأساسية!A:A, MATCH(266, البيانات_الأساسية!$I:$I, 0)), "")</f>
        <v>0</v>
      </c>
      <c r="D279" s="2">
        <f>IFERROR(INDEX(البيانات_الأساسية!B:B, MATCH(266, البيانات_الأساسية!$I:$I, 0)), "")</f>
        <v>0</v>
      </c>
      <c r="E279" s="2">
        <f>IFERROR(IF($C$5="الكل", INDEX(البيانات_الأساسية!D:D, MATCH(266, البيانات_الأساسية!$I:$I, 0)), INDEX(البيانات_الأساسية!$V:$AG, MATCH(266, البيانات_الأساسية!$I:$I, 0), VALUE($C$5))), "")</f>
        <v>0</v>
      </c>
      <c r="F279" s="2">
        <f>IFERROR(IF($C$5="الكل", INDEX(البيانات_الأساسية!C:C, MATCH(266, البيانات_الأساسية!$I:$I, 0)), INDEX(البيانات_الأساسية!$J:$U, MATCH(266, البيانات_الأساسية!$I:$I, 0), VALUE($C$5))), "")</f>
        <v>0</v>
      </c>
      <c r="G279" s="2">
        <f>IFERROR(ROUND(F279/60, 2), "")</f>
        <v>0</v>
      </c>
      <c r="H279" s="2">
        <f>IFERROR(ROUND(F279/E279, 2), "")</f>
        <v>0</v>
      </c>
      <c r="I279" s="2">
        <f>IFERROR(IF($C$5="الكل", INDEX(البيانات_الأساسية!G:G, MATCH(266, البيانات_الأساسية!$I:$I, 0)), $C$5), "")</f>
        <v>0</v>
      </c>
    </row>
    <row r="280" spans="2:9" s="4" customFormat="1" ht="20" customHeight="1">
      <c r="B280" s="2">
        <f>IF(C280="","", 267)</f>
        <v>0</v>
      </c>
      <c r="C280" s="2">
        <f>IFERROR(INDEX(البيانات_الأساسية!A:A, MATCH(267, البيانات_الأساسية!$I:$I, 0)), "")</f>
        <v>0</v>
      </c>
      <c r="D280" s="2">
        <f>IFERROR(INDEX(البيانات_الأساسية!B:B, MATCH(267, البيانات_الأساسية!$I:$I, 0)), "")</f>
        <v>0</v>
      </c>
      <c r="E280" s="2">
        <f>IFERROR(IF($C$5="الكل", INDEX(البيانات_الأساسية!D:D, MATCH(267, البيانات_الأساسية!$I:$I, 0)), INDEX(البيانات_الأساسية!$V:$AG, MATCH(267, البيانات_الأساسية!$I:$I, 0), VALUE($C$5))), "")</f>
        <v>0</v>
      </c>
      <c r="F280" s="2">
        <f>IFERROR(IF($C$5="الكل", INDEX(البيانات_الأساسية!C:C, MATCH(267, البيانات_الأساسية!$I:$I, 0)), INDEX(البيانات_الأساسية!$J:$U, MATCH(267, البيانات_الأساسية!$I:$I, 0), VALUE($C$5))), "")</f>
        <v>0</v>
      </c>
      <c r="G280" s="2">
        <f>IFERROR(ROUND(F280/60, 2), "")</f>
        <v>0</v>
      </c>
      <c r="H280" s="2">
        <f>IFERROR(ROUND(F280/E280, 2), "")</f>
        <v>0</v>
      </c>
      <c r="I280" s="2">
        <f>IFERROR(IF($C$5="الكل", INDEX(البيانات_الأساسية!G:G, MATCH(267, البيانات_الأساسية!$I:$I, 0)), $C$5), "")</f>
        <v>0</v>
      </c>
    </row>
    <row r="281" spans="2:9" s="4" customFormat="1" ht="20" customHeight="1">
      <c r="B281" s="2">
        <f>IF(C281="","", 268)</f>
        <v>0</v>
      </c>
      <c r="C281" s="2">
        <f>IFERROR(INDEX(البيانات_الأساسية!A:A, MATCH(268, البيانات_الأساسية!$I:$I, 0)), "")</f>
        <v>0</v>
      </c>
      <c r="D281" s="2">
        <f>IFERROR(INDEX(البيانات_الأساسية!B:B, MATCH(268, البيانات_الأساسية!$I:$I, 0)), "")</f>
        <v>0</v>
      </c>
      <c r="E281" s="2">
        <f>IFERROR(IF($C$5="الكل", INDEX(البيانات_الأساسية!D:D, MATCH(268, البيانات_الأساسية!$I:$I, 0)), INDEX(البيانات_الأساسية!$V:$AG, MATCH(268, البيانات_الأساسية!$I:$I, 0), VALUE($C$5))), "")</f>
        <v>0</v>
      </c>
      <c r="F281" s="2">
        <f>IFERROR(IF($C$5="الكل", INDEX(البيانات_الأساسية!C:C, MATCH(268, البيانات_الأساسية!$I:$I, 0)), INDEX(البيانات_الأساسية!$J:$U, MATCH(268, البيانات_الأساسية!$I:$I, 0), VALUE($C$5))), "")</f>
        <v>0</v>
      </c>
      <c r="G281" s="2">
        <f>IFERROR(ROUND(F281/60, 2), "")</f>
        <v>0</v>
      </c>
      <c r="H281" s="2">
        <f>IFERROR(ROUND(F281/E281, 2), "")</f>
        <v>0</v>
      </c>
      <c r="I281" s="2">
        <f>IFERROR(IF($C$5="الكل", INDEX(البيانات_الأساسية!G:G, MATCH(268, البيانات_الأساسية!$I:$I, 0)), $C$5), "")</f>
        <v>0</v>
      </c>
    </row>
    <row r="282" spans="2:9" s="4" customFormat="1" ht="20" customHeight="1">
      <c r="B282" s="2">
        <f>IF(C282="","", 269)</f>
        <v>0</v>
      </c>
      <c r="C282" s="2">
        <f>IFERROR(INDEX(البيانات_الأساسية!A:A, MATCH(269, البيانات_الأساسية!$I:$I, 0)), "")</f>
        <v>0</v>
      </c>
      <c r="D282" s="2">
        <f>IFERROR(INDEX(البيانات_الأساسية!B:B, MATCH(269, البيانات_الأساسية!$I:$I, 0)), "")</f>
        <v>0</v>
      </c>
      <c r="E282" s="2">
        <f>IFERROR(IF($C$5="الكل", INDEX(البيانات_الأساسية!D:D, MATCH(269, البيانات_الأساسية!$I:$I, 0)), INDEX(البيانات_الأساسية!$V:$AG, MATCH(269, البيانات_الأساسية!$I:$I, 0), VALUE($C$5))), "")</f>
        <v>0</v>
      </c>
      <c r="F282" s="2">
        <f>IFERROR(IF($C$5="الكل", INDEX(البيانات_الأساسية!C:C, MATCH(269, البيانات_الأساسية!$I:$I, 0)), INDEX(البيانات_الأساسية!$J:$U, MATCH(269, البيانات_الأساسية!$I:$I, 0), VALUE($C$5))), "")</f>
        <v>0</v>
      </c>
      <c r="G282" s="2">
        <f>IFERROR(ROUND(F282/60, 2), "")</f>
        <v>0</v>
      </c>
      <c r="H282" s="2">
        <f>IFERROR(ROUND(F282/E282, 2), "")</f>
        <v>0</v>
      </c>
      <c r="I282" s="2">
        <f>IFERROR(IF($C$5="الكل", INDEX(البيانات_الأساسية!G:G, MATCH(269, البيانات_الأساسية!$I:$I, 0)), $C$5), "")</f>
        <v>0</v>
      </c>
    </row>
    <row r="283" spans="2:9" s="4" customFormat="1" ht="20" customHeight="1">
      <c r="B283" s="2">
        <f>IF(C283="","", 270)</f>
        <v>0</v>
      </c>
      <c r="C283" s="2">
        <f>IFERROR(INDEX(البيانات_الأساسية!A:A, MATCH(270, البيانات_الأساسية!$I:$I, 0)), "")</f>
        <v>0</v>
      </c>
      <c r="D283" s="2">
        <f>IFERROR(INDEX(البيانات_الأساسية!B:B, MATCH(270, البيانات_الأساسية!$I:$I, 0)), "")</f>
        <v>0</v>
      </c>
      <c r="E283" s="2">
        <f>IFERROR(IF($C$5="الكل", INDEX(البيانات_الأساسية!D:D, MATCH(270, البيانات_الأساسية!$I:$I, 0)), INDEX(البيانات_الأساسية!$V:$AG, MATCH(270, البيانات_الأساسية!$I:$I, 0), VALUE($C$5))), "")</f>
        <v>0</v>
      </c>
      <c r="F283" s="2">
        <f>IFERROR(IF($C$5="الكل", INDEX(البيانات_الأساسية!C:C, MATCH(270, البيانات_الأساسية!$I:$I, 0)), INDEX(البيانات_الأساسية!$J:$U, MATCH(270, البيانات_الأساسية!$I:$I, 0), VALUE($C$5))), "")</f>
        <v>0</v>
      </c>
      <c r="G283" s="2">
        <f>IFERROR(ROUND(F283/60, 2), "")</f>
        <v>0</v>
      </c>
      <c r="H283" s="2">
        <f>IFERROR(ROUND(F283/E283, 2), "")</f>
        <v>0</v>
      </c>
      <c r="I283" s="2">
        <f>IFERROR(IF($C$5="الكل", INDEX(البيانات_الأساسية!G:G, MATCH(270, البيانات_الأساسية!$I:$I, 0)), $C$5), "")</f>
        <v>0</v>
      </c>
    </row>
    <row r="284" spans="2:9" s="4" customFormat="1" ht="20" customHeight="1">
      <c r="B284" s="2">
        <f>IF(C284="","", 271)</f>
        <v>0</v>
      </c>
      <c r="C284" s="2">
        <f>IFERROR(INDEX(البيانات_الأساسية!A:A, MATCH(271, البيانات_الأساسية!$I:$I, 0)), "")</f>
        <v>0</v>
      </c>
      <c r="D284" s="2">
        <f>IFERROR(INDEX(البيانات_الأساسية!B:B, MATCH(271, البيانات_الأساسية!$I:$I, 0)), "")</f>
        <v>0</v>
      </c>
      <c r="E284" s="2">
        <f>IFERROR(IF($C$5="الكل", INDEX(البيانات_الأساسية!D:D, MATCH(271, البيانات_الأساسية!$I:$I, 0)), INDEX(البيانات_الأساسية!$V:$AG, MATCH(271, البيانات_الأساسية!$I:$I, 0), VALUE($C$5))), "")</f>
        <v>0</v>
      </c>
      <c r="F284" s="2">
        <f>IFERROR(IF($C$5="الكل", INDEX(البيانات_الأساسية!C:C, MATCH(271, البيانات_الأساسية!$I:$I, 0)), INDEX(البيانات_الأساسية!$J:$U, MATCH(271, البيانات_الأساسية!$I:$I, 0), VALUE($C$5))), "")</f>
        <v>0</v>
      </c>
      <c r="G284" s="2">
        <f>IFERROR(ROUND(F284/60, 2), "")</f>
        <v>0</v>
      </c>
      <c r="H284" s="2">
        <f>IFERROR(ROUND(F284/E284, 2), "")</f>
        <v>0</v>
      </c>
      <c r="I284" s="2">
        <f>IFERROR(IF($C$5="الكل", INDEX(البيانات_الأساسية!G:G, MATCH(271, البيانات_الأساسية!$I:$I, 0)), $C$5), "")</f>
        <v>0</v>
      </c>
    </row>
    <row r="285" spans="2:9" s="4" customFormat="1" ht="20" customHeight="1">
      <c r="B285" s="2">
        <f>IF(C285="","", 272)</f>
        <v>0</v>
      </c>
      <c r="C285" s="2">
        <f>IFERROR(INDEX(البيانات_الأساسية!A:A, MATCH(272, البيانات_الأساسية!$I:$I, 0)), "")</f>
        <v>0</v>
      </c>
      <c r="D285" s="2">
        <f>IFERROR(INDEX(البيانات_الأساسية!B:B, MATCH(272, البيانات_الأساسية!$I:$I, 0)), "")</f>
        <v>0</v>
      </c>
      <c r="E285" s="2">
        <f>IFERROR(IF($C$5="الكل", INDEX(البيانات_الأساسية!D:D, MATCH(272, البيانات_الأساسية!$I:$I, 0)), INDEX(البيانات_الأساسية!$V:$AG, MATCH(272, البيانات_الأساسية!$I:$I, 0), VALUE($C$5))), "")</f>
        <v>0</v>
      </c>
      <c r="F285" s="2">
        <f>IFERROR(IF($C$5="الكل", INDEX(البيانات_الأساسية!C:C, MATCH(272, البيانات_الأساسية!$I:$I, 0)), INDEX(البيانات_الأساسية!$J:$U, MATCH(272, البيانات_الأساسية!$I:$I, 0), VALUE($C$5))), "")</f>
        <v>0</v>
      </c>
      <c r="G285" s="2">
        <f>IFERROR(ROUND(F285/60, 2), "")</f>
        <v>0</v>
      </c>
      <c r="H285" s="2">
        <f>IFERROR(ROUND(F285/E285, 2), "")</f>
        <v>0</v>
      </c>
      <c r="I285" s="2">
        <f>IFERROR(IF($C$5="الكل", INDEX(البيانات_الأساسية!G:G, MATCH(272, البيانات_الأساسية!$I:$I, 0)), $C$5), "")</f>
        <v>0</v>
      </c>
    </row>
    <row r="286" spans="2:9" s="4" customFormat="1" ht="20" customHeight="1">
      <c r="B286" s="2">
        <f>IF(C286="","", 273)</f>
        <v>0</v>
      </c>
      <c r="C286" s="2">
        <f>IFERROR(INDEX(البيانات_الأساسية!A:A, MATCH(273, البيانات_الأساسية!$I:$I, 0)), "")</f>
        <v>0</v>
      </c>
      <c r="D286" s="2">
        <f>IFERROR(INDEX(البيانات_الأساسية!B:B, MATCH(273, البيانات_الأساسية!$I:$I, 0)), "")</f>
        <v>0</v>
      </c>
      <c r="E286" s="2">
        <f>IFERROR(IF($C$5="الكل", INDEX(البيانات_الأساسية!D:D, MATCH(273, البيانات_الأساسية!$I:$I, 0)), INDEX(البيانات_الأساسية!$V:$AG, MATCH(273, البيانات_الأساسية!$I:$I, 0), VALUE($C$5))), "")</f>
        <v>0</v>
      </c>
      <c r="F286" s="2">
        <f>IFERROR(IF($C$5="الكل", INDEX(البيانات_الأساسية!C:C, MATCH(273, البيانات_الأساسية!$I:$I, 0)), INDEX(البيانات_الأساسية!$J:$U, MATCH(273, البيانات_الأساسية!$I:$I, 0), VALUE($C$5))), "")</f>
        <v>0</v>
      </c>
      <c r="G286" s="2">
        <f>IFERROR(ROUND(F286/60, 2), "")</f>
        <v>0</v>
      </c>
      <c r="H286" s="2">
        <f>IFERROR(ROUND(F286/E286, 2), "")</f>
        <v>0</v>
      </c>
      <c r="I286" s="2">
        <f>IFERROR(IF($C$5="الكل", INDEX(البيانات_الأساسية!G:G, MATCH(273, البيانات_الأساسية!$I:$I, 0)), $C$5), "")</f>
        <v>0</v>
      </c>
    </row>
    <row r="287" spans="2:9" s="4" customFormat="1" ht="20" customHeight="1">
      <c r="B287" s="2">
        <f>IF(C287="","", 274)</f>
        <v>0</v>
      </c>
      <c r="C287" s="2">
        <f>IFERROR(INDEX(البيانات_الأساسية!A:A, MATCH(274, البيانات_الأساسية!$I:$I, 0)), "")</f>
        <v>0</v>
      </c>
      <c r="D287" s="2">
        <f>IFERROR(INDEX(البيانات_الأساسية!B:B, MATCH(274, البيانات_الأساسية!$I:$I, 0)), "")</f>
        <v>0</v>
      </c>
      <c r="E287" s="2">
        <f>IFERROR(IF($C$5="الكل", INDEX(البيانات_الأساسية!D:D, MATCH(274, البيانات_الأساسية!$I:$I, 0)), INDEX(البيانات_الأساسية!$V:$AG, MATCH(274, البيانات_الأساسية!$I:$I, 0), VALUE($C$5))), "")</f>
        <v>0</v>
      </c>
      <c r="F287" s="2">
        <f>IFERROR(IF($C$5="الكل", INDEX(البيانات_الأساسية!C:C, MATCH(274, البيانات_الأساسية!$I:$I, 0)), INDEX(البيانات_الأساسية!$J:$U, MATCH(274, البيانات_الأساسية!$I:$I, 0), VALUE($C$5))), "")</f>
        <v>0</v>
      </c>
      <c r="G287" s="2">
        <f>IFERROR(ROUND(F287/60, 2), "")</f>
        <v>0</v>
      </c>
      <c r="H287" s="2">
        <f>IFERROR(ROUND(F287/E287, 2), "")</f>
        <v>0</v>
      </c>
      <c r="I287" s="2">
        <f>IFERROR(IF($C$5="الكل", INDEX(البيانات_الأساسية!G:G, MATCH(274, البيانات_الأساسية!$I:$I, 0)), $C$5), "")</f>
        <v>0</v>
      </c>
    </row>
    <row r="288" spans="2:9" s="4" customFormat="1" ht="20" customHeight="1">
      <c r="B288" s="2">
        <f>IF(C288="","", 275)</f>
        <v>0</v>
      </c>
      <c r="C288" s="2">
        <f>IFERROR(INDEX(البيانات_الأساسية!A:A, MATCH(275, البيانات_الأساسية!$I:$I, 0)), "")</f>
        <v>0</v>
      </c>
      <c r="D288" s="2">
        <f>IFERROR(INDEX(البيانات_الأساسية!B:B, MATCH(275, البيانات_الأساسية!$I:$I, 0)), "")</f>
        <v>0</v>
      </c>
      <c r="E288" s="2">
        <f>IFERROR(IF($C$5="الكل", INDEX(البيانات_الأساسية!D:D, MATCH(275, البيانات_الأساسية!$I:$I, 0)), INDEX(البيانات_الأساسية!$V:$AG, MATCH(275, البيانات_الأساسية!$I:$I, 0), VALUE($C$5))), "")</f>
        <v>0</v>
      </c>
      <c r="F288" s="2">
        <f>IFERROR(IF($C$5="الكل", INDEX(البيانات_الأساسية!C:C, MATCH(275, البيانات_الأساسية!$I:$I, 0)), INDEX(البيانات_الأساسية!$J:$U, MATCH(275, البيانات_الأساسية!$I:$I, 0), VALUE($C$5))), "")</f>
        <v>0</v>
      </c>
      <c r="G288" s="2">
        <f>IFERROR(ROUND(F288/60, 2), "")</f>
        <v>0</v>
      </c>
      <c r="H288" s="2">
        <f>IFERROR(ROUND(F288/E288, 2), "")</f>
        <v>0</v>
      </c>
      <c r="I288" s="2">
        <f>IFERROR(IF($C$5="الكل", INDEX(البيانات_الأساسية!G:G, MATCH(275, البيانات_الأساسية!$I:$I, 0)), $C$5), "")</f>
        <v>0</v>
      </c>
    </row>
    <row r="289" spans="2:9" s="4" customFormat="1" ht="20" customHeight="1">
      <c r="B289" s="2">
        <f>IF(C289="","", 276)</f>
        <v>0</v>
      </c>
      <c r="C289" s="2">
        <f>IFERROR(INDEX(البيانات_الأساسية!A:A, MATCH(276, البيانات_الأساسية!$I:$I, 0)), "")</f>
        <v>0</v>
      </c>
      <c r="D289" s="2">
        <f>IFERROR(INDEX(البيانات_الأساسية!B:B, MATCH(276, البيانات_الأساسية!$I:$I, 0)), "")</f>
        <v>0</v>
      </c>
      <c r="E289" s="2">
        <f>IFERROR(IF($C$5="الكل", INDEX(البيانات_الأساسية!D:D, MATCH(276, البيانات_الأساسية!$I:$I, 0)), INDEX(البيانات_الأساسية!$V:$AG, MATCH(276, البيانات_الأساسية!$I:$I, 0), VALUE($C$5))), "")</f>
        <v>0</v>
      </c>
      <c r="F289" s="2">
        <f>IFERROR(IF($C$5="الكل", INDEX(البيانات_الأساسية!C:C, MATCH(276, البيانات_الأساسية!$I:$I, 0)), INDEX(البيانات_الأساسية!$J:$U, MATCH(276, البيانات_الأساسية!$I:$I, 0), VALUE($C$5))), "")</f>
        <v>0</v>
      </c>
      <c r="G289" s="2">
        <f>IFERROR(ROUND(F289/60, 2), "")</f>
        <v>0</v>
      </c>
      <c r="H289" s="2">
        <f>IFERROR(ROUND(F289/E289, 2), "")</f>
        <v>0</v>
      </c>
      <c r="I289" s="2">
        <f>IFERROR(IF($C$5="الكل", INDEX(البيانات_الأساسية!G:G, MATCH(276, البيانات_الأساسية!$I:$I, 0)), $C$5), "")</f>
        <v>0</v>
      </c>
    </row>
    <row r="290" spans="2:9" s="4" customFormat="1" ht="20" customHeight="1">
      <c r="B290" s="2">
        <f>IF(C290="","", 277)</f>
        <v>0</v>
      </c>
      <c r="C290" s="2">
        <f>IFERROR(INDEX(البيانات_الأساسية!A:A, MATCH(277, البيانات_الأساسية!$I:$I, 0)), "")</f>
        <v>0</v>
      </c>
      <c r="D290" s="2">
        <f>IFERROR(INDEX(البيانات_الأساسية!B:B, MATCH(277, البيانات_الأساسية!$I:$I, 0)), "")</f>
        <v>0</v>
      </c>
      <c r="E290" s="2">
        <f>IFERROR(IF($C$5="الكل", INDEX(البيانات_الأساسية!D:D, MATCH(277, البيانات_الأساسية!$I:$I, 0)), INDEX(البيانات_الأساسية!$V:$AG, MATCH(277, البيانات_الأساسية!$I:$I, 0), VALUE($C$5))), "")</f>
        <v>0</v>
      </c>
      <c r="F290" s="2">
        <f>IFERROR(IF($C$5="الكل", INDEX(البيانات_الأساسية!C:C, MATCH(277, البيانات_الأساسية!$I:$I, 0)), INDEX(البيانات_الأساسية!$J:$U, MATCH(277, البيانات_الأساسية!$I:$I, 0), VALUE($C$5))), "")</f>
        <v>0</v>
      </c>
      <c r="G290" s="2">
        <f>IFERROR(ROUND(F290/60, 2), "")</f>
        <v>0</v>
      </c>
      <c r="H290" s="2">
        <f>IFERROR(ROUND(F290/E290, 2), "")</f>
        <v>0</v>
      </c>
      <c r="I290" s="2">
        <f>IFERROR(IF($C$5="الكل", INDEX(البيانات_الأساسية!G:G, MATCH(277, البيانات_الأساسية!$I:$I, 0)), $C$5), "")</f>
        <v>0</v>
      </c>
    </row>
    <row r="291" spans="2:9" s="4" customFormat="1" ht="20" customHeight="1">
      <c r="B291" s="2">
        <f>IF(C291="","", 278)</f>
        <v>0</v>
      </c>
      <c r="C291" s="2">
        <f>IFERROR(INDEX(البيانات_الأساسية!A:A, MATCH(278, البيانات_الأساسية!$I:$I, 0)), "")</f>
        <v>0</v>
      </c>
      <c r="D291" s="2">
        <f>IFERROR(INDEX(البيانات_الأساسية!B:B, MATCH(278, البيانات_الأساسية!$I:$I, 0)), "")</f>
        <v>0</v>
      </c>
      <c r="E291" s="2">
        <f>IFERROR(IF($C$5="الكل", INDEX(البيانات_الأساسية!D:D, MATCH(278, البيانات_الأساسية!$I:$I, 0)), INDEX(البيانات_الأساسية!$V:$AG, MATCH(278, البيانات_الأساسية!$I:$I, 0), VALUE($C$5))), "")</f>
        <v>0</v>
      </c>
      <c r="F291" s="2">
        <f>IFERROR(IF($C$5="الكل", INDEX(البيانات_الأساسية!C:C, MATCH(278, البيانات_الأساسية!$I:$I, 0)), INDEX(البيانات_الأساسية!$J:$U, MATCH(278, البيانات_الأساسية!$I:$I, 0), VALUE($C$5))), "")</f>
        <v>0</v>
      </c>
      <c r="G291" s="2">
        <f>IFERROR(ROUND(F291/60, 2), "")</f>
        <v>0</v>
      </c>
      <c r="H291" s="2">
        <f>IFERROR(ROUND(F291/E291, 2), "")</f>
        <v>0</v>
      </c>
      <c r="I291" s="2">
        <f>IFERROR(IF($C$5="الكل", INDEX(البيانات_الأساسية!G:G, MATCH(278, البيانات_الأساسية!$I:$I, 0)), $C$5), "")</f>
        <v>0</v>
      </c>
    </row>
    <row r="292" spans="2:9" s="4" customFormat="1" ht="20" customHeight="1">
      <c r="B292" s="2">
        <f>IF(C292="","", 279)</f>
        <v>0</v>
      </c>
      <c r="C292" s="2">
        <f>IFERROR(INDEX(البيانات_الأساسية!A:A, MATCH(279, البيانات_الأساسية!$I:$I, 0)), "")</f>
        <v>0</v>
      </c>
      <c r="D292" s="2">
        <f>IFERROR(INDEX(البيانات_الأساسية!B:B, MATCH(279, البيانات_الأساسية!$I:$I, 0)), "")</f>
        <v>0</v>
      </c>
      <c r="E292" s="2">
        <f>IFERROR(IF($C$5="الكل", INDEX(البيانات_الأساسية!D:D, MATCH(279, البيانات_الأساسية!$I:$I, 0)), INDEX(البيانات_الأساسية!$V:$AG, MATCH(279, البيانات_الأساسية!$I:$I, 0), VALUE($C$5))), "")</f>
        <v>0</v>
      </c>
      <c r="F292" s="2">
        <f>IFERROR(IF($C$5="الكل", INDEX(البيانات_الأساسية!C:C, MATCH(279, البيانات_الأساسية!$I:$I, 0)), INDEX(البيانات_الأساسية!$J:$U, MATCH(279, البيانات_الأساسية!$I:$I, 0), VALUE($C$5))), "")</f>
        <v>0</v>
      </c>
      <c r="G292" s="2">
        <f>IFERROR(ROUND(F292/60, 2), "")</f>
        <v>0</v>
      </c>
      <c r="H292" s="2">
        <f>IFERROR(ROUND(F292/E292, 2), "")</f>
        <v>0</v>
      </c>
      <c r="I292" s="2">
        <f>IFERROR(IF($C$5="الكل", INDEX(البيانات_الأساسية!G:G, MATCH(279, البيانات_الأساسية!$I:$I, 0)), $C$5), "")</f>
        <v>0</v>
      </c>
    </row>
    <row r="293" spans="2:9" s="4" customFormat="1" ht="20" customHeight="1">
      <c r="B293" s="2">
        <f>IF(C293="","", 280)</f>
        <v>0</v>
      </c>
      <c r="C293" s="2">
        <f>IFERROR(INDEX(البيانات_الأساسية!A:A, MATCH(280, البيانات_الأساسية!$I:$I, 0)), "")</f>
        <v>0</v>
      </c>
      <c r="D293" s="2">
        <f>IFERROR(INDEX(البيانات_الأساسية!B:B, MATCH(280, البيانات_الأساسية!$I:$I, 0)), "")</f>
        <v>0</v>
      </c>
      <c r="E293" s="2">
        <f>IFERROR(IF($C$5="الكل", INDEX(البيانات_الأساسية!D:D, MATCH(280, البيانات_الأساسية!$I:$I, 0)), INDEX(البيانات_الأساسية!$V:$AG, MATCH(280, البيانات_الأساسية!$I:$I, 0), VALUE($C$5))), "")</f>
        <v>0</v>
      </c>
      <c r="F293" s="2">
        <f>IFERROR(IF($C$5="الكل", INDEX(البيانات_الأساسية!C:C, MATCH(280, البيانات_الأساسية!$I:$I, 0)), INDEX(البيانات_الأساسية!$J:$U, MATCH(280, البيانات_الأساسية!$I:$I, 0), VALUE($C$5))), "")</f>
        <v>0</v>
      </c>
      <c r="G293" s="2">
        <f>IFERROR(ROUND(F293/60, 2), "")</f>
        <v>0</v>
      </c>
      <c r="H293" s="2">
        <f>IFERROR(ROUND(F293/E293, 2), "")</f>
        <v>0</v>
      </c>
      <c r="I293" s="2">
        <f>IFERROR(IF($C$5="الكل", INDEX(البيانات_الأساسية!G:G, MATCH(280, البيانات_الأساسية!$I:$I, 0)), $C$5), "")</f>
        <v>0</v>
      </c>
    </row>
    <row r="294" spans="2:9" s="4" customFormat="1" ht="20" customHeight="1">
      <c r="B294" s="2">
        <f>IF(C294="","", 281)</f>
        <v>0</v>
      </c>
      <c r="C294" s="2">
        <f>IFERROR(INDEX(البيانات_الأساسية!A:A, MATCH(281, البيانات_الأساسية!$I:$I, 0)), "")</f>
        <v>0</v>
      </c>
      <c r="D294" s="2">
        <f>IFERROR(INDEX(البيانات_الأساسية!B:B, MATCH(281, البيانات_الأساسية!$I:$I, 0)), "")</f>
        <v>0</v>
      </c>
      <c r="E294" s="2">
        <f>IFERROR(IF($C$5="الكل", INDEX(البيانات_الأساسية!D:D, MATCH(281, البيانات_الأساسية!$I:$I, 0)), INDEX(البيانات_الأساسية!$V:$AG, MATCH(281, البيانات_الأساسية!$I:$I, 0), VALUE($C$5))), "")</f>
        <v>0</v>
      </c>
      <c r="F294" s="2">
        <f>IFERROR(IF($C$5="الكل", INDEX(البيانات_الأساسية!C:C, MATCH(281, البيانات_الأساسية!$I:$I, 0)), INDEX(البيانات_الأساسية!$J:$U, MATCH(281, البيانات_الأساسية!$I:$I, 0), VALUE($C$5))), "")</f>
        <v>0</v>
      </c>
      <c r="G294" s="2">
        <f>IFERROR(ROUND(F294/60, 2), "")</f>
        <v>0</v>
      </c>
      <c r="H294" s="2">
        <f>IFERROR(ROUND(F294/E294, 2), "")</f>
        <v>0</v>
      </c>
      <c r="I294" s="2">
        <f>IFERROR(IF($C$5="الكل", INDEX(البيانات_الأساسية!G:G, MATCH(281, البيانات_الأساسية!$I:$I, 0)), $C$5), "")</f>
        <v>0</v>
      </c>
    </row>
    <row r="295" spans="2:9" s="4" customFormat="1" ht="20" customHeight="1">
      <c r="B295" s="2">
        <f>IF(C295="","", 282)</f>
        <v>0</v>
      </c>
      <c r="C295" s="2">
        <f>IFERROR(INDEX(البيانات_الأساسية!A:A, MATCH(282, البيانات_الأساسية!$I:$I, 0)), "")</f>
        <v>0</v>
      </c>
      <c r="D295" s="2">
        <f>IFERROR(INDEX(البيانات_الأساسية!B:B, MATCH(282, البيانات_الأساسية!$I:$I, 0)), "")</f>
        <v>0</v>
      </c>
      <c r="E295" s="2">
        <f>IFERROR(IF($C$5="الكل", INDEX(البيانات_الأساسية!D:D, MATCH(282, البيانات_الأساسية!$I:$I, 0)), INDEX(البيانات_الأساسية!$V:$AG, MATCH(282, البيانات_الأساسية!$I:$I, 0), VALUE($C$5))), "")</f>
        <v>0</v>
      </c>
      <c r="F295" s="2">
        <f>IFERROR(IF($C$5="الكل", INDEX(البيانات_الأساسية!C:C, MATCH(282, البيانات_الأساسية!$I:$I, 0)), INDEX(البيانات_الأساسية!$J:$U, MATCH(282, البيانات_الأساسية!$I:$I, 0), VALUE($C$5))), "")</f>
        <v>0</v>
      </c>
      <c r="G295" s="2">
        <f>IFERROR(ROUND(F295/60, 2), "")</f>
        <v>0</v>
      </c>
      <c r="H295" s="2">
        <f>IFERROR(ROUND(F295/E295, 2), "")</f>
        <v>0</v>
      </c>
      <c r="I295" s="2">
        <f>IFERROR(IF($C$5="الكل", INDEX(البيانات_الأساسية!G:G, MATCH(282, البيانات_الأساسية!$I:$I, 0)), $C$5), "")</f>
        <v>0</v>
      </c>
    </row>
    <row r="296" spans="2:9" s="4" customFormat="1" ht="20" customHeight="1">
      <c r="B296" s="2">
        <f>IF(C296="","", 283)</f>
        <v>0</v>
      </c>
      <c r="C296" s="2">
        <f>IFERROR(INDEX(البيانات_الأساسية!A:A, MATCH(283, البيانات_الأساسية!$I:$I, 0)), "")</f>
        <v>0</v>
      </c>
      <c r="D296" s="2">
        <f>IFERROR(INDEX(البيانات_الأساسية!B:B, MATCH(283, البيانات_الأساسية!$I:$I, 0)), "")</f>
        <v>0</v>
      </c>
      <c r="E296" s="2">
        <f>IFERROR(IF($C$5="الكل", INDEX(البيانات_الأساسية!D:D, MATCH(283, البيانات_الأساسية!$I:$I, 0)), INDEX(البيانات_الأساسية!$V:$AG, MATCH(283, البيانات_الأساسية!$I:$I, 0), VALUE($C$5))), "")</f>
        <v>0</v>
      </c>
      <c r="F296" s="2">
        <f>IFERROR(IF($C$5="الكل", INDEX(البيانات_الأساسية!C:C, MATCH(283, البيانات_الأساسية!$I:$I, 0)), INDEX(البيانات_الأساسية!$J:$U, MATCH(283, البيانات_الأساسية!$I:$I, 0), VALUE($C$5))), "")</f>
        <v>0</v>
      </c>
      <c r="G296" s="2">
        <f>IFERROR(ROUND(F296/60, 2), "")</f>
        <v>0</v>
      </c>
      <c r="H296" s="2">
        <f>IFERROR(ROUND(F296/E296, 2), "")</f>
        <v>0</v>
      </c>
      <c r="I296" s="2">
        <f>IFERROR(IF($C$5="الكل", INDEX(البيانات_الأساسية!G:G, MATCH(283, البيانات_الأساسية!$I:$I, 0)), $C$5), "")</f>
        <v>0</v>
      </c>
    </row>
    <row r="297" spans="2:9" s="4" customFormat="1" ht="20" customHeight="1">
      <c r="B297" s="2">
        <f>IF(C297="","", 284)</f>
        <v>0</v>
      </c>
      <c r="C297" s="2">
        <f>IFERROR(INDEX(البيانات_الأساسية!A:A, MATCH(284, البيانات_الأساسية!$I:$I, 0)), "")</f>
        <v>0</v>
      </c>
      <c r="D297" s="2">
        <f>IFERROR(INDEX(البيانات_الأساسية!B:B, MATCH(284, البيانات_الأساسية!$I:$I, 0)), "")</f>
        <v>0</v>
      </c>
      <c r="E297" s="2">
        <f>IFERROR(IF($C$5="الكل", INDEX(البيانات_الأساسية!D:D, MATCH(284, البيانات_الأساسية!$I:$I, 0)), INDEX(البيانات_الأساسية!$V:$AG, MATCH(284, البيانات_الأساسية!$I:$I, 0), VALUE($C$5))), "")</f>
        <v>0</v>
      </c>
      <c r="F297" s="2">
        <f>IFERROR(IF($C$5="الكل", INDEX(البيانات_الأساسية!C:C, MATCH(284, البيانات_الأساسية!$I:$I, 0)), INDEX(البيانات_الأساسية!$J:$U, MATCH(284, البيانات_الأساسية!$I:$I, 0), VALUE($C$5))), "")</f>
        <v>0</v>
      </c>
      <c r="G297" s="2">
        <f>IFERROR(ROUND(F297/60, 2), "")</f>
        <v>0</v>
      </c>
      <c r="H297" s="2">
        <f>IFERROR(ROUND(F297/E297, 2), "")</f>
        <v>0</v>
      </c>
      <c r="I297" s="2">
        <f>IFERROR(IF($C$5="الكل", INDEX(البيانات_الأساسية!G:G, MATCH(284, البيانات_الأساسية!$I:$I, 0)), $C$5), "")</f>
        <v>0</v>
      </c>
    </row>
    <row r="298" spans="2:9" s="4" customFormat="1" ht="20" customHeight="1">
      <c r="B298" s="2">
        <f>IF(C298="","", 285)</f>
        <v>0</v>
      </c>
      <c r="C298" s="2">
        <f>IFERROR(INDEX(البيانات_الأساسية!A:A, MATCH(285, البيانات_الأساسية!$I:$I, 0)), "")</f>
        <v>0</v>
      </c>
      <c r="D298" s="2">
        <f>IFERROR(INDEX(البيانات_الأساسية!B:B, MATCH(285, البيانات_الأساسية!$I:$I, 0)), "")</f>
        <v>0</v>
      </c>
      <c r="E298" s="2">
        <f>IFERROR(IF($C$5="الكل", INDEX(البيانات_الأساسية!D:D, MATCH(285, البيانات_الأساسية!$I:$I, 0)), INDEX(البيانات_الأساسية!$V:$AG, MATCH(285, البيانات_الأساسية!$I:$I, 0), VALUE($C$5))), "")</f>
        <v>0</v>
      </c>
      <c r="F298" s="2">
        <f>IFERROR(IF($C$5="الكل", INDEX(البيانات_الأساسية!C:C, MATCH(285, البيانات_الأساسية!$I:$I, 0)), INDEX(البيانات_الأساسية!$J:$U, MATCH(285, البيانات_الأساسية!$I:$I, 0), VALUE($C$5))), "")</f>
        <v>0</v>
      </c>
      <c r="G298" s="2">
        <f>IFERROR(ROUND(F298/60, 2), "")</f>
        <v>0</v>
      </c>
      <c r="H298" s="2">
        <f>IFERROR(ROUND(F298/E298, 2), "")</f>
        <v>0</v>
      </c>
      <c r="I298" s="2">
        <f>IFERROR(IF($C$5="الكل", INDEX(البيانات_الأساسية!G:G, MATCH(285, البيانات_الأساسية!$I:$I, 0)), $C$5), "")</f>
        <v>0</v>
      </c>
    </row>
    <row r="299" spans="2:9" s="4" customFormat="1" ht="20" customHeight="1">
      <c r="B299" s="2">
        <f>IF(C299="","", 286)</f>
        <v>0</v>
      </c>
      <c r="C299" s="2">
        <f>IFERROR(INDEX(البيانات_الأساسية!A:A, MATCH(286, البيانات_الأساسية!$I:$I, 0)), "")</f>
        <v>0</v>
      </c>
      <c r="D299" s="2">
        <f>IFERROR(INDEX(البيانات_الأساسية!B:B, MATCH(286, البيانات_الأساسية!$I:$I, 0)), "")</f>
        <v>0</v>
      </c>
      <c r="E299" s="2">
        <f>IFERROR(IF($C$5="الكل", INDEX(البيانات_الأساسية!D:D, MATCH(286, البيانات_الأساسية!$I:$I, 0)), INDEX(البيانات_الأساسية!$V:$AG, MATCH(286, البيانات_الأساسية!$I:$I, 0), VALUE($C$5))), "")</f>
        <v>0</v>
      </c>
      <c r="F299" s="2">
        <f>IFERROR(IF($C$5="الكل", INDEX(البيانات_الأساسية!C:C, MATCH(286, البيانات_الأساسية!$I:$I, 0)), INDEX(البيانات_الأساسية!$J:$U, MATCH(286, البيانات_الأساسية!$I:$I, 0), VALUE($C$5))), "")</f>
        <v>0</v>
      </c>
      <c r="G299" s="2">
        <f>IFERROR(ROUND(F299/60, 2), "")</f>
        <v>0</v>
      </c>
      <c r="H299" s="2">
        <f>IFERROR(ROUND(F299/E299, 2), "")</f>
        <v>0</v>
      </c>
      <c r="I299" s="2">
        <f>IFERROR(IF($C$5="الكل", INDEX(البيانات_الأساسية!G:G, MATCH(286, البيانات_الأساسية!$I:$I, 0)), $C$5), "")</f>
        <v>0</v>
      </c>
    </row>
    <row r="300" spans="2:9" s="4" customFormat="1" ht="20" customHeight="1">
      <c r="B300" s="2">
        <f>IF(C300="","", 287)</f>
        <v>0</v>
      </c>
      <c r="C300" s="2">
        <f>IFERROR(INDEX(البيانات_الأساسية!A:A, MATCH(287, البيانات_الأساسية!$I:$I, 0)), "")</f>
        <v>0</v>
      </c>
      <c r="D300" s="2">
        <f>IFERROR(INDEX(البيانات_الأساسية!B:B, MATCH(287, البيانات_الأساسية!$I:$I, 0)), "")</f>
        <v>0</v>
      </c>
      <c r="E300" s="2">
        <f>IFERROR(IF($C$5="الكل", INDEX(البيانات_الأساسية!D:D, MATCH(287, البيانات_الأساسية!$I:$I, 0)), INDEX(البيانات_الأساسية!$V:$AG, MATCH(287, البيانات_الأساسية!$I:$I, 0), VALUE($C$5))), "")</f>
        <v>0</v>
      </c>
      <c r="F300" s="2">
        <f>IFERROR(IF($C$5="الكل", INDEX(البيانات_الأساسية!C:C, MATCH(287, البيانات_الأساسية!$I:$I, 0)), INDEX(البيانات_الأساسية!$J:$U, MATCH(287, البيانات_الأساسية!$I:$I, 0), VALUE($C$5))), "")</f>
        <v>0</v>
      </c>
      <c r="G300" s="2">
        <f>IFERROR(ROUND(F300/60, 2), "")</f>
        <v>0</v>
      </c>
      <c r="H300" s="2">
        <f>IFERROR(ROUND(F300/E300, 2), "")</f>
        <v>0</v>
      </c>
      <c r="I300" s="2">
        <f>IFERROR(IF($C$5="الكل", INDEX(البيانات_الأساسية!G:G, MATCH(287, البيانات_الأساسية!$I:$I, 0)), $C$5), "")</f>
        <v>0</v>
      </c>
    </row>
    <row r="301" spans="2:9" s="4" customFormat="1" ht="20" customHeight="1">
      <c r="B301" s="2">
        <f>IF(C301="","", 288)</f>
        <v>0</v>
      </c>
      <c r="C301" s="2">
        <f>IFERROR(INDEX(البيانات_الأساسية!A:A, MATCH(288, البيانات_الأساسية!$I:$I, 0)), "")</f>
        <v>0</v>
      </c>
      <c r="D301" s="2">
        <f>IFERROR(INDEX(البيانات_الأساسية!B:B, MATCH(288, البيانات_الأساسية!$I:$I, 0)), "")</f>
        <v>0</v>
      </c>
      <c r="E301" s="2">
        <f>IFERROR(IF($C$5="الكل", INDEX(البيانات_الأساسية!D:D, MATCH(288, البيانات_الأساسية!$I:$I, 0)), INDEX(البيانات_الأساسية!$V:$AG, MATCH(288, البيانات_الأساسية!$I:$I, 0), VALUE($C$5))), "")</f>
        <v>0</v>
      </c>
      <c r="F301" s="2">
        <f>IFERROR(IF($C$5="الكل", INDEX(البيانات_الأساسية!C:C, MATCH(288, البيانات_الأساسية!$I:$I, 0)), INDEX(البيانات_الأساسية!$J:$U, MATCH(288, البيانات_الأساسية!$I:$I, 0), VALUE($C$5))), "")</f>
        <v>0</v>
      </c>
      <c r="G301" s="2">
        <f>IFERROR(ROUND(F301/60, 2), "")</f>
        <v>0</v>
      </c>
      <c r="H301" s="2">
        <f>IFERROR(ROUND(F301/E301, 2), "")</f>
        <v>0</v>
      </c>
      <c r="I301" s="2">
        <f>IFERROR(IF($C$5="الكل", INDEX(البيانات_الأساسية!G:G, MATCH(288, البيانات_الأساسية!$I:$I, 0)), $C$5), "")</f>
        <v>0</v>
      </c>
    </row>
    <row r="302" spans="2:9" s="4" customFormat="1" ht="20" customHeight="1">
      <c r="B302" s="2">
        <f>IF(C302="","", 289)</f>
        <v>0</v>
      </c>
      <c r="C302" s="2">
        <f>IFERROR(INDEX(البيانات_الأساسية!A:A, MATCH(289, البيانات_الأساسية!$I:$I, 0)), "")</f>
        <v>0</v>
      </c>
      <c r="D302" s="2">
        <f>IFERROR(INDEX(البيانات_الأساسية!B:B, MATCH(289, البيانات_الأساسية!$I:$I, 0)), "")</f>
        <v>0</v>
      </c>
      <c r="E302" s="2">
        <f>IFERROR(IF($C$5="الكل", INDEX(البيانات_الأساسية!D:D, MATCH(289, البيانات_الأساسية!$I:$I, 0)), INDEX(البيانات_الأساسية!$V:$AG, MATCH(289, البيانات_الأساسية!$I:$I, 0), VALUE($C$5))), "")</f>
        <v>0</v>
      </c>
      <c r="F302" s="2">
        <f>IFERROR(IF($C$5="الكل", INDEX(البيانات_الأساسية!C:C, MATCH(289, البيانات_الأساسية!$I:$I, 0)), INDEX(البيانات_الأساسية!$J:$U, MATCH(289, البيانات_الأساسية!$I:$I, 0), VALUE($C$5))), "")</f>
        <v>0</v>
      </c>
      <c r="G302" s="2">
        <f>IFERROR(ROUND(F302/60, 2), "")</f>
        <v>0</v>
      </c>
      <c r="H302" s="2">
        <f>IFERROR(ROUND(F302/E302, 2), "")</f>
        <v>0</v>
      </c>
      <c r="I302" s="2">
        <f>IFERROR(IF($C$5="الكل", INDEX(البيانات_الأساسية!G:G, MATCH(289, البيانات_الأساسية!$I:$I, 0)), $C$5), "")</f>
        <v>0</v>
      </c>
    </row>
    <row r="303" spans="2:9" s="4" customFormat="1" ht="20" customHeight="1">
      <c r="B303" s="2">
        <f>IF(C303="","", 290)</f>
        <v>0</v>
      </c>
      <c r="C303" s="2">
        <f>IFERROR(INDEX(البيانات_الأساسية!A:A, MATCH(290, البيانات_الأساسية!$I:$I, 0)), "")</f>
        <v>0</v>
      </c>
      <c r="D303" s="2">
        <f>IFERROR(INDEX(البيانات_الأساسية!B:B, MATCH(290, البيانات_الأساسية!$I:$I, 0)), "")</f>
        <v>0</v>
      </c>
      <c r="E303" s="2">
        <f>IFERROR(IF($C$5="الكل", INDEX(البيانات_الأساسية!D:D, MATCH(290, البيانات_الأساسية!$I:$I, 0)), INDEX(البيانات_الأساسية!$V:$AG, MATCH(290, البيانات_الأساسية!$I:$I, 0), VALUE($C$5))), "")</f>
        <v>0</v>
      </c>
      <c r="F303" s="2">
        <f>IFERROR(IF($C$5="الكل", INDEX(البيانات_الأساسية!C:C, MATCH(290, البيانات_الأساسية!$I:$I, 0)), INDEX(البيانات_الأساسية!$J:$U, MATCH(290, البيانات_الأساسية!$I:$I, 0), VALUE($C$5))), "")</f>
        <v>0</v>
      </c>
      <c r="G303" s="2">
        <f>IFERROR(ROUND(F303/60, 2), "")</f>
        <v>0</v>
      </c>
      <c r="H303" s="2">
        <f>IFERROR(ROUND(F303/E303, 2), "")</f>
        <v>0</v>
      </c>
      <c r="I303" s="2">
        <f>IFERROR(IF($C$5="الكل", INDEX(البيانات_الأساسية!G:G, MATCH(290, البيانات_الأساسية!$I:$I, 0)), $C$5), "")</f>
        <v>0</v>
      </c>
    </row>
    <row r="304" spans="2:9" s="4" customFormat="1" ht="20" customHeight="1">
      <c r="B304" s="2">
        <f>IF(C304="","", 291)</f>
        <v>0</v>
      </c>
      <c r="C304" s="2">
        <f>IFERROR(INDEX(البيانات_الأساسية!A:A, MATCH(291, البيانات_الأساسية!$I:$I, 0)), "")</f>
        <v>0</v>
      </c>
      <c r="D304" s="2">
        <f>IFERROR(INDEX(البيانات_الأساسية!B:B, MATCH(291, البيانات_الأساسية!$I:$I, 0)), "")</f>
        <v>0</v>
      </c>
      <c r="E304" s="2">
        <f>IFERROR(IF($C$5="الكل", INDEX(البيانات_الأساسية!D:D, MATCH(291, البيانات_الأساسية!$I:$I, 0)), INDEX(البيانات_الأساسية!$V:$AG, MATCH(291, البيانات_الأساسية!$I:$I, 0), VALUE($C$5))), "")</f>
        <v>0</v>
      </c>
      <c r="F304" s="2">
        <f>IFERROR(IF($C$5="الكل", INDEX(البيانات_الأساسية!C:C, MATCH(291, البيانات_الأساسية!$I:$I, 0)), INDEX(البيانات_الأساسية!$J:$U, MATCH(291, البيانات_الأساسية!$I:$I, 0), VALUE($C$5))), "")</f>
        <v>0</v>
      </c>
      <c r="G304" s="2">
        <f>IFERROR(ROUND(F304/60, 2), "")</f>
        <v>0</v>
      </c>
      <c r="H304" s="2">
        <f>IFERROR(ROUND(F304/E304, 2), "")</f>
        <v>0</v>
      </c>
      <c r="I304" s="2">
        <f>IFERROR(IF($C$5="الكل", INDEX(البيانات_الأساسية!G:G, MATCH(291, البيانات_الأساسية!$I:$I, 0)), $C$5), "")</f>
        <v>0</v>
      </c>
    </row>
    <row r="305" spans="2:9" s="4" customFormat="1" ht="20" customHeight="1">
      <c r="B305" s="2">
        <f>IF(C305="","", 292)</f>
        <v>0</v>
      </c>
      <c r="C305" s="2">
        <f>IFERROR(INDEX(البيانات_الأساسية!A:A, MATCH(292, البيانات_الأساسية!$I:$I, 0)), "")</f>
        <v>0</v>
      </c>
      <c r="D305" s="2">
        <f>IFERROR(INDEX(البيانات_الأساسية!B:B, MATCH(292, البيانات_الأساسية!$I:$I, 0)), "")</f>
        <v>0</v>
      </c>
      <c r="E305" s="2">
        <f>IFERROR(IF($C$5="الكل", INDEX(البيانات_الأساسية!D:D, MATCH(292, البيانات_الأساسية!$I:$I, 0)), INDEX(البيانات_الأساسية!$V:$AG, MATCH(292, البيانات_الأساسية!$I:$I, 0), VALUE($C$5))), "")</f>
        <v>0</v>
      </c>
      <c r="F305" s="2">
        <f>IFERROR(IF($C$5="الكل", INDEX(البيانات_الأساسية!C:C, MATCH(292, البيانات_الأساسية!$I:$I, 0)), INDEX(البيانات_الأساسية!$J:$U, MATCH(292, البيانات_الأساسية!$I:$I, 0), VALUE($C$5))), "")</f>
        <v>0</v>
      </c>
      <c r="G305" s="2">
        <f>IFERROR(ROUND(F305/60, 2), "")</f>
        <v>0</v>
      </c>
      <c r="H305" s="2">
        <f>IFERROR(ROUND(F305/E305, 2), "")</f>
        <v>0</v>
      </c>
      <c r="I305" s="2">
        <f>IFERROR(IF($C$5="الكل", INDEX(البيانات_الأساسية!G:G, MATCH(292, البيانات_الأساسية!$I:$I, 0)), $C$5), "")</f>
        <v>0</v>
      </c>
    </row>
    <row r="306" spans="2:9" s="4" customFormat="1" ht="20" customHeight="1">
      <c r="B306" s="2">
        <f>IF(C306="","", 293)</f>
        <v>0</v>
      </c>
      <c r="C306" s="2">
        <f>IFERROR(INDEX(البيانات_الأساسية!A:A, MATCH(293, البيانات_الأساسية!$I:$I, 0)), "")</f>
        <v>0</v>
      </c>
      <c r="D306" s="2">
        <f>IFERROR(INDEX(البيانات_الأساسية!B:B, MATCH(293, البيانات_الأساسية!$I:$I, 0)), "")</f>
        <v>0</v>
      </c>
      <c r="E306" s="2">
        <f>IFERROR(IF($C$5="الكل", INDEX(البيانات_الأساسية!D:D, MATCH(293, البيانات_الأساسية!$I:$I, 0)), INDEX(البيانات_الأساسية!$V:$AG, MATCH(293, البيانات_الأساسية!$I:$I, 0), VALUE($C$5))), "")</f>
        <v>0</v>
      </c>
      <c r="F306" s="2">
        <f>IFERROR(IF($C$5="الكل", INDEX(البيانات_الأساسية!C:C, MATCH(293, البيانات_الأساسية!$I:$I, 0)), INDEX(البيانات_الأساسية!$J:$U, MATCH(293, البيانات_الأساسية!$I:$I, 0), VALUE($C$5))), "")</f>
        <v>0</v>
      </c>
      <c r="G306" s="2">
        <f>IFERROR(ROUND(F306/60, 2), "")</f>
        <v>0</v>
      </c>
      <c r="H306" s="2">
        <f>IFERROR(ROUND(F306/E306, 2), "")</f>
        <v>0</v>
      </c>
      <c r="I306" s="2">
        <f>IFERROR(IF($C$5="الكل", INDEX(البيانات_الأساسية!G:G, MATCH(293, البيانات_الأساسية!$I:$I, 0)), $C$5), "")</f>
        <v>0</v>
      </c>
    </row>
    <row r="307" spans="2:9" s="4" customFormat="1" ht="20" customHeight="1">
      <c r="B307" s="2">
        <f>IF(C307="","", 294)</f>
        <v>0</v>
      </c>
      <c r="C307" s="2">
        <f>IFERROR(INDEX(البيانات_الأساسية!A:A, MATCH(294, البيانات_الأساسية!$I:$I, 0)), "")</f>
        <v>0</v>
      </c>
      <c r="D307" s="2">
        <f>IFERROR(INDEX(البيانات_الأساسية!B:B, MATCH(294, البيانات_الأساسية!$I:$I, 0)), "")</f>
        <v>0</v>
      </c>
      <c r="E307" s="2">
        <f>IFERROR(IF($C$5="الكل", INDEX(البيانات_الأساسية!D:D, MATCH(294, البيانات_الأساسية!$I:$I, 0)), INDEX(البيانات_الأساسية!$V:$AG, MATCH(294, البيانات_الأساسية!$I:$I, 0), VALUE($C$5))), "")</f>
        <v>0</v>
      </c>
      <c r="F307" s="2">
        <f>IFERROR(IF($C$5="الكل", INDEX(البيانات_الأساسية!C:C, MATCH(294, البيانات_الأساسية!$I:$I, 0)), INDEX(البيانات_الأساسية!$J:$U, MATCH(294, البيانات_الأساسية!$I:$I, 0), VALUE($C$5))), "")</f>
        <v>0</v>
      </c>
      <c r="G307" s="2">
        <f>IFERROR(ROUND(F307/60, 2), "")</f>
        <v>0</v>
      </c>
      <c r="H307" s="2">
        <f>IFERROR(ROUND(F307/E307, 2), "")</f>
        <v>0</v>
      </c>
      <c r="I307" s="2">
        <f>IFERROR(IF($C$5="الكل", INDEX(البيانات_الأساسية!G:G, MATCH(294, البيانات_الأساسية!$I:$I, 0)), $C$5), "")</f>
        <v>0</v>
      </c>
    </row>
    <row r="308" spans="2:9" s="4" customFormat="1" ht="20" customHeight="1">
      <c r="B308" s="2">
        <f>IF(C308="","", 295)</f>
        <v>0</v>
      </c>
      <c r="C308" s="2">
        <f>IFERROR(INDEX(البيانات_الأساسية!A:A, MATCH(295, البيانات_الأساسية!$I:$I, 0)), "")</f>
        <v>0</v>
      </c>
      <c r="D308" s="2">
        <f>IFERROR(INDEX(البيانات_الأساسية!B:B, MATCH(295, البيانات_الأساسية!$I:$I, 0)), "")</f>
        <v>0</v>
      </c>
      <c r="E308" s="2">
        <f>IFERROR(IF($C$5="الكل", INDEX(البيانات_الأساسية!D:D, MATCH(295, البيانات_الأساسية!$I:$I, 0)), INDEX(البيانات_الأساسية!$V:$AG, MATCH(295, البيانات_الأساسية!$I:$I, 0), VALUE($C$5))), "")</f>
        <v>0</v>
      </c>
      <c r="F308" s="2">
        <f>IFERROR(IF($C$5="الكل", INDEX(البيانات_الأساسية!C:C, MATCH(295, البيانات_الأساسية!$I:$I, 0)), INDEX(البيانات_الأساسية!$J:$U, MATCH(295, البيانات_الأساسية!$I:$I, 0), VALUE($C$5))), "")</f>
        <v>0</v>
      </c>
      <c r="G308" s="2">
        <f>IFERROR(ROUND(F308/60, 2), "")</f>
        <v>0</v>
      </c>
      <c r="H308" s="2">
        <f>IFERROR(ROUND(F308/E308, 2), "")</f>
        <v>0</v>
      </c>
      <c r="I308" s="2">
        <f>IFERROR(IF($C$5="الكل", INDEX(البيانات_الأساسية!G:G, MATCH(295, البيانات_الأساسية!$I:$I, 0)), $C$5), "")</f>
        <v>0</v>
      </c>
    </row>
    <row r="309" spans="2:9" s="4" customFormat="1" ht="20" customHeight="1">
      <c r="B309" s="2">
        <f>IF(C309="","", 296)</f>
        <v>0</v>
      </c>
      <c r="C309" s="2">
        <f>IFERROR(INDEX(البيانات_الأساسية!A:A, MATCH(296, البيانات_الأساسية!$I:$I, 0)), "")</f>
        <v>0</v>
      </c>
      <c r="D309" s="2">
        <f>IFERROR(INDEX(البيانات_الأساسية!B:B, MATCH(296, البيانات_الأساسية!$I:$I, 0)), "")</f>
        <v>0</v>
      </c>
      <c r="E309" s="2">
        <f>IFERROR(IF($C$5="الكل", INDEX(البيانات_الأساسية!D:D, MATCH(296, البيانات_الأساسية!$I:$I, 0)), INDEX(البيانات_الأساسية!$V:$AG, MATCH(296, البيانات_الأساسية!$I:$I, 0), VALUE($C$5))), "")</f>
        <v>0</v>
      </c>
      <c r="F309" s="2">
        <f>IFERROR(IF($C$5="الكل", INDEX(البيانات_الأساسية!C:C, MATCH(296, البيانات_الأساسية!$I:$I, 0)), INDEX(البيانات_الأساسية!$J:$U, MATCH(296, البيانات_الأساسية!$I:$I, 0), VALUE($C$5))), "")</f>
        <v>0</v>
      </c>
      <c r="G309" s="2">
        <f>IFERROR(ROUND(F309/60, 2), "")</f>
        <v>0</v>
      </c>
      <c r="H309" s="2">
        <f>IFERROR(ROUND(F309/E309, 2), "")</f>
        <v>0</v>
      </c>
      <c r="I309" s="2">
        <f>IFERROR(IF($C$5="الكل", INDEX(البيانات_الأساسية!G:G, MATCH(296, البيانات_الأساسية!$I:$I, 0)), $C$5), "")</f>
        <v>0</v>
      </c>
    </row>
    <row r="310" spans="2:9" s="4" customFormat="1" ht="20" customHeight="1">
      <c r="B310" s="2">
        <f>IF(C310="","", 297)</f>
        <v>0</v>
      </c>
      <c r="C310" s="2">
        <f>IFERROR(INDEX(البيانات_الأساسية!A:A, MATCH(297, البيانات_الأساسية!$I:$I, 0)), "")</f>
        <v>0</v>
      </c>
      <c r="D310" s="2">
        <f>IFERROR(INDEX(البيانات_الأساسية!B:B, MATCH(297, البيانات_الأساسية!$I:$I, 0)), "")</f>
        <v>0</v>
      </c>
      <c r="E310" s="2">
        <f>IFERROR(IF($C$5="الكل", INDEX(البيانات_الأساسية!D:D, MATCH(297, البيانات_الأساسية!$I:$I, 0)), INDEX(البيانات_الأساسية!$V:$AG, MATCH(297, البيانات_الأساسية!$I:$I, 0), VALUE($C$5))), "")</f>
        <v>0</v>
      </c>
      <c r="F310" s="2">
        <f>IFERROR(IF($C$5="الكل", INDEX(البيانات_الأساسية!C:C, MATCH(297, البيانات_الأساسية!$I:$I, 0)), INDEX(البيانات_الأساسية!$J:$U, MATCH(297, البيانات_الأساسية!$I:$I, 0), VALUE($C$5))), "")</f>
        <v>0</v>
      </c>
      <c r="G310" s="2">
        <f>IFERROR(ROUND(F310/60, 2), "")</f>
        <v>0</v>
      </c>
      <c r="H310" s="2">
        <f>IFERROR(ROUND(F310/E310, 2), "")</f>
        <v>0</v>
      </c>
      <c r="I310" s="2">
        <f>IFERROR(IF($C$5="الكل", INDEX(البيانات_الأساسية!G:G, MATCH(297, البيانات_الأساسية!$I:$I, 0)), $C$5), "")</f>
        <v>0</v>
      </c>
    </row>
    <row r="311" spans="2:9" s="4" customFormat="1" ht="20" customHeight="1">
      <c r="B311" s="2">
        <f>IF(C311="","", 298)</f>
        <v>0</v>
      </c>
      <c r="C311" s="2">
        <f>IFERROR(INDEX(البيانات_الأساسية!A:A, MATCH(298, البيانات_الأساسية!$I:$I, 0)), "")</f>
        <v>0</v>
      </c>
      <c r="D311" s="2">
        <f>IFERROR(INDEX(البيانات_الأساسية!B:B, MATCH(298, البيانات_الأساسية!$I:$I, 0)), "")</f>
        <v>0</v>
      </c>
      <c r="E311" s="2">
        <f>IFERROR(IF($C$5="الكل", INDEX(البيانات_الأساسية!D:D, MATCH(298, البيانات_الأساسية!$I:$I, 0)), INDEX(البيانات_الأساسية!$V:$AG, MATCH(298, البيانات_الأساسية!$I:$I, 0), VALUE($C$5))), "")</f>
        <v>0</v>
      </c>
      <c r="F311" s="2">
        <f>IFERROR(IF($C$5="الكل", INDEX(البيانات_الأساسية!C:C, MATCH(298, البيانات_الأساسية!$I:$I, 0)), INDEX(البيانات_الأساسية!$J:$U, MATCH(298, البيانات_الأساسية!$I:$I, 0), VALUE($C$5))), "")</f>
        <v>0</v>
      </c>
      <c r="G311" s="2">
        <f>IFERROR(ROUND(F311/60, 2), "")</f>
        <v>0</v>
      </c>
      <c r="H311" s="2">
        <f>IFERROR(ROUND(F311/E311, 2), "")</f>
        <v>0</v>
      </c>
      <c r="I311" s="2">
        <f>IFERROR(IF($C$5="الكل", INDEX(البيانات_الأساسية!G:G, MATCH(298, البيانات_الأساسية!$I:$I, 0)), $C$5), "")</f>
        <v>0</v>
      </c>
    </row>
    <row r="312" spans="2:9" s="4" customFormat="1" ht="20" customHeight="1">
      <c r="B312" s="2">
        <f>IF(C312="","", 299)</f>
        <v>0</v>
      </c>
      <c r="C312" s="2">
        <f>IFERROR(INDEX(البيانات_الأساسية!A:A, MATCH(299, البيانات_الأساسية!$I:$I, 0)), "")</f>
        <v>0</v>
      </c>
      <c r="D312" s="2">
        <f>IFERROR(INDEX(البيانات_الأساسية!B:B, MATCH(299, البيانات_الأساسية!$I:$I, 0)), "")</f>
        <v>0</v>
      </c>
      <c r="E312" s="2">
        <f>IFERROR(IF($C$5="الكل", INDEX(البيانات_الأساسية!D:D, MATCH(299, البيانات_الأساسية!$I:$I, 0)), INDEX(البيانات_الأساسية!$V:$AG, MATCH(299, البيانات_الأساسية!$I:$I, 0), VALUE($C$5))), "")</f>
        <v>0</v>
      </c>
      <c r="F312" s="2">
        <f>IFERROR(IF($C$5="الكل", INDEX(البيانات_الأساسية!C:C, MATCH(299, البيانات_الأساسية!$I:$I, 0)), INDEX(البيانات_الأساسية!$J:$U, MATCH(299, البيانات_الأساسية!$I:$I, 0), VALUE($C$5))), "")</f>
        <v>0</v>
      </c>
      <c r="G312" s="2">
        <f>IFERROR(ROUND(F312/60, 2), "")</f>
        <v>0</v>
      </c>
      <c r="H312" s="2">
        <f>IFERROR(ROUND(F312/E312, 2), "")</f>
        <v>0</v>
      </c>
      <c r="I312" s="2">
        <f>IFERROR(IF($C$5="الكل", INDEX(البيانات_الأساسية!G:G, MATCH(299, البيانات_الأساسية!$I:$I, 0)), $C$5), "")</f>
        <v>0</v>
      </c>
    </row>
    <row r="313" spans="2:9" s="4" customFormat="1" ht="20" customHeight="1">
      <c r="B313" s="2">
        <f>IF(C313="","", 300)</f>
        <v>0</v>
      </c>
      <c r="C313" s="2">
        <f>IFERROR(INDEX(البيانات_الأساسية!A:A, MATCH(300, البيانات_الأساسية!$I:$I, 0)), "")</f>
        <v>0</v>
      </c>
      <c r="D313" s="2">
        <f>IFERROR(INDEX(البيانات_الأساسية!B:B, MATCH(300, البيانات_الأساسية!$I:$I, 0)), "")</f>
        <v>0</v>
      </c>
      <c r="E313" s="2">
        <f>IFERROR(IF($C$5="الكل", INDEX(البيانات_الأساسية!D:D, MATCH(300, البيانات_الأساسية!$I:$I, 0)), INDEX(البيانات_الأساسية!$V:$AG, MATCH(300, البيانات_الأساسية!$I:$I, 0), VALUE($C$5))), "")</f>
        <v>0</v>
      </c>
      <c r="F313" s="2">
        <f>IFERROR(IF($C$5="الكل", INDEX(البيانات_الأساسية!C:C, MATCH(300, البيانات_الأساسية!$I:$I, 0)), INDEX(البيانات_الأساسية!$J:$U, MATCH(300, البيانات_الأساسية!$I:$I, 0), VALUE($C$5))), "")</f>
        <v>0</v>
      </c>
      <c r="G313" s="2">
        <f>IFERROR(ROUND(F313/60, 2), "")</f>
        <v>0</v>
      </c>
      <c r="H313" s="2">
        <f>IFERROR(ROUND(F313/E313, 2), "")</f>
        <v>0</v>
      </c>
      <c r="I313" s="2">
        <f>IFERROR(IF($C$5="الكل", INDEX(البيانات_الأساسية!G:G, MATCH(300, البيانات_الأساسية!$I:$I, 0)), $C$5), "")</f>
        <v>0</v>
      </c>
    </row>
    <row r="314" spans="2:9" s="4" customFormat="1" ht="20" customHeight="1">
      <c r="B314" s="2">
        <f>IF(C314="","", 301)</f>
        <v>0</v>
      </c>
      <c r="C314" s="2">
        <f>IFERROR(INDEX(البيانات_الأساسية!A:A, MATCH(301, البيانات_الأساسية!$I:$I, 0)), "")</f>
        <v>0</v>
      </c>
      <c r="D314" s="2">
        <f>IFERROR(INDEX(البيانات_الأساسية!B:B, MATCH(301, البيانات_الأساسية!$I:$I, 0)), "")</f>
        <v>0</v>
      </c>
      <c r="E314" s="2">
        <f>IFERROR(IF($C$5="الكل", INDEX(البيانات_الأساسية!D:D, MATCH(301, البيانات_الأساسية!$I:$I, 0)), INDEX(البيانات_الأساسية!$V:$AG, MATCH(301, البيانات_الأساسية!$I:$I, 0), VALUE($C$5))), "")</f>
        <v>0</v>
      </c>
      <c r="F314" s="2">
        <f>IFERROR(IF($C$5="الكل", INDEX(البيانات_الأساسية!C:C, MATCH(301, البيانات_الأساسية!$I:$I, 0)), INDEX(البيانات_الأساسية!$J:$U, MATCH(301, البيانات_الأساسية!$I:$I, 0), VALUE($C$5))), "")</f>
        <v>0</v>
      </c>
      <c r="G314" s="2">
        <f>IFERROR(ROUND(F314/60, 2), "")</f>
        <v>0</v>
      </c>
      <c r="H314" s="2">
        <f>IFERROR(ROUND(F314/E314, 2), "")</f>
        <v>0</v>
      </c>
      <c r="I314" s="2">
        <f>IFERROR(IF($C$5="الكل", INDEX(البيانات_الأساسية!G:G, MATCH(301, البيانات_الأساسية!$I:$I, 0)), $C$5), "")</f>
        <v>0</v>
      </c>
    </row>
    <row r="315" spans="2:9" s="4" customFormat="1" ht="20" customHeight="1">
      <c r="B315" s="2">
        <f>IF(C315="","", 302)</f>
        <v>0</v>
      </c>
      <c r="C315" s="2">
        <f>IFERROR(INDEX(البيانات_الأساسية!A:A, MATCH(302, البيانات_الأساسية!$I:$I, 0)), "")</f>
        <v>0</v>
      </c>
      <c r="D315" s="2">
        <f>IFERROR(INDEX(البيانات_الأساسية!B:B, MATCH(302, البيانات_الأساسية!$I:$I, 0)), "")</f>
        <v>0</v>
      </c>
      <c r="E315" s="2">
        <f>IFERROR(IF($C$5="الكل", INDEX(البيانات_الأساسية!D:D, MATCH(302, البيانات_الأساسية!$I:$I, 0)), INDEX(البيانات_الأساسية!$V:$AG, MATCH(302, البيانات_الأساسية!$I:$I, 0), VALUE($C$5))), "")</f>
        <v>0</v>
      </c>
      <c r="F315" s="2">
        <f>IFERROR(IF($C$5="الكل", INDEX(البيانات_الأساسية!C:C, MATCH(302, البيانات_الأساسية!$I:$I, 0)), INDEX(البيانات_الأساسية!$J:$U, MATCH(302, البيانات_الأساسية!$I:$I, 0), VALUE($C$5))), "")</f>
        <v>0</v>
      </c>
      <c r="G315" s="2">
        <f>IFERROR(ROUND(F315/60, 2), "")</f>
        <v>0</v>
      </c>
      <c r="H315" s="2">
        <f>IFERROR(ROUND(F315/E315, 2), "")</f>
        <v>0</v>
      </c>
      <c r="I315" s="2">
        <f>IFERROR(IF($C$5="الكل", INDEX(البيانات_الأساسية!G:G, MATCH(302, البيانات_الأساسية!$I:$I, 0)), $C$5), "")</f>
        <v>0</v>
      </c>
    </row>
    <row r="316" spans="2:9" s="4" customFormat="1" ht="20" customHeight="1">
      <c r="B316" s="2">
        <f>IF(C316="","", 303)</f>
        <v>0</v>
      </c>
      <c r="C316" s="2">
        <f>IFERROR(INDEX(البيانات_الأساسية!A:A, MATCH(303, البيانات_الأساسية!$I:$I, 0)), "")</f>
        <v>0</v>
      </c>
      <c r="D316" s="2">
        <f>IFERROR(INDEX(البيانات_الأساسية!B:B, MATCH(303, البيانات_الأساسية!$I:$I, 0)), "")</f>
        <v>0</v>
      </c>
      <c r="E316" s="2">
        <f>IFERROR(IF($C$5="الكل", INDEX(البيانات_الأساسية!D:D, MATCH(303, البيانات_الأساسية!$I:$I, 0)), INDEX(البيانات_الأساسية!$V:$AG, MATCH(303, البيانات_الأساسية!$I:$I, 0), VALUE($C$5))), "")</f>
        <v>0</v>
      </c>
      <c r="F316" s="2">
        <f>IFERROR(IF($C$5="الكل", INDEX(البيانات_الأساسية!C:C, MATCH(303, البيانات_الأساسية!$I:$I, 0)), INDEX(البيانات_الأساسية!$J:$U, MATCH(303, البيانات_الأساسية!$I:$I, 0), VALUE($C$5))), "")</f>
        <v>0</v>
      </c>
      <c r="G316" s="2">
        <f>IFERROR(ROUND(F316/60, 2), "")</f>
        <v>0</v>
      </c>
      <c r="H316" s="2">
        <f>IFERROR(ROUND(F316/E316, 2), "")</f>
        <v>0</v>
      </c>
      <c r="I316" s="2">
        <f>IFERROR(IF($C$5="الكل", INDEX(البيانات_الأساسية!G:G, MATCH(303, البيانات_الأساسية!$I:$I, 0)), $C$5), "")</f>
        <v>0</v>
      </c>
    </row>
    <row r="317" spans="2:9" s="4" customFormat="1" ht="20" customHeight="1">
      <c r="B317" s="2">
        <f>IF(C317="","", 304)</f>
        <v>0</v>
      </c>
      <c r="C317" s="2">
        <f>IFERROR(INDEX(البيانات_الأساسية!A:A, MATCH(304, البيانات_الأساسية!$I:$I, 0)), "")</f>
        <v>0</v>
      </c>
      <c r="D317" s="2">
        <f>IFERROR(INDEX(البيانات_الأساسية!B:B, MATCH(304, البيانات_الأساسية!$I:$I, 0)), "")</f>
        <v>0</v>
      </c>
      <c r="E317" s="2">
        <f>IFERROR(IF($C$5="الكل", INDEX(البيانات_الأساسية!D:D, MATCH(304, البيانات_الأساسية!$I:$I, 0)), INDEX(البيانات_الأساسية!$V:$AG, MATCH(304, البيانات_الأساسية!$I:$I, 0), VALUE($C$5))), "")</f>
        <v>0</v>
      </c>
      <c r="F317" s="2">
        <f>IFERROR(IF($C$5="الكل", INDEX(البيانات_الأساسية!C:C, MATCH(304, البيانات_الأساسية!$I:$I, 0)), INDEX(البيانات_الأساسية!$J:$U, MATCH(304, البيانات_الأساسية!$I:$I, 0), VALUE($C$5))), "")</f>
        <v>0</v>
      </c>
      <c r="G317" s="2">
        <f>IFERROR(ROUND(F317/60, 2), "")</f>
        <v>0</v>
      </c>
      <c r="H317" s="2">
        <f>IFERROR(ROUND(F317/E317, 2), "")</f>
        <v>0</v>
      </c>
      <c r="I317" s="2">
        <f>IFERROR(IF($C$5="الكل", INDEX(البيانات_الأساسية!G:G, MATCH(304, البيانات_الأساسية!$I:$I, 0)), $C$5), "")</f>
        <v>0</v>
      </c>
    </row>
    <row r="318" spans="2:9" s="4" customFormat="1" ht="20" customHeight="1">
      <c r="B318" s="2">
        <f>IF(C318="","", 305)</f>
        <v>0</v>
      </c>
      <c r="C318" s="2">
        <f>IFERROR(INDEX(البيانات_الأساسية!A:A, MATCH(305, البيانات_الأساسية!$I:$I, 0)), "")</f>
        <v>0</v>
      </c>
      <c r="D318" s="2">
        <f>IFERROR(INDEX(البيانات_الأساسية!B:B, MATCH(305, البيانات_الأساسية!$I:$I, 0)), "")</f>
        <v>0</v>
      </c>
      <c r="E318" s="2">
        <f>IFERROR(IF($C$5="الكل", INDEX(البيانات_الأساسية!D:D, MATCH(305, البيانات_الأساسية!$I:$I, 0)), INDEX(البيانات_الأساسية!$V:$AG, MATCH(305, البيانات_الأساسية!$I:$I, 0), VALUE($C$5))), "")</f>
        <v>0</v>
      </c>
      <c r="F318" s="2">
        <f>IFERROR(IF($C$5="الكل", INDEX(البيانات_الأساسية!C:C, MATCH(305, البيانات_الأساسية!$I:$I, 0)), INDEX(البيانات_الأساسية!$J:$U, MATCH(305, البيانات_الأساسية!$I:$I, 0), VALUE($C$5))), "")</f>
        <v>0</v>
      </c>
      <c r="G318" s="2">
        <f>IFERROR(ROUND(F318/60, 2), "")</f>
        <v>0</v>
      </c>
      <c r="H318" s="2">
        <f>IFERROR(ROUND(F318/E318, 2), "")</f>
        <v>0</v>
      </c>
      <c r="I318" s="2">
        <f>IFERROR(IF($C$5="الكل", INDEX(البيانات_الأساسية!G:G, MATCH(305, البيانات_الأساسية!$I:$I, 0)), $C$5), "")</f>
        <v>0</v>
      </c>
    </row>
    <row r="319" spans="2:9" s="4" customFormat="1" ht="20" customHeight="1">
      <c r="B319" s="2">
        <f>IF(C319="","", 306)</f>
        <v>0</v>
      </c>
      <c r="C319" s="2">
        <f>IFERROR(INDEX(البيانات_الأساسية!A:A, MATCH(306, البيانات_الأساسية!$I:$I, 0)), "")</f>
        <v>0</v>
      </c>
      <c r="D319" s="2">
        <f>IFERROR(INDEX(البيانات_الأساسية!B:B, MATCH(306, البيانات_الأساسية!$I:$I, 0)), "")</f>
        <v>0</v>
      </c>
      <c r="E319" s="2">
        <f>IFERROR(IF($C$5="الكل", INDEX(البيانات_الأساسية!D:D, MATCH(306, البيانات_الأساسية!$I:$I, 0)), INDEX(البيانات_الأساسية!$V:$AG, MATCH(306, البيانات_الأساسية!$I:$I, 0), VALUE($C$5))), "")</f>
        <v>0</v>
      </c>
      <c r="F319" s="2">
        <f>IFERROR(IF($C$5="الكل", INDEX(البيانات_الأساسية!C:C, MATCH(306, البيانات_الأساسية!$I:$I, 0)), INDEX(البيانات_الأساسية!$J:$U, MATCH(306, البيانات_الأساسية!$I:$I, 0), VALUE($C$5))), "")</f>
        <v>0</v>
      </c>
      <c r="G319" s="2">
        <f>IFERROR(ROUND(F319/60, 2), "")</f>
        <v>0</v>
      </c>
      <c r="H319" s="2">
        <f>IFERROR(ROUND(F319/E319, 2), "")</f>
        <v>0</v>
      </c>
      <c r="I319" s="2">
        <f>IFERROR(IF($C$5="الكل", INDEX(البيانات_الأساسية!G:G, MATCH(306, البيانات_الأساسية!$I:$I, 0)), $C$5), "")</f>
        <v>0</v>
      </c>
    </row>
    <row r="320" spans="2:9" s="4" customFormat="1" ht="20" customHeight="1">
      <c r="B320" s="2">
        <f>IF(C320="","", 307)</f>
        <v>0</v>
      </c>
      <c r="C320" s="2">
        <f>IFERROR(INDEX(البيانات_الأساسية!A:A, MATCH(307, البيانات_الأساسية!$I:$I, 0)), "")</f>
        <v>0</v>
      </c>
      <c r="D320" s="2">
        <f>IFERROR(INDEX(البيانات_الأساسية!B:B, MATCH(307, البيانات_الأساسية!$I:$I, 0)), "")</f>
        <v>0</v>
      </c>
      <c r="E320" s="2">
        <f>IFERROR(IF($C$5="الكل", INDEX(البيانات_الأساسية!D:D, MATCH(307, البيانات_الأساسية!$I:$I, 0)), INDEX(البيانات_الأساسية!$V:$AG, MATCH(307, البيانات_الأساسية!$I:$I, 0), VALUE($C$5))), "")</f>
        <v>0</v>
      </c>
      <c r="F320" s="2">
        <f>IFERROR(IF($C$5="الكل", INDEX(البيانات_الأساسية!C:C, MATCH(307, البيانات_الأساسية!$I:$I, 0)), INDEX(البيانات_الأساسية!$J:$U, MATCH(307, البيانات_الأساسية!$I:$I, 0), VALUE($C$5))), "")</f>
        <v>0</v>
      </c>
      <c r="G320" s="2">
        <f>IFERROR(ROUND(F320/60, 2), "")</f>
        <v>0</v>
      </c>
      <c r="H320" s="2">
        <f>IFERROR(ROUND(F320/E320, 2), "")</f>
        <v>0</v>
      </c>
      <c r="I320" s="2">
        <f>IFERROR(IF($C$5="الكل", INDEX(البيانات_الأساسية!G:G, MATCH(307, البيانات_الأساسية!$I:$I, 0)), $C$5), "")</f>
        <v>0</v>
      </c>
    </row>
    <row r="321" spans="2:9" s="4" customFormat="1" ht="20" customHeight="1">
      <c r="B321" s="2">
        <f>IF(C321="","", 308)</f>
        <v>0</v>
      </c>
      <c r="C321" s="2">
        <f>IFERROR(INDEX(البيانات_الأساسية!A:A, MATCH(308, البيانات_الأساسية!$I:$I, 0)), "")</f>
        <v>0</v>
      </c>
      <c r="D321" s="2">
        <f>IFERROR(INDEX(البيانات_الأساسية!B:B, MATCH(308, البيانات_الأساسية!$I:$I, 0)), "")</f>
        <v>0</v>
      </c>
      <c r="E321" s="2">
        <f>IFERROR(IF($C$5="الكل", INDEX(البيانات_الأساسية!D:D, MATCH(308, البيانات_الأساسية!$I:$I, 0)), INDEX(البيانات_الأساسية!$V:$AG, MATCH(308, البيانات_الأساسية!$I:$I, 0), VALUE($C$5))), "")</f>
        <v>0</v>
      </c>
      <c r="F321" s="2">
        <f>IFERROR(IF($C$5="الكل", INDEX(البيانات_الأساسية!C:C, MATCH(308, البيانات_الأساسية!$I:$I, 0)), INDEX(البيانات_الأساسية!$J:$U, MATCH(308, البيانات_الأساسية!$I:$I, 0), VALUE($C$5))), "")</f>
        <v>0</v>
      </c>
      <c r="G321" s="2">
        <f>IFERROR(ROUND(F321/60, 2), "")</f>
        <v>0</v>
      </c>
      <c r="H321" s="2">
        <f>IFERROR(ROUND(F321/E321, 2), "")</f>
        <v>0</v>
      </c>
      <c r="I321" s="2">
        <f>IFERROR(IF($C$5="الكل", INDEX(البيانات_الأساسية!G:G, MATCH(308, البيانات_الأساسية!$I:$I, 0)), $C$5), "")</f>
        <v>0</v>
      </c>
    </row>
    <row r="322" spans="2:9" s="4" customFormat="1" ht="20" customHeight="1">
      <c r="B322" s="2">
        <f>IF(C322="","", 309)</f>
        <v>0</v>
      </c>
      <c r="C322" s="2">
        <f>IFERROR(INDEX(البيانات_الأساسية!A:A, MATCH(309, البيانات_الأساسية!$I:$I, 0)), "")</f>
        <v>0</v>
      </c>
      <c r="D322" s="2">
        <f>IFERROR(INDEX(البيانات_الأساسية!B:B, MATCH(309, البيانات_الأساسية!$I:$I, 0)), "")</f>
        <v>0</v>
      </c>
      <c r="E322" s="2">
        <f>IFERROR(IF($C$5="الكل", INDEX(البيانات_الأساسية!D:D, MATCH(309, البيانات_الأساسية!$I:$I, 0)), INDEX(البيانات_الأساسية!$V:$AG, MATCH(309, البيانات_الأساسية!$I:$I, 0), VALUE($C$5))), "")</f>
        <v>0</v>
      </c>
      <c r="F322" s="2">
        <f>IFERROR(IF($C$5="الكل", INDEX(البيانات_الأساسية!C:C, MATCH(309, البيانات_الأساسية!$I:$I, 0)), INDEX(البيانات_الأساسية!$J:$U, MATCH(309, البيانات_الأساسية!$I:$I, 0), VALUE($C$5))), "")</f>
        <v>0</v>
      </c>
      <c r="G322" s="2">
        <f>IFERROR(ROUND(F322/60, 2), "")</f>
        <v>0</v>
      </c>
      <c r="H322" s="2">
        <f>IFERROR(ROUND(F322/E322, 2), "")</f>
        <v>0</v>
      </c>
      <c r="I322" s="2">
        <f>IFERROR(IF($C$5="الكل", INDEX(البيانات_الأساسية!G:G, MATCH(309, البيانات_الأساسية!$I:$I, 0)), $C$5), "")</f>
        <v>0</v>
      </c>
    </row>
    <row r="323" spans="2:9" s="4" customFormat="1" ht="20" customHeight="1">
      <c r="B323" s="2">
        <f>IF(C323="","", 310)</f>
        <v>0</v>
      </c>
      <c r="C323" s="2">
        <f>IFERROR(INDEX(البيانات_الأساسية!A:A, MATCH(310, البيانات_الأساسية!$I:$I, 0)), "")</f>
        <v>0</v>
      </c>
      <c r="D323" s="2">
        <f>IFERROR(INDEX(البيانات_الأساسية!B:B, MATCH(310, البيانات_الأساسية!$I:$I, 0)), "")</f>
        <v>0</v>
      </c>
      <c r="E323" s="2">
        <f>IFERROR(IF($C$5="الكل", INDEX(البيانات_الأساسية!D:D, MATCH(310, البيانات_الأساسية!$I:$I, 0)), INDEX(البيانات_الأساسية!$V:$AG, MATCH(310, البيانات_الأساسية!$I:$I, 0), VALUE($C$5))), "")</f>
        <v>0</v>
      </c>
      <c r="F323" s="2">
        <f>IFERROR(IF($C$5="الكل", INDEX(البيانات_الأساسية!C:C, MATCH(310, البيانات_الأساسية!$I:$I, 0)), INDEX(البيانات_الأساسية!$J:$U, MATCH(310, البيانات_الأساسية!$I:$I, 0), VALUE($C$5))), "")</f>
        <v>0</v>
      </c>
      <c r="G323" s="2">
        <f>IFERROR(ROUND(F323/60, 2), "")</f>
        <v>0</v>
      </c>
      <c r="H323" s="2">
        <f>IFERROR(ROUND(F323/E323, 2), "")</f>
        <v>0</v>
      </c>
      <c r="I323" s="2">
        <f>IFERROR(IF($C$5="الكل", INDEX(البيانات_الأساسية!G:G, MATCH(310, البيانات_الأساسية!$I:$I, 0)), $C$5), "")</f>
        <v>0</v>
      </c>
    </row>
    <row r="324" spans="2:9" s="4" customFormat="1" ht="20" customHeight="1">
      <c r="B324" s="2">
        <f>IF(C324="","", 311)</f>
        <v>0</v>
      </c>
      <c r="C324" s="2">
        <f>IFERROR(INDEX(البيانات_الأساسية!A:A, MATCH(311, البيانات_الأساسية!$I:$I, 0)), "")</f>
        <v>0</v>
      </c>
      <c r="D324" s="2">
        <f>IFERROR(INDEX(البيانات_الأساسية!B:B, MATCH(311, البيانات_الأساسية!$I:$I, 0)), "")</f>
        <v>0</v>
      </c>
      <c r="E324" s="2">
        <f>IFERROR(IF($C$5="الكل", INDEX(البيانات_الأساسية!D:D, MATCH(311, البيانات_الأساسية!$I:$I, 0)), INDEX(البيانات_الأساسية!$V:$AG, MATCH(311, البيانات_الأساسية!$I:$I, 0), VALUE($C$5))), "")</f>
        <v>0</v>
      </c>
      <c r="F324" s="2">
        <f>IFERROR(IF($C$5="الكل", INDEX(البيانات_الأساسية!C:C, MATCH(311, البيانات_الأساسية!$I:$I, 0)), INDEX(البيانات_الأساسية!$J:$U, MATCH(311, البيانات_الأساسية!$I:$I, 0), VALUE($C$5))), "")</f>
        <v>0</v>
      </c>
      <c r="G324" s="2">
        <f>IFERROR(ROUND(F324/60, 2), "")</f>
        <v>0</v>
      </c>
      <c r="H324" s="2">
        <f>IFERROR(ROUND(F324/E324, 2), "")</f>
        <v>0</v>
      </c>
      <c r="I324" s="2">
        <f>IFERROR(IF($C$5="الكل", INDEX(البيانات_الأساسية!G:G, MATCH(311, البيانات_الأساسية!$I:$I, 0)), $C$5), "")</f>
        <v>0</v>
      </c>
    </row>
    <row r="325" spans="2:9" s="4" customFormat="1" ht="20" customHeight="1">
      <c r="B325" s="2">
        <f>IF(C325="","", 312)</f>
        <v>0</v>
      </c>
      <c r="C325" s="2">
        <f>IFERROR(INDEX(البيانات_الأساسية!A:A, MATCH(312, البيانات_الأساسية!$I:$I, 0)), "")</f>
        <v>0</v>
      </c>
      <c r="D325" s="2">
        <f>IFERROR(INDEX(البيانات_الأساسية!B:B, MATCH(312, البيانات_الأساسية!$I:$I, 0)), "")</f>
        <v>0</v>
      </c>
      <c r="E325" s="2">
        <f>IFERROR(IF($C$5="الكل", INDEX(البيانات_الأساسية!D:D, MATCH(312, البيانات_الأساسية!$I:$I, 0)), INDEX(البيانات_الأساسية!$V:$AG, MATCH(312, البيانات_الأساسية!$I:$I, 0), VALUE($C$5))), "")</f>
        <v>0</v>
      </c>
      <c r="F325" s="2">
        <f>IFERROR(IF($C$5="الكل", INDEX(البيانات_الأساسية!C:C, MATCH(312, البيانات_الأساسية!$I:$I, 0)), INDEX(البيانات_الأساسية!$J:$U, MATCH(312, البيانات_الأساسية!$I:$I, 0), VALUE($C$5))), "")</f>
        <v>0</v>
      </c>
      <c r="G325" s="2">
        <f>IFERROR(ROUND(F325/60, 2), "")</f>
        <v>0</v>
      </c>
      <c r="H325" s="2">
        <f>IFERROR(ROUND(F325/E325, 2), "")</f>
        <v>0</v>
      </c>
      <c r="I325" s="2">
        <f>IFERROR(IF($C$5="الكل", INDEX(البيانات_الأساسية!G:G, MATCH(312, البيانات_الأساسية!$I:$I, 0)), $C$5), "")</f>
        <v>0</v>
      </c>
    </row>
    <row r="326" spans="2:9" s="4" customFormat="1" ht="20" customHeight="1">
      <c r="B326" s="2">
        <f>IF(C326="","", 313)</f>
        <v>0</v>
      </c>
      <c r="C326" s="2">
        <f>IFERROR(INDEX(البيانات_الأساسية!A:A, MATCH(313, البيانات_الأساسية!$I:$I, 0)), "")</f>
        <v>0</v>
      </c>
      <c r="D326" s="2">
        <f>IFERROR(INDEX(البيانات_الأساسية!B:B, MATCH(313, البيانات_الأساسية!$I:$I, 0)), "")</f>
        <v>0</v>
      </c>
      <c r="E326" s="2">
        <f>IFERROR(IF($C$5="الكل", INDEX(البيانات_الأساسية!D:D, MATCH(313, البيانات_الأساسية!$I:$I, 0)), INDEX(البيانات_الأساسية!$V:$AG, MATCH(313, البيانات_الأساسية!$I:$I, 0), VALUE($C$5))), "")</f>
        <v>0</v>
      </c>
      <c r="F326" s="2">
        <f>IFERROR(IF($C$5="الكل", INDEX(البيانات_الأساسية!C:C, MATCH(313, البيانات_الأساسية!$I:$I, 0)), INDEX(البيانات_الأساسية!$J:$U, MATCH(313, البيانات_الأساسية!$I:$I, 0), VALUE($C$5))), "")</f>
        <v>0</v>
      </c>
      <c r="G326" s="2">
        <f>IFERROR(ROUND(F326/60, 2), "")</f>
        <v>0</v>
      </c>
      <c r="H326" s="2">
        <f>IFERROR(ROUND(F326/E326, 2), "")</f>
        <v>0</v>
      </c>
      <c r="I326" s="2">
        <f>IFERROR(IF($C$5="الكل", INDEX(البيانات_الأساسية!G:G, MATCH(313, البيانات_الأساسية!$I:$I, 0)), $C$5), "")</f>
        <v>0</v>
      </c>
    </row>
    <row r="327" spans="2:9" s="4" customFormat="1" ht="20" customHeight="1">
      <c r="B327" s="2">
        <f>IF(C327="","", 314)</f>
        <v>0</v>
      </c>
      <c r="C327" s="2">
        <f>IFERROR(INDEX(البيانات_الأساسية!A:A, MATCH(314, البيانات_الأساسية!$I:$I, 0)), "")</f>
        <v>0</v>
      </c>
      <c r="D327" s="2">
        <f>IFERROR(INDEX(البيانات_الأساسية!B:B, MATCH(314, البيانات_الأساسية!$I:$I, 0)), "")</f>
        <v>0</v>
      </c>
      <c r="E327" s="2">
        <f>IFERROR(IF($C$5="الكل", INDEX(البيانات_الأساسية!D:D, MATCH(314, البيانات_الأساسية!$I:$I, 0)), INDEX(البيانات_الأساسية!$V:$AG, MATCH(314, البيانات_الأساسية!$I:$I, 0), VALUE($C$5))), "")</f>
        <v>0</v>
      </c>
      <c r="F327" s="2">
        <f>IFERROR(IF($C$5="الكل", INDEX(البيانات_الأساسية!C:C, MATCH(314, البيانات_الأساسية!$I:$I, 0)), INDEX(البيانات_الأساسية!$J:$U, MATCH(314, البيانات_الأساسية!$I:$I, 0), VALUE($C$5))), "")</f>
        <v>0</v>
      </c>
      <c r="G327" s="2">
        <f>IFERROR(ROUND(F327/60, 2), "")</f>
        <v>0</v>
      </c>
      <c r="H327" s="2">
        <f>IFERROR(ROUND(F327/E327, 2), "")</f>
        <v>0</v>
      </c>
      <c r="I327" s="2">
        <f>IFERROR(IF($C$5="الكل", INDEX(البيانات_الأساسية!G:G, MATCH(314, البيانات_الأساسية!$I:$I, 0)), $C$5), "")</f>
        <v>0</v>
      </c>
    </row>
    <row r="328" spans="2:9" s="4" customFormat="1" ht="20" customHeight="1">
      <c r="B328" s="2">
        <f>IF(C328="","", 315)</f>
        <v>0</v>
      </c>
      <c r="C328" s="2">
        <f>IFERROR(INDEX(البيانات_الأساسية!A:A, MATCH(315, البيانات_الأساسية!$I:$I, 0)), "")</f>
        <v>0</v>
      </c>
      <c r="D328" s="2">
        <f>IFERROR(INDEX(البيانات_الأساسية!B:B, MATCH(315, البيانات_الأساسية!$I:$I, 0)), "")</f>
        <v>0</v>
      </c>
      <c r="E328" s="2">
        <f>IFERROR(IF($C$5="الكل", INDEX(البيانات_الأساسية!D:D, MATCH(315, البيانات_الأساسية!$I:$I, 0)), INDEX(البيانات_الأساسية!$V:$AG, MATCH(315, البيانات_الأساسية!$I:$I, 0), VALUE($C$5))), "")</f>
        <v>0</v>
      </c>
      <c r="F328" s="2">
        <f>IFERROR(IF($C$5="الكل", INDEX(البيانات_الأساسية!C:C, MATCH(315, البيانات_الأساسية!$I:$I, 0)), INDEX(البيانات_الأساسية!$J:$U, MATCH(315, البيانات_الأساسية!$I:$I, 0), VALUE($C$5))), "")</f>
        <v>0</v>
      </c>
      <c r="G328" s="2">
        <f>IFERROR(ROUND(F328/60, 2), "")</f>
        <v>0</v>
      </c>
      <c r="H328" s="2">
        <f>IFERROR(ROUND(F328/E328, 2), "")</f>
        <v>0</v>
      </c>
      <c r="I328" s="2">
        <f>IFERROR(IF($C$5="الكل", INDEX(البيانات_الأساسية!G:G, MATCH(315, البيانات_الأساسية!$I:$I, 0)), $C$5), "")</f>
        <v>0</v>
      </c>
    </row>
    <row r="329" spans="2:9" s="4" customFormat="1" ht="20" customHeight="1">
      <c r="B329" s="2">
        <f>IF(C329="","", 316)</f>
        <v>0</v>
      </c>
      <c r="C329" s="2">
        <f>IFERROR(INDEX(البيانات_الأساسية!A:A, MATCH(316, البيانات_الأساسية!$I:$I, 0)), "")</f>
        <v>0</v>
      </c>
      <c r="D329" s="2">
        <f>IFERROR(INDEX(البيانات_الأساسية!B:B, MATCH(316, البيانات_الأساسية!$I:$I, 0)), "")</f>
        <v>0</v>
      </c>
      <c r="E329" s="2">
        <f>IFERROR(IF($C$5="الكل", INDEX(البيانات_الأساسية!D:D, MATCH(316, البيانات_الأساسية!$I:$I, 0)), INDEX(البيانات_الأساسية!$V:$AG, MATCH(316, البيانات_الأساسية!$I:$I, 0), VALUE($C$5))), "")</f>
        <v>0</v>
      </c>
      <c r="F329" s="2">
        <f>IFERROR(IF($C$5="الكل", INDEX(البيانات_الأساسية!C:C, MATCH(316, البيانات_الأساسية!$I:$I, 0)), INDEX(البيانات_الأساسية!$J:$U, MATCH(316, البيانات_الأساسية!$I:$I, 0), VALUE($C$5))), "")</f>
        <v>0</v>
      </c>
      <c r="G329" s="2">
        <f>IFERROR(ROUND(F329/60, 2), "")</f>
        <v>0</v>
      </c>
      <c r="H329" s="2">
        <f>IFERROR(ROUND(F329/E329, 2), "")</f>
        <v>0</v>
      </c>
      <c r="I329" s="2">
        <f>IFERROR(IF($C$5="الكل", INDEX(البيانات_الأساسية!G:G, MATCH(316, البيانات_الأساسية!$I:$I, 0)), $C$5), "")</f>
        <v>0</v>
      </c>
    </row>
    <row r="330" spans="2:9" s="4" customFormat="1" ht="20" customHeight="1">
      <c r="B330" s="2">
        <f>IF(C330="","", 317)</f>
        <v>0</v>
      </c>
      <c r="C330" s="2">
        <f>IFERROR(INDEX(البيانات_الأساسية!A:A, MATCH(317, البيانات_الأساسية!$I:$I, 0)), "")</f>
        <v>0</v>
      </c>
      <c r="D330" s="2">
        <f>IFERROR(INDEX(البيانات_الأساسية!B:B, MATCH(317, البيانات_الأساسية!$I:$I, 0)), "")</f>
        <v>0</v>
      </c>
      <c r="E330" s="2">
        <f>IFERROR(IF($C$5="الكل", INDEX(البيانات_الأساسية!D:D, MATCH(317, البيانات_الأساسية!$I:$I, 0)), INDEX(البيانات_الأساسية!$V:$AG, MATCH(317, البيانات_الأساسية!$I:$I, 0), VALUE($C$5))), "")</f>
        <v>0</v>
      </c>
      <c r="F330" s="2">
        <f>IFERROR(IF($C$5="الكل", INDEX(البيانات_الأساسية!C:C, MATCH(317, البيانات_الأساسية!$I:$I, 0)), INDEX(البيانات_الأساسية!$J:$U, MATCH(317, البيانات_الأساسية!$I:$I, 0), VALUE($C$5))), "")</f>
        <v>0</v>
      </c>
      <c r="G330" s="2">
        <f>IFERROR(ROUND(F330/60, 2), "")</f>
        <v>0</v>
      </c>
      <c r="H330" s="2">
        <f>IFERROR(ROUND(F330/E330, 2), "")</f>
        <v>0</v>
      </c>
      <c r="I330" s="2">
        <f>IFERROR(IF($C$5="الكل", INDEX(البيانات_الأساسية!G:G, MATCH(317, البيانات_الأساسية!$I:$I, 0)), $C$5), "")</f>
        <v>0</v>
      </c>
    </row>
    <row r="331" spans="2:9" s="4" customFormat="1" ht="20" customHeight="1">
      <c r="B331" s="2">
        <f>IF(C331="","", 318)</f>
        <v>0</v>
      </c>
      <c r="C331" s="2">
        <f>IFERROR(INDEX(البيانات_الأساسية!A:A, MATCH(318, البيانات_الأساسية!$I:$I, 0)), "")</f>
        <v>0</v>
      </c>
      <c r="D331" s="2">
        <f>IFERROR(INDEX(البيانات_الأساسية!B:B, MATCH(318, البيانات_الأساسية!$I:$I, 0)), "")</f>
        <v>0</v>
      </c>
      <c r="E331" s="2">
        <f>IFERROR(IF($C$5="الكل", INDEX(البيانات_الأساسية!D:D, MATCH(318, البيانات_الأساسية!$I:$I, 0)), INDEX(البيانات_الأساسية!$V:$AG, MATCH(318, البيانات_الأساسية!$I:$I, 0), VALUE($C$5))), "")</f>
        <v>0</v>
      </c>
      <c r="F331" s="2">
        <f>IFERROR(IF($C$5="الكل", INDEX(البيانات_الأساسية!C:C, MATCH(318, البيانات_الأساسية!$I:$I, 0)), INDEX(البيانات_الأساسية!$J:$U, MATCH(318, البيانات_الأساسية!$I:$I, 0), VALUE($C$5))), "")</f>
        <v>0</v>
      </c>
      <c r="G331" s="2">
        <f>IFERROR(ROUND(F331/60, 2), "")</f>
        <v>0</v>
      </c>
      <c r="H331" s="2">
        <f>IFERROR(ROUND(F331/E331, 2), "")</f>
        <v>0</v>
      </c>
      <c r="I331" s="2">
        <f>IFERROR(IF($C$5="الكل", INDEX(البيانات_الأساسية!G:G, MATCH(318, البيانات_الأساسية!$I:$I, 0)), $C$5), "")</f>
        <v>0</v>
      </c>
    </row>
    <row r="332" spans="2:9" s="4" customFormat="1" ht="20" customHeight="1">
      <c r="B332" s="2">
        <f>IF(C332="","", 319)</f>
        <v>0</v>
      </c>
      <c r="C332" s="2">
        <f>IFERROR(INDEX(البيانات_الأساسية!A:A, MATCH(319, البيانات_الأساسية!$I:$I, 0)), "")</f>
        <v>0</v>
      </c>
      <c r="D332" s="2">
        <f>IFERROR(INDEX(البيانات_الأساسية!B:B, MATCH(319, البيانات_الأساسية!$I:$I, 0)), "")</f>
        <v>0</v>
      </c>
      <c r="E332" s="2">
        <f>IFERROR(IF($C$5="الكل", INDEX(البيانات_الأساسية!D:D, MATCH(319, البيانات_الأساسية!$I:$I, 0)), INDEX(البيانات_الأساسية!$V:$AG, MATCH(319, البيانات_الأساسية!$I:$I, 0), VALUE($C$5))), "")</f>
        <v>0</v>
      </c>
      <c r="F332" s="2">
        <f>IFERROR(IF($C$5="الكل", INDEX(البيانات_الأساسية!C:C, MATCH(319, البيانات_الأساسية!$I:$I, 0)), INDEX(البيانات_الأساسية!$J:$U, MATCH(319, البيانات_الأساسية!$I:$I, 0), VALUE($C$5))), "")</f>
        <v>0</v>
      </c>
      <c r="G332" s="2">
        <f>IFERROR(ROUND(F332/60, 2), "")</f>
        <v>0</v>
      </c>
      <c r="H332" s="2">
        <f>IFERROR(ROUND(F332/E332, 2), "")</f>
        <v>0</v>
      </c>
      <c r="I332" s="2">
        <f>IFERROR(IF($C$5="الكل", INDEX(البيانات_الأساسية!G:G, MATCH(319, البيانات_الأساسية!$I:$I, 0)), $C$5), "")</f>
        <v>0</v>
      </c>
    </row>
    <row r="333" spans="2:9" s="4" customFormat="1" ht="20" customHeight="1">
      <c r="B333" s="2">
        <f>IF(C333="","", 320)</f>
        <v>0</v>
      </c>
      <c r="C333" s="2">
        <f>IFERROR(INDEX(البيانات_الأساسية!A:A, MATCH(320, البيانات_الأساسية!$I:$I, 0)), "")</f>
        <v>0</v>
      </c>
      <c r="D333" s="2">
        <f>IFERROR(INDEX(البيانات_الأساسية!B:B, MATCH(320, البيانات_الأساسية!$I:$I, 0)), "")</f>
        <v>0</v>
      </c>
      <c r="E333" s="2">
        <f>IFERROR(IF($C$5="الكل", INDEX(البيانات_الأساسية!D:D, MATCH(320, البيانات_الأساسية!$I:$I, 0)), INDEX(البيانات_الأساسية!$V:$AG, MATCH(320, البيانات_الأساسية!$I:$I, 0), VALUE($C$5))), "")</f>
        <v>0</v>
      </c>
      <c r="F333" s="2">
        <f>IFERROR(IF($C$5="الكل", INDEX(البيانات_الأساسية!C:C, MATCH(320, البيانات_الأساسية!$I:$I, 0)), INDEX(البيانات_الأساسية!$J:$U, MATCH(320, البيانات_الأساسية!$I:$I, 0), VALUE($C$5))), "")</f>
        <v>0</v>
      </c>
      <c r="G333" s="2">
        <f>IFERROR(ROUND(F333/60, 2), "")</f>
        <v>0</v>
      </c>
      <c r="H333" s="2">
        <f>IFERROR(ROUND(F333/E333, 2), "")</f>
        <v>0</v>
      </c>
      <c r="I333" s="2">
        <f>IFERROR(IF($C$5="الكل", INDEX(البيانات_الأساسية!G:G, MATCH(320, البيانات_الأساسية!$I:$I, 0)), $C$5), "")</f>
        <v>0</v>
      </c>
    </row>
    <row r="334" spans="2:9" s="4" customFormat="1" ht="20" customHeight="1">
      <c r="B334" s="2">
        <f>IF(C334="","", 321)</f>
        <v>0</v>
      </c>
      <c r="C334" s="2">
        <f>IFERROR(INDEX(البيانات_الأساسية!A:A, MATCH(321, البيانات_الأساسية!$I:$I, 0)), "")</f>
        <v>0</v>
      </c>
      <c r="D334" s="2">
        <f>IFERROR(INDEX(البيانات_الأساسية!B:B, MATCH(321, البيانات_الأساسية!$I:$I, 0)), "")</f>
        <v>0</v>
      </c>
      <c r="E334" s="2">
        <f>IFERROR(IF($C$5="الكل", INDEX(البيانات_الأساسية!D:D, MATCH(321, البيانات_الأساسية!$I:$I, 0)), INDEX(البيانات_الأساسية!$V:$AG, MATCH(321, البيانات_الأساسية!$I:$I, 0), VALUE($C$5))), "")</f>
        <v>0</v>
      </c>
      <c r="F334" s="2">
        <f>IFERROR(IF($C$5="الكل", INDEX(البيانات_الأساسية!C:C, MATCH(321, البيانات_الأساسية!$I:$I, 0)), INDEX(البيانات_الأساسية!$J:$U, MATCH(321, البيانات_الأساسية!$I:$I, 0), VALUE($C$5))), "")</f>
        <v>0</v>
      </c>
      <c r="G334" s="2">
        <f>IFERROR(ROUND(F334/60, 2), "")</f>
        <v>0</v>
      </c>
      <c r="H334" s="2">
        <f>IFERROR(ROUND(F334/E334, 2), "")</f>
        <v>0</v>
      </c>
      <c r="I334" s="2">
        <f>IFERROR(IF($C$5="الكل", INDEX(البيانات_الأساسية!G:G, MATCH(321, البيانات_الأساسية!$I:$I, 0)), $C$5), "")</f>
        <v>0</v>
      </c>
    </row>
    <row r="335" spans="2:9" s="4" customFormat="1" ht="20" customHeight="1">
      <c r="B335" s="2">
        <f>IF(C335="","", 322)</f>
        <v>0</v>
      </c>
      <c r="C335" s="2">
        <f>IFERROR(INDEX(البيانات_الأساسية!A:A, MATCH(322, البيانات_الأساسية!$I:$I, 0)), "")</f>
        <v>0</v>
      </c>
      <c r="D335" s="2">
        <f>IFERROR(INDEX(البيانات_الأساسية!B:B, MATCH(322, البيانات_الأساسية!$I:$I, 0)), "")</f>
        <v>0</v>
      </c>
      <c r="E335" s="2">
        <f>IFERROR(IF($C$5="الكل", INDEX(البيانات_الأساسية!D:D, MATCH(322, البيانات_الأساسية!$I:$I, 0)), INDEX(البيانات_الأساسية!$V:$AG, MATCH(322, البيانات_الأساسية!$I:$I, 0), VALUE($C$5))), "")</f>
        <v>0</v>
      </c>
      <c r="F335" s="2">
        <f>IFERROR(IF($C$5="الكل", INDEX(البيانات_الأساسية!C:C, MATCH(322, البيانات_الأساسية!$I:$I, 0)), INDEX(البيانات_الأساسية!$J:$U, MATCH(322, البيانات_الأساسية!$I:$I, 0), VALUE($C$5))), "")</f>
        <v>0</v>
      </c>
      <c r="G335" s="2">
        <f>IFERROR(ROUND(F335/60, 2), "")</f>
        <v>0</v>
      </c>
      <c r="H335" s="2">
        <f>IFERROR(ROUND(F335/E335, 2), "")</f>
        <v>0</v>
      </c>
      <c r="I335" s="2">
        <f>IFERROR(IF($C$5="الكل", INDEX(البيانات_الأساسية!G:G, MATCH(322, البيانات_الأساسية!$I:$I, 0)), $C$5), "")</f>
        <v>0</v>
      </c>
    </row>
    <row r="336" spans="2:9" s="4" customFormat="1" ht="20" customHeight="1">
      <c r="B336" s="2">
        <f>IF(C336="","", 323)</f>
        <v>0</v>
      </c>
      <c r="C336" s="2">
        <f>IFERROR(INDEX(البيانات_الأساسية!A:A, MATCH(323, البيانات_الأساسية!$I:$I, 0)), "")</f>
        <v>0</v>
      </c>
      <c r="D336" s="2">
        <f>IFERROR(INDEX(البيانات_الأساسية!B:B, MATCH(323, البيانات_الأساسية!$I:$I, 0)), "")</f>
        <v>0</v>
      </c>
      <c r="E336" s="2">
        <f>IFERROR(IF($C$5="الكل", INDEX(البيانات_الأساسية!D:D, MATCH(323, البيانات_الأساسية!$I:$I, 0)), INDEX(البيانات_الأساسية!$V:$AG, MATCH(323, البيانات_الأساسية!$I:$I, 0), VALUE($C$5))), "")</f>
        <v>0</v>
      </c>
      <c r="F336" s="2">
        <f>IFERROR(IF($C$5="الكل", INDEX(البيانات_الأساسية!C:C, MATCH(323, البيانات_الأساسية!$I:$I, 0)), INDEX(البيانات_الأساسية!$J:$U, MATCH(323, البيانات_الأساسية!$I:$I, 0), VALUE($C$5))), "")</f>
        <v>0</v>
      </c>
      <c r="G336" s="2">
        <f>IFERROR(ROUND(F336/60, 2), "")</f>
        <v>0</v>
      </c>
      <c r="H336" s="2">
        <f>IFERROR(ROUND(F336/E336, 2), "")</f>
        <v>0</v>
      </c>
      <c r="I336" s="2">
        <f>IFERROR(IF($C$5="الكل", INDEX(البيانات_الأساسية!G:G, MATCH(323, البيانات_الأساسية!$I:$I, 0)), $C$5), "")</f>
        <v>0</v>
      </c>
    </row>
    <row r="337" spans="2:9" s="4" customFormat="1" ht="20" customHeight="1">
      <c r="B337" s="2">
        <f>IF(C337="","", 324)</f>
        <v>0</v>
      </c>
      <c r="C337" s="2">
        <f>IFERROR(INDEX(البيانات_الأساسية!A:A, MATCH(324, البيانات_الأساسية!$I:$I, 0)), "")</f>
        <v>0</v>
      </c>
      <c r="D337" s="2">
        <f>IFERROR(INDEX(البيانات_الأساسية!B:B, MATCH(324, البيانات_الأساسية!$I:$I, 0)), "")</f>
        <v>0</v>
      </c>
      <c r="E337" s="2">
        <f>IFERROR(IF($C$5="الكل", INDEX(البيانات_الأساسية!D:D, MATCH(324, البيانات_الأساسية!$I:$I, 0)), INDEX(البيانات_الأساسية!$V:$AG, MATCH(324, البيانات_الأساسية!$I:$I, 0), VALUE($C$5))), "")</f>
        <v>0</v>
      </c>
      <c r="F337" s="2">
        <f>IFERROR(IF($C$5="الكل", INDEX(البيانات_الأساسية!C:C, MATCH(324, البيانات_الأساسية!$I:$I, 0)), INDEX(البيانات_الأساسية!$J:$U, MATCH(324, البيانات_الأساسية!$I:$I, 0), VALUE($C$5))), "")</f>
        <v>0</v>
      </c>
      <c r="G337" s="2">
        <f>IFERROR(ROUND(F337/60, 2), "")</f>
        <v>0</v>
      </c>
      <c r="H337" s="2">
        <f>IFERROR(ROUND(F337/E337, 2), "")</f>
        <v>0</v>
      </c>
      <c r="I337" s="2">
        <f>IFERROR(IF($C$5="الكل", INDEX(البيانات_الأساسية!G:G, MATCH(324, البيانات_الأساسية!$I:$I, 0)), $C$5), "")</f>
        <v>0</v>
      </c>
    </row>
    <row r="338" spans="2:9" s="4" customFormat="1" ht="20" customHeight="1">
      <c r="B338" s="2">
        <f>IF(C338="","", 325)</f>
        <v>0</v>
      </c>
      <c r="C338" s="2">
        <f>IFERROR(INDEX(البيانات_الأساسية!A:A, MATCH(325, البيانات_الأساسية!$I:$I, 0)), "")</f>
        <v>0</v>
      </c>
      <c r="D338" s="2">
        <f>IFERROR(INDEX(البيانات_الأساسية!B:B, MATCH(325, البيانات_الأساسية!$I:$I, 0)), "")</f>
        <v>0</v>
      </c>
      <c r="E338" s="2">
        <f>IFERROR(IF($C$5="الكل", INDEX(البيانات_الأساسية!D:D, MATCH(325, البيانات_الأساسية!$I:$I, 0)), INDEX(البيانات_الأساسية!$V:$AG, MATCH(325, البيانات_الأساسية!$I:$I, 0), VALUE($C$5))), "")</f>
        <v>0</v>
      </c>
      <c r="F338" s="2">
        <f>IFERROR(IF($C$5="الكل", INDEX(البيانات_الأساسية!C:C, MATCH(325, البيانات_الأساسية!$I:$I, 0)), INDEX(البيانات_الأساسية!$J:$U, MATCH(325, البيانات_الأساسية!$I:$I, 0), VALUE($C$5))), "")</f>
        <v>0</v>
      </c>
      <c r="G338" s="2">
        <f>IFERROR(ROUND(F338/60, 2), "")</f>
        <v>0</v>
      </c>
      <c r="H338" s="2">
        <f>IFERROR(ROUND(F338/E338, 2), "")</f>
        <v>0</v>
      </c>
      <c r="I338" s="2">
        <f>IFERROR(IF($C$5="الكل", INDEX(البيانات_الأساسية!G:G, MATCH(325, البيانات_الأساسية!$I:$I, 0)), $C$5), "")</f>
        <v>0</v>
      </c>
    </row>
    <row r="339" spans="2:9" s="4" customFormat="1" ht="20" customHeight="1">
      <c r="B339" s="2">
        <f>IF(C339="","", 326)</f>
        <v>0</v>
      </c>
      <c r="C339" s="2">
        <f>IFERROR(INDEX(البيانات_الأساسية!A:A, MATCH(326, البيانات_الأساسية!$I:$I, 0)), "")</f>
        <v>0</v>
      </c>
      <c r="D339" s="2">
        <f>IFERROR(INDEX(البيانات_الأساسية!B:B, MATCH(326, البيانات_الأساسية!$I:$I, 0)), "")</f>
        <v>0</v>
      </c>
      <c r="E339" s="2">
        <f>IFERROR(IF($C$5="الكل", INDEX(البيانات_الأساسية!D:D, MATCH(326, البيانات_الأساسية!$I:$I, 0)), INDEX(البيانات_الأساسية!$V:$AG, MATCH(326, البيانات_الأساسية!$I:$I, 0), VALUE($C$5))), "")</f>
        <v>0</v>
      </c>
      <c r="F339" s="2">
        <f>IFERROR(IF($C$5="الكل", INDEX(البيانات_الأساسية!C:C, MATCH(326, البيانات_الأساسية!$I:$I, 0)), INDEX(البيانات_الأساسية!$J:$U, MATCH(326, البيانات_الأساسية!$I:$I, 0), VALUE($C$5))), "")</f>
        <v>0</v>
      </c>
      <c r="G339" s="2">
        <f>IFERROR(ROUND(F339/60, 2), "")</f>
        <v>0</v>
      </c>
      <c r="H339" s="2">
        <f>IFERROR(ROUND(F339/E339, 2), "")</f>
        <v>0</v>
      </c>
      <c r="I339" s="2">
        <f>IFERROR(IF($C$5="الكل", INDEX(البيانات_الأساسية!G:G, MATCH(326, البيانات_الأساسية!$I:$I, 0)), $C$5), "")</f>
        <v>0</v>
      </c>
    </row>
    <row r="340" spans="2:9" s="4" customFormat="1" ht="20" customHeight="1">
      <c r="B340" s="2">
        <f>IF(C340="","", 327)</f>
        <v>0</v>
      </c>
      <c r="C340" s="2">
        <f>IFERROR(INDEX(البيانات_الأساسية!A:A, MATCH(327, البيانات_الأساسية!$I:$I, 0)), "")</f>
        <v>0</v>
      </c>
      <c r="D340" s="2">
        <f>IFERROR(INDEX(البيانات_الأساسية!B:B, MATCH(327, البيانات_الأساسية!$I:$I, 0)), "")</f>
        <v>0</v>
      </c>
      <c r="E340" s="2">
        <f>IFERROR(IF($C$5="الكل", INDEX(البيانات_الأساسية!D:D, MATCH(327, البيانات_الأساسية!$I:$I, 0)), INDEX(البيانات_الأساسية!$V:$AG, MATCH(327, البيانات_الأساسية!$I:$I, 0), VALUE($C$5))), "")</f>
        <v>0</v>
      </c>
      <c r="F340" s="2">
        <f>IFERROR(IF($C$5="الكل", INDEX(البيانات_الأساسية!C:C, MATCH(327, البيانات_الأساسية!$I:$I, 0)), INDEX(البيانات_الأساسية!$J:$U, MATCH(327, البيانات_الأساسية!$I:$I, 0), VALUE($C$5))), "")</f>
        <v>0</v>
      </c>
      <c r="G340" s="2">
        <f>IFERROR(ROUND(F340/60, 2), "")</f>
        <v>0</v>
      </c>
      <c r="H340" s="2">
        <f>IFERROR(ROUND(F340/E340, 2), "")</f>
        <v>0</v>
      </c>
      <c r="I340" s="2">
        <f>IFERROR(IF($C$5="الكل", INDEX(البيانات_الأساسية!G:G, MATCH(327, البيانات_الأساسية!$I:$I, 0)), $C$5), "")</f>
        <v>0</v>
      </c>
    </row>
    <row r="341" spans="2:9" s="4" customFormat="1" ht="20" customHeight="1">
      <c r="B341" s="2">
        <f>IF(C341="","", 328)</f>
        <v>0</v>
      </c>
      <c r="C341" s="2">
        <f>IFERROR(INDEX(البيانات_الأساسية!A:A, MATCH(328, البيانات_الأساسية!$I:$I, 0)), "")</f>
        <v>0</v>
      </c>
      <c r="D341" s="2">
        <f>IFERROR(INDEX(البيانات_الأساسية!B:B, MATCH(328, البيانات_الأساسية!$I:$I, 0)), "")</f>
        <v>0</v>
      </c>
      <c r="E341" s="2">
        <f>IFERROR(IF($C$5="الكل", INDEX(البيانات_الأساسية!D:D, MATCH(328, البيانات_الأساسية!$I:$I, 0)), INDEX(البيانات_الأساسية!$V:$AG, MATCH(328, البيانات_الأساسية!$I:$I, 0), VALUE($C$5))), "")</f>
        <v>0</v>
      </c>
      <c r="F341" s="2">
        <f>IFERROR(IF($C$5="الكل", INDEX(البيانات_الأساسية!C:C, MATCH(328, البيانات_الأساسية!$I:$I, 0)), INDEX(البيانات_الأساسية!$J:$U, MATCH(328, البيانات_الأساسية!$I:$I, 0), VALUE($C$5))), "")</f>
        <v>0</v>
      </c>
      <c r="G341" s="2">
        <f>IFERROR(ROUND(F341/60, 2), "")</f>
        <v>0</v>
      </c>
      <c r="H341" s="2">
        <f>IFERROR(ROUND(F341/E341, 2), "")</f>
        <v>0</v>
      </c>
      <c r="I341" s="2">
        <f>IFERROR(IF($C$5="الكل", INDEX(البيانات_الأساسية!G:G, MATCH(328, البيانات_الأساسية!$I:$I, 0)), $C$5), "")</f>
        <v>0</v>
      </c>
    </row>
    <row r="342" spans="2:9" s="4" customFormat="1" ht="20" customHeight="1">
      <c r="B342" s="2">
        <f>IF(C342="","", 329)</f>
        <v>0</v>
      </c>
      <c r="C342" s="2">
        <f>IFERROR(INDEX(البيانات_الأساسية!A:A, MATCH(329, البيانات_الأساسية!$I:$I, 0)), "")</f>
        <v>0</v>
      </c>
      <c r="D342" s="2">
        <f>IFERROR(INDEX(البيانات_الأساسية!B:B, MATCH(329, البيانات_الأساسية!$I:$I, 0)), "")</f>
        <v>0</v>
      </c>
      <c r="E342" s="2">
        <f>IFERROR(IF($C$5="الكل", INDEX(البيانات_الأساسية!D:D, MATCH(329, البيانات_الأساسية!$I:$I, 0)), INDEX(البيانات_الأساسية!$V:$AG, MATCH(329, البيانات_الأساسية!$I:$I, 0), VALUE($C$5))), "")</f>
        <v>0</v>
      </c>
      <c r="F342" s="2">
        <f>IFERROR(IF($C$5="الكل", INDEX(البيانات_الأساسية!C:C, MATCH(329, البيانات_الأساسية!$I:$I, 0)), INDEX(البيانات_الأساسية!$J:$U, MATCH(329, البيانات_الأساسية!$I:$I, 0), VALUE($C$5))), "")</f>
        <v>0</v>
      </c>
      <c r="G342" s="2">
        <f>IFERROR(ROUND(F342/60, 2), "")</f>
        <v>0</v>
      </c>
      <c r="H342" s="2">
        <f>IFERROR(ROUND(F342/E342, 2), "")</f>
        <v>0</v>
      </c>
      <c r="I342" s="2">
        <f>IFERROR(IF($C$5="الكل", INDEX(البيانات_الأساسية!G:G, MATCH(329, البيانات_الأساسية!$I:$I, 0)), $C$5), "")</f>
        <v>0</v>
      </c>
    </row>
    <row r="343" spans="2:9" s="4" customFormat="1" ht="20" customHeight="1">
      <c r="B343" s="2">
        <f>IF(C343="","", 330)</f>
        <v>0</v>
      </c>
      <c r="C343" s="2">
        <f>IFERROR(INDEX(البيانات_الأساسية!A:A, MATCH(330, البيانات_الأساسية!$I:$I, 0)), "")</f>
        <v>0</v>
      </c>
      <c r="D343" s="2">
        <f>IFERROR(INDEX(البيانات_الأساسية!B:B, MATCH(330, البيانات_الأساسية!$I:$I, 0)), "")</f>
        <v>0</v>
      </c>
      <c r="E343" s="2">
        <f>IFERROR(IF($C$5="الكل", INDEX(البيانات_الأساسية!D:D, MATCH(330, البيانات_الأساسية!$I:$I, 0)), INDEX(البيانات_الأساسية!$V:$AG, MATCH(330, البيانات_الأساسية!$I:$I, 0), VALUE($C$5))), "")</f>
        <v>0</v>
      </c>
      <c r="F343" s="2">
        <f>IFERROR(IF($C$5="الكل", INDEX(البيانات_الأساسية!C:C, MATCH(330, البيانات_الأساسية!$I:$I, 0)), INDEX(البيانات_الأساسية!$J:$U, MATCH(330, البيانات_الأساسية!$I:$I, 0), VALUE($C$5))), "")</f>
        <v>0</v>
      </c>
      <c r="G343" s="2">
        <f>IFERROR(ROUND(F343/60, 2), "")</f>
        <v>0</v>
      </c>
      <c r="H343" s="2">
        <f>IFERROR(ROUND(F343/E343, 2), "")</f>
        <v>0</v>
      </c>
      <c r="I343" s="2">
        <f>IFERROR(IF($C$5="الكل", INDEX(البيانات_الأساسية!G:G, MATCH(330, البيانات_الأساسية!$I:$I, 0)), $C$5), "")</f>
        <v>0</v>
      </c>
    </row>
    <row r="344" spans="2:9" s="4" customFormat="1" ht="20" customHeight="1">
      <c r="B344" s="2">
        <f>IF(C344="","", 331)</f>
        <v>0</v>
      </c>
      <c r="C344" s="2">
        <f>IFERROR(INDEX(البيانات_الأساسية!A:A, MATCH(331, البيانات_الأساسية!$I:$I, 0)), "")</f>
        <v>0</v>
      </c>
      <c r="D344" s="2">
        <f>IFERROR(INDEX(البيانات_الأساسية!B:B, MATCH(331, البيانات_الأساسية!$I:$I, 0)), "")</f>
        <v>0</v>
      </c>
      <c r="E344" s="2">
        <f>IFERROR(IF($C$5="الكل", INDEX(البيانات_الأساسية!D:D, MATCH(331, البيانات_الأساسية!$I:$I, 0)), INDEX(البيانات_الأساسية!$V:$AG, MATCH(331, البيانات_الأساسية!$I:$I, 0), VALUE($C$5))), "")</f>
        <v>0</v>
      </c>
      <c r="F344" s="2">
        <f>IFERROR(IF($C$5="الكل", INDEX(البيانات_الأساسية!C:C, MATCH(331, البيانات_الأساسية!$I:$I, 0)), INDEX(البيانات_الأساسية!$J:$U, MATCH(331, البيانات_الأساسية!$I:$I, 0), VALUE($C$5))), "")</f>
        <v>0</v>
      </c>
      <c r="G344" s="2">
        <f>IFERROR(ROUND(F344/60, 2), "")</f>
        <v>0</v>
      </c>
      <c r="H344" s="2">
        <f>IFERROR(ROUND(F344/E344, 2), "")</f>
        <v>0</v>
      </c>
      <c r="I344" s="2">
        <f>IFERROR(IF($C$5="الكل", INDEX(البيانات_الأساسية!G:G, MATCH(331, البيانات_الأساسية!$I:$I, 0)), $C$5), "")</f>
        <v>0</v>
      </c>
    </row>
    <row r="345" spans="2:9" s="4" customFormat="1" ht="20" customHeight="1">
      <c r="B345" s="2">
        <f>IF(C345="","", 332)</f>
        <v>0</v>
      </c>
      <c r="C345" s="2">
        <f>IFERROR(INDEX(البيانات_الأساسية!A:A, MATCH(332, البيانات_الأساسية!$I:$I, 0)), "")</f>
        <v>0</v>
      </c>
      <c r="D345" s="2">
        <f>IFERROR(INDEX(البيانات_الأساسية!B:B, MATCH(332, البيانات_الأساسية!$I:$I, 0)), "")</f>
        <v>0</v>
      </c>
      <c r="E345" s="2">
        <f>IFERROR(IF($C$5="الكل", INDEX(البيانات_الأساسية!D:D, MATCH(332, البيانات_الأساسية!$I:$I, 0)), INDEX(البيانات_الأساسية!$V:$AG, MATCH(332, البيانات_الأساسية!$I:$I, 0), VALUE($C$5))), "")</f>
        <v>0</v>
      </c>
      <c r="F345" s="2">
        <f>IFERROR(IF($C$5="الكل", INDEX(البيانات_الأساسية!C:C, MATCH(332, البيانات_الأساسية!$I:$I, 0)), INDEX(البيانات_الأساسية!$J:$U, MATCH(332, البيانات_الأساسية!$I:$I, 0), VALUE($C$5))), "")</f>
        <v>0</v>
      </c>
      <c r="G345" s="2">
        <f>IFERROR(ROUND(F345/60, 2), "")</f>
        <v>0</v>
      </c>
      <c r="H345" s="2">
        <f>IFERROR(ROUND(F345/E345, 2), "")</f>
        <v>0</v>
      </c>
      <c r="I345" s="2">
        <f>IFERROR(IF($C$5="الكل", INDEX(البيانات_الأساسية!G:G, MATCH(332, البيانات_الأساسية!$I:$I, 0)), $C$5), "")</f>
        <v>0</v>
      </c>
    </row>
    <row r="346" spans="2:9" s="4" customFormat="1" ht="20" customHeight="1">
      <c r="B346" s="2">
        <f>IF(C346="","", 333)</f>
        <v>0</v>
      </c>
      <c r="C346" s="2">
        <f>IFERROR(INDEX(البيانات_الأساسية!A:A, MATCH(333, البيانات_الأساسية!$I:$I, 0)), "")</f>
        <v>0</v>
      </c>
      <c r="D346" s="2">
        <f>IFERROR(INDEX(البيانات_الأساسية!B:B, MATCH(333, البيانات_الأساسية!$I:$I, 0)), "")</f>
        <v>0</v>
      </c>
      <c r="E346" s="2">
        <f>IFERROR(IF($C$5="الكل", INDEX(البيانات_الأساسية!D:D, MATCH(333, البيانات_الأساسية!$I:$I, 0)), INDEX(البيانات_الأساسية!$V:$AG, MATCH(333, البيانات_الأساسية!$I:$I, 0), VALUE($C$5))), "")</f>
        <v>0</v>
      </c>
      <c r="F346" s="2">
        <f>IFERROR(IF($C$5="الكل", INDEX(البيانات_الأساسية!C:C, MATCH(333, البيانات_الأساسية!$I:$I, 0)), INDEX(البيانات_الأساسية!$J:$U, MATCH(333, البيانات_الأساسية!$I:$I, 0), VALUE($C$5))), "")</f>
        <v>0</v>
      </c>
      <c r="G346" s="2">
        <f>IFERROR(ROUND(F346/60, 2), "")</f>
        <v>0</v>
      </c>
      <c r="H346" s="2">
        <f>IFERROR(ROUND(F346/E346, 2), "")</f>
        <v>0</v>
      </c>
      <c r="I346" s="2">
        <f>IFERROR(IF($C$5="الكل", INDEX(البيانات_الأساسية!G:G, MATCH(333, البيانات_الأساسية!$I:$I, 0)), $C$5), "")</f>
        <v>0</v>
      </c>
    </row>
    <row r="347" spans="2:9" s="4" customFormat="1" ht="20" customHeight="1">
      <c r="B347" s="2">
        <f>IF(C347="","", 334)</f>
        <v>0</v>
      </c>
      <c r="C347" s="2">
        <f>IFERROR(INDEX(البيانات_الأساسية!A:A, MATCH(334, البيانات_الأساسية!$I:$I, 0)), "")</f>
        <v>0</v>
      </c>
      <c r="D347" s="2">
        <f>IFERROR(INDEX(البيانات_الأساسية!B:B, MATCH(334, البيانات_الأساسية!$I:$I, 0)), "")</f>
        <v>0</v>
      </c>
      <c r="E347" s="2">
        <f>IFERROR(IF($C$5="الكل", INDEX(البيانات_الأساسية!D:D, MATCH(334, البيانات_الأساسية!$I:$I, 0)), INDEX(البيانات_الأساسية!$V:$AG, MATCH(334, البيانات_الأساسية!$I:$I, 0), VALUE($C$5))), "")</f>
        <v>0</v>
      </c>
      <c r="F347" s="2">
        <f>IFERROR(IF($C$5="الكل", INDEX(البيانات_الأساسية!C:C, MATCH(334, البيانات_الأساسية!$I:$I, 0)), INDEX(البيانات_الأساسية!$J:$U, MATCH(334, البيانات_الأساسية!$I:$I, 0), VALUE($C$5))), "")</f>
        <v>0</v>
      </c>
      <c r="G347" s="2">
        <f>IFERROR(ROUND(F347/60, 2), "")</f>
        <v>0</v>
      </c>
      <c r="H347" s="2">
        <f>IFERROR(ROUND(F347/E347, 2), "")</f>
        <v>0</v>
      </c>
      <c r="I347" s="2">
        <f>IFERROR(IF($C$5="الكل", INDEX(البيانات_الأساسية!G:G, MATCH(334, البيانات_الأساسية!$I:$I, 0)), $C$5), "")</f>
        <v>0</v>
      </c>
    </row>
    <row r="348" spans="2:9" s="4" customFormat="1" ht="20" customHeight="1">
      <c r="B348" s="2">
        <f>IF(C348="","", 335)</f>
        <v>0</v>
      </c>
      <c r="C348" s="2">
        <f>IFERROR(INDEX(البيانات_الأساسية!A:A, MATCH(335, البيانات_الأساسية!$I:$I, 0)), "")</f>
        <v>0</v>
      </c>
      <c r="D348" s="2">
        <f>IFERROR(INDEX(البيانات_الأساسية!B:B, MATCH(335, البيانات_الأساسية!$I:$I, 0)), "")</f>
        <v>0</v>
      </c>
      <c r="E348" s="2">
        <f>IFERROR(IF($C$5="الكل", INDEX(البيانات_الأساسية!D:D, MATCH(335, البيانات_الأساسية!$I:$I, 0)), INDEX(البيانات_الأساسية!$V:$AG, MATCH(335, البيانات_الأساسية!$I:$I, 0), VALUE($C$5))), "")</f>
        <v>0</v>
      </c>
      <c r="F348" s="2">
        <f>IFERROR(IF($C$5="الكل", INDEX(البيانات_الأساسية!C:C, MATCH(335, البيانات_الأساسية!$I:$I, 0)), INDEX(البيانات_الأساسية!$J:$U, MATCH(335, البيانات_الأساسية!$I:$I, 0), VALUE($C$5))), "")</f>
        <v>0</v>
      </c>
      <c r="G348" s="2">
        <f>IFERROR(ROUND(F348/60, 2), "")</f>
        <v>0</v>
      </c>
      <c r="H348" s="2">
        <f>IFERROR(ROUND(F348/E348, 2), "")</f>
        <v>0</v>
      </c>
      <c r="I348" s="2">
        <f>IFERROR(IF($C$5="الكل", INDEX(البيانات_الأساسية!G:G, MATCH(335, البيانات_الأساسية!$I:$I, 0)), $C$5), "")</f>
        <v>0</v>
      </c>
    </row>
    <row r="349" spans="2:9" s="4" customFormat="1" ht="20" customHeight="1">
      <c r="B349" s="2">
        <f>IF(C349="","", 336)</f>
        <v>0</v>
      </c>
      <c r="C349" s="2">
        <f>IFERROR(INDEX(البيانات_الأساسية!A:A, MATCH(336, البيانات_الأساسية!$I:$I, 0)), "")</f>
        <v>0</v>
      </c>
      <c r="D349" s="2">
        <f>IFERROR(INDEX(البيانات_الأساسية!B:B, MATCH(336, البيانات_الأساسية!$I:$I, 0)), "")</f>
        <v>0</v>
      </c>
      <c r="E349" s="2">
        <f>IFERROR(IF($C$5="الكل", INDEX(البيانات_الأساسية!D:D, MATCH(336, البيانات_الأساسية!$I:$I, 0)), INDEX(البيانات_الأساسية!$V:$AG, MATCH(336, البيانات_الأساسية!$I:$I, 0), VALUE($C$5))), "")</f>
        <v>0</v>
      </c>
      <c r="F349" s="2">
        <f>IFERROR(IF($C$5="الكل", INDEX(البيانات_الأساسية!C:C, MATCH(336, البيانات_الأساسية!$I:$I, 0)), INDEX(البيانات_الأساسية!$J:$U, MATCH(336, البيانات_الأساسية!$I:$I, 0), VALUE($C$5))), "")</f>
        <v>0</v>
      </c>
      <c r="G349" s="2">
        <f>IFERROR(ROUND(F349/60, 2), "")</f>
        <v>0</v>
      </c>
      <c r="H349" s="2">
        <f>IFERROR(ROUND(F349/E349, 2), "")</f>
        <v>0</v>
      </c>
      <c r="I349" s="2">
        <f>IFERROR(IF($C$5="الكل", INDEX(البيانات_الأساسية!G:G, MATCH(336, البيانات_الأساسية!$I:$I, 0)), $C$5), "")</f>
        <v>0</v>
      </c>
    </row>
    <row r="350" spans="2:9" s="4" customFormat="1" ht="20" customHeight="1">
      <c r="B350" s="2">
        <f>IF(C350="","", 337)</f>
        <v>0</v>
      </c>
      <c r="C350" s="2">
        <f>IFERROR(INDEX(البيانات_الأساسية!A:A, MATCH(337, البيانات_الأساسية!$I:$I, 0)), "")</f>
        <v>0</v>
      </c>
      <c r="D350" s="2">
        <f>IFERROR(INDEX(البيانات_الأساسية!B:B, MATCH(337, البيانات_الأساسية!$I:$I, 0)), "")</f>
        <v>0</v>
      </c>
      <c r="E350" s="2">
        <f>IFERROR(IF($C$5="الكل", INDEX(البيانات_الأساسية!D:D, MATCH(337, البيانات_الأساسية!$I:$I, 0)), INDEX(البيانات_الأساسية!$V:$AG, MATCH(337, البيانات_الأساسية!$I:$I, 0), VALUE($C$5))), "")</f>
        <v>0</v>
      </c>
      <c r="F350" s="2">
        <f>IFERROR(IF($C$5="الكل", INDEX(البيانات_الأساسية!C:C, MATCH(337, البيانات_الأساسية!$I:$I, 0)), INDEX(البيانات_الأساسية!$J:$U, MATCH(337, البيانات_الأساسية!$I:$I, 0), VALUE($C$5))), "")</f>
        <v>0</v>
      </c>
      <c r="G350" s="2">
        <f>IFERROR(ROUND(F350/60, 2), "")</f>
        <v>0</v>
      </c>
      <c r="H350" s="2">
        <f>IFERROR(ROUND(F350/E350, 2), "")</f>
        <v>0</v>
      </c>
      <c r="I350" s="2">
        <f>IFERROR(IF($C$5="الكل", INDEX(البيانات_الأساسية!G:G, MATCH(337, البيانات_الأساسية!$I:$I, 0)), $C$5), "")</f>
        <v>0</v>
      </c>
    </row>
    <row r="351" spans="2:9" s="4" customFormat="1" ht="20" customHeight="1">
      <c r="B351" s="2">
        <f>IF(C351="","", 338)</f>
        <v>0</v>
      </c>
      <c r="C351" s="2">
        <f>IFERROR(INDEX(البيانات_الأساسية!A:A, MATCH(338, البيانات_الأساسية!$I:$I, 0)), "")</f>
        <v>0</v>
      </c>
      <c r="D351" s="2">
        <f>IFERROR(INDEX(البيانات_الأساسية!B:B, MATCH(338, البيانات_الأساسية!$I:$I, 0)), "")</f>
        <v>0</v>
      </c>
      <c r="E351" s="2">
        <f>IFERROR(IF($C$5="الكل", INDEX(البيانات_الأساسية!D:D, MATCH(338, البيانات_الأساسية!$I:$I, 0)), INDEX(البيانات_الأساسية!$V:$AG, MATCH(338, البيانات_الأساسية!$I:$I, 0), VALUE($C$5))), "")</f>
        <v>0</v>
      </c>
      <c r="F351" s="2">
        <f>IFERROR(IF($C$5="الكل", INDEX(البيانات_الأساسية!C:C, MATCH(338, البيانات_الأساسية!$I:$I, 0)), INDEX(البيانات_الأساسية!$J:$U, MATCH(338, البيانات_الأساسية!$I:$I, 0), VALUE($C$5))), "")</f>
        <v>0</v>
      </c>
      <c r="G351" s="2">
        <f>IFERROR(ROUND(F351/60, 2), "")</f>
        <v>0</v>
      </c>
      <c r="H351" s="2">
        <f>IFERROR(ROUND(F351/E351, 2), "")</f>
        <v>0</v>
      </c>
      <c r="I351" s="2">
        <f>IFERROR(IF($C$5="الكل", INDEX(البيانات_الأساسية!G:G, MATCH(338, البيانات_الأساسية!$I:$I, 0)), $C$5), "")</f>
        <v>0</v>
      </c>
    </row>
    <row r="352" spans="2:9" s="4" customFormat="1" ht="20" customHeight="1">
      <c r="B352" s="2">
        <f>IF(C352="","", 339)</f>
        <v>0</v>
      </c>
      <c r="C352" s="2">
        <f>IFERROR(INDEX(البيانات_الأساسية!A:A, MATCH(339, البيانات_الأساسية!$I:$I, 0)), "")</f>
        <v>0</v>
      </c>
      <c r="D352" s="2">
        <f>IFERROR(INDEX(البيانات_الأساسية!B:B, MATCH(339, البيانات_الأساسية!$I:$I, 0)), "")</f>
        <v>0</v>
      </c>
      <c r="E352" s="2">
        <f>IFERROR(IF($C$5="الكل", INDEX(البيانات_الأساسية!D:D, MATCH(339, البيانات_الأساسية!$I:$I, 0)), INDEX(البيانات_الأساسية!$V:$AG, MATCH(339, البيانات_الأساسية!$I:$I, 0), VALUE($C$5))), "")</f>
        <v>0</v>
      </c>
      <c r="F352" s="2">
        <f>IFERROR(IF($C$5="الكل", INDEX(البيانات_الأساسية!C:C, MATCH(339, البيانات_الأساسية!$I:$I, 0)), INDEX(البيانات_الأساسية!$J:$U, MATCH(339, البيانات_الأساسية!$I:$I, 0), VALUE($C$5))), "")</f>
        <v>0</v>
      </c>
      <c r="G352" s="2">
        <f>IFERROR(ROUND(F352/60, 2), "")</f>
        <v>0</v>
      </c>
      <c r="H352" s="2">
        <f>IFERROR(ROUND(F352/E352, 2), "")</f>
        <v>0</v>
      </c>
      <c r="I352" s="2">
        <f>IFERROR(IF($C$5="الكل", INDEX(البيانات_الأساسية!G:G, MATCH(339, البيانات_الأساسية!$I:$I, 0)), $C$5), "")</f>
        <v>0</v>
      </c>
    </row>
    <row r="353" spans="2:9" s="4" customFormat="1" ht="20" customHeight="1">
      <c r="B353" s="2">
        <f>IF(C353="","", 340)</f>
        <v>0</v>
      </c>
      <c r="C353" s="2">
        <f>IFERROR(INDEX(البيانات_الأساسية!A:A, MATCH(340, البيانات_الأساسية!$I:$I, 0)), "")</f>
        <v>0</v>
      </c>
      <c r="D353" s="2">
        <f>IFERROR(INDEX(البيانات_الأساسية!B:B, MATCH(340, البيانات_الأساسية!$I:$I, 0)), "")</f>
        <v>0</v>
      </c>
      <c r="E353" s="2">
        <f>IFERROR(IF($C$5="الكل", INDEX(البيانات_الأساسية!D:D, MATCH(340, البيانات_الأساسية!$I:$I, 0)), INDEX(البيانات_الأساسية!$V:$AG, MATCH(340, البيانات_الأساسية!$I:$I, 0), VALUE($C$5))), "")</f>
        <v>0</v>
      </c>
      <c r="F353" s="2">
        <f>IFERROR(IF($C$5="الكل", INDEX(البيانات_الأساسية!C:C, MATCH(340, البيانات_الأساسية!$I:$I, 0)), INDEX(البيانات_الأساسية!$J:$U, MATCH(340, البيانات_الأساسية!$I:$I, 0), VALUE($C$5))), "")</f>
        <v>0</v>
      </c>
      <c r="G353" s="2">
        <f>IFERROR(ROUND(F353/60, 2), "")</f>
        <v>0</v>
      </c>
      <c r="H353" s="2">
        <f>IFERROR(ROUND(F353/E353, 2), "")</f>
        <v>0</v>
      </c>
      <c r="I353" s="2">
        <f>IFERROR(IF($C$5="الكل", INDEX(البيانات_الأساسية!G:G, MATCH(340, البيانات_الأساسية!$I:$I, 0)), $C$5), "")</f>
        <v>0</v>
      </c>
    </row>
    <row r="354" spans="2:9" s="4" customFormat="1" ht="20" customHeight="1">
      <c r="B354" s="2">
        <f>IF(C354="","", 341)</f>
        <v>0</v>
      </c>
      <c r="C354" s="2">
        <f>IFERROR(INDEX(البيانات_الأساسية!A:A, MATCH(341, البيانات_الأساسية!$I:$I, 0)), "")</f>
        <v>0</v>
      </c>
      <c r="D354" s="2">
        <f>IFERROR(INDEX(البيانات_الأساسية!B:B, MATCH(341, البيانات_الأساسية!$I:$I, 0)), "")</f>
        <v>0</v>
      </c>
      <c r="E354" s="2">
        <f>IFERROR(IF($C$5="الكل", INDEX(البيانات_الأساسية!D:D, MATCH(341, البيانات_الأساسية!$I:$I, 0)), INDEX(البيانات_الأساسية!$V:$AG, MATCH(341, البيانات_الأساسية!$I:$I, 0), VALUE($C$5))), "")</f>
        <v>0</v>
      </c>
      <c r="F354" s="2">
        <f>IFERROR(IF($C$5="الكل", INDEX(البيانات_الأساسية!C:C, MATCH(341, البيانات_الأساسية!$I:$I, 0)), INDEX(البيانات_الأساسية!$J:$U, MATCH(341, البيانات_الأساسية!$I:$I, 0), VALUE($C$5))), "")</f>
        <v>0</v>
      </c>
      <c r="G354" s="2">
        <f>IFERROR(ROUND(F354/60, 2), "")</f>
        <v>0</v>
      </c>
      <c r="H354" s="2">
        <f>IFERROR(ROUND(F354/E354, 2), "")</f>
        <v>0</v>
      </c>
      <c r="I354" s="2">
        <f>IFERROR(IF($C$5="الكل", INDEX(البيانات_الأساسية!G:G, MATCH(341, البيانات_الأساسية!$I:$I, 0)), $C$5), "")</f>
        <v>0</v>
      </c>
    </row>
    <row r="355" spans="2:9" s="4" customFormat="1" ht="20" customHeight="1">
      <c r="B355" s="2">
        <f>IF(C355="","", 342)</f>
        <v>0</v>
      </c>
      <c r="C355" s="2">
        <f>IFERROR(INDEX(البيانات_الأساسية!A:A, MATCH(342, البيانات_الأساسية!$I:$I, 0)), "")</f>
        <v>0</v>
      </c>
      <c r="D355" s="2">
        <f>IFERROR(INDEX(البيانات_الأساسية!B:B, MATCH(342, البيانات_الأساسية!$I:$I, 0)), "")</f>
        <v>0</v>
      </c>
      <c r="E355" s="2">
        <f>IFERROR(IF($C$5="الكل", INDEX(البيانات_الأساسية!D:D, MATCH(342, البيانات_الأساسية!$I:$I, 0)), INDEX(البيانات_الأساسية!$V:$AG, MATCH(342, البيانات_الأساسية!$I:$I, 0), VALUE($C$5))), "")</f>
        <v>0</v>
      </c>
      <c r="F355" s="2">
        <f>IFERROR(IF($C$5="الكل", INDEX(البيانات_الأساسية!C:C, MATCH(342, البيانات_الأساسية!$I:$I, 0)), INDEX(البيانات_الأساسية!$J:$U, MATCH(342, البيانات_الأساسية!$I:$I, 0), VALUE($C$5))), "")</f>
        <v>0</v>
      </c>
      <c r="G355" s="2">
        <f>IFERROR(ROUND(F355/60, 2), "")</f>
        <v>0</v>
      </c>
      <c r="H355" s="2">
        <f>IFERROR(ROUND(F355/E355, 2), "")</f>
        <v>0</v>
      </c>
      <c r="I355" s="2">
        <f>IFERROR(IF($C$5="الكل", INDEX(البيانات_الأساسية!G:G, MATCH(342, البيانات_الأساسية!$I:$I, 0)), $C$5), "")</f>
        <v>0</v>
      </c>
    </row>
    <row r="356" spans="2:9" s="4" customFormat="1" ht="20" customHeight="1">
      <c r="B356" s="2">
        <f>IF(C356="","", 343)</f>
        <v>0</v>
      </c>
      <c r="C356" s="2">
        <f>IFERROR(INDEX(البيانات_الأساسية!A:A, MATCH(343, البيانات_الأساسية!$I:$I, 0)), "")</f>
        <v>0</v>
      </c>
      <c r="D356" s="2">
        <f>IFERROR(INDEX(البيانات_الأساسية!B:B, MATCH(343, البيانات_الأساسية!$I:$I, 0)), "")</f>
        <v>0</v>
      </c>
      <c r="E356" s="2">
        <f>IFERROR(IF($C$5="الكل", INDEX(البيانات_الأساسية!D:D, MATCH(343, البيانات_الأساسية!$I:$I, 0)), INDEX(البيانات_الأساسية!$V:$AG, MATCH(343, البيانات_الأساسية!$I:$I, 0), VALUE($C$5))), "")</f>
        <v>0</v>
      </c>
      <c r="F356" s="2">
        <f>IFERROR(IF($C$5="الكل", INDEX(البيانات_الأساسية!C:C, MATCH(343, البيانات_الأساسية!$I:$I, 0)), INDEX(البيانات_الأساسية!$J:$U, MATCH(343, البيانات_الأساسية!$I:$I, 0), VALUE($C$5))), "")</f>
        <v>0</v>
      </c>
      <c r="G356" s="2">
        <f>IFERROR(ROUND(F356/60, 2), "")</f>
        <v>0</v>
      </c>
      <c r="H356" s="2">
        <f>IFERROR(ROUND(F356/E356, 2), "")</f>
        <v>0</v>
      </c>
      <c r="I356" s="2">
        <f>IFERROR(IF($C$5="الكل", INDEX(البيانات_الأساسية!G:G, MATCH(343, البيانات_الأساسية!$I:$I, 0)), $C$5), "")</f>
        <v>0</v>
      </c>
    </row>
    <row r="357" spans="2:9" s="4" customFormat="1" ht="20" customHeight="1">
      <c r="B357" s="2">
        <f>IF(C357="","", 344)</f>
        <v>0</v>
      </c>
      <c r="C357" s="2">
        <f>IFERROR(INDEX(البيانات_الأساسية!A:A, MATCH(344, البيانات_الأساسية!$I:$I, 0)), "")</f>
        <v>0</v>
      </c>
      <c r="D357" s="2">
        <f>IFERROR(INDEX(البيانات_الأساسية!B:B, MATCH(344, البيانات_الأساسية!$I:$I, 0)), "")</f>
        <v>0</v>
      </c>
      <c r="E357" s="2">
        <f>IFERROR(IF($C$5="الكل", INDEX(البيانات_الأساسية!D:D, MATCH(344, البيانات_الأساسية!$I:$I, 0)), INDEX(البيانات_الأساسية!$V:$AG, MATCH(344, البيانات_الأساسية!$I:$I, 0), VALUE($C$5))), "")</f>
        <v>0</v>
      </c>
      <c r="F357" s="2">
        <f>IFERROR(IF($C$5="الكل", INDEX(البيانات_الأساسية!C:C, MATCH(344, البيانات_الأساسية!$I:$I, 0)), INDEX(البيانات_الأساسية!$J:$U, MATCH(344, البيانات_الأساسية!$I:$I, 0), VALUE($C$5))), "")</f>
        <v>0</v>
      </c>
      <c r="G357" s="2">
        <f>IFERROR(ROUND(F357/60, 2), "")</f>
        <v>0</v>
      </c>
      <c r="H357" s="2">
        <f>IFERROR(ROUND(F357/E357, 2), "")</f>
        <v>0</v>
      </c>
      <c r="I357" s="2">
        <f>IFERROR(IF($C$5="الكل", INDEX(البيانات_الأساسية!G:G, MATCH(344, البيانات_الأساسية!$I:$I, 0)), $C$5), "")</f>
        <v>0</v>
      </c>
    </row>
    <row r="358" spans="2:9" s="4" customFormat="1" ht="20" customHeight="1">
      <c r="B358" s="2">
        <f>IF(C358="","", 345)</f>
        <v>0</v>
      </c>
      <c r="C358" s="2">
        <f>IFERROR(INDEX(البيانات_الأساسية!A:A, MATCH(345, البيانات_الأساسية!$I:$I, 0)), "")</f>
        <v>0</v>
      </c>
      <c r="D358" s="2">
        <f>IFERROR(INDEX(البيانات_الأساسية!B:B, MATCH(345, البيانات_الأساسية!$I:$I, 0)), "")</f>
        <v>0</v>
      </c>
      <c r="E358" s="2">
        <f>IFERROR(IF($C$5="الكل", INDEX(البيانات_الأساسية!D:D, MATCH(345, البيانات_الأساسية!$I:$I, 0)), INDEX(البيانات_الأساسية!$V:$AG, MATCH(345, البيانات_الأساسية!$I:$I, 0), VALUE($C$5))), "")</f>
        <v>0</v>
      </c>
      <c r="F358" s="2">
        <f>IFERROR(IF($C$5="الكل", INDEX(البيانات_الأساسية!C:C, MATCH(345, البيانات_الأساسية!$I:$I, 0)), INDEX(البيانات_الأساسية!$J:$U, MATCH(345, البيانات_الأساسية!$I:$I, 0), VALUE($C$5))), "")</f>
        <v>0</v>
      </c>
      <c r="G358" s="2">
        <f>IFERROR(ROUND(F358/60, 2), "")</f>
        <v>0</v>
      </c>
      <c r="H358" s="2">
        <f>IFERROR(ROUND(F358/E358, 2), "")</f>
        <v>0</v>
      </c>
      <c r="I358" s="2">
        <f>IFERROR(IF($C$5="الكل", INDEX(البيانات_الأساسية!G:G, MATCH(345, البيانات_الأساسية!$I:$I, 0)), $C$5), "")</f>
        <v>0</v>
      </c>
    </row>
    <row r="359" spans="2:9" s="4" customFormat="1" ht="20" customHeight="1">
      <c r="B359" s="2">
        <f>IF(C359="","", 346)</f>
        <v>0</v>
      </c>
      <c r="C359" s="2">
        <f>IFERROR(INDEX(البيانات_الأساسية!A:A, MATCH(346, البيانات_الأساسية!$I:$I, 0)), "")</f>
        <v>0</v>
      </c>
      <c r="D359" s="2">
        <f>IFERROR(INDEX(البيانات_الأساسية!B:B, MATCH(346, البيانات_الأساسية!$I:$I, 0)), "")</f>
        <v>0</v>
      </c>
      <c r="E359" s="2">
        <f>IFERROR(IF($C$5="الكل", INDEX(البيانات_الأساسية!D:D, MATCH(346, البيانات_الأساسية!$I:$I, 0)), INDEX(البيانات_الأساسية!$V:$AG, MATCH(346, البيانات_الأساسية!$I:$I, 0), VALUE($C$5))), "")</f>
        <v>0</v>
      </c>
      <c r="F359" s="2">
        <f>IFERROR(IF($C$5="الكل", INDEX(البيانات_الأساسية!C:C, MATCH(346, البيانات_الأساسية!$I:$I, 0)), INDEX(البيانات_الأساسية!$J:$U, MATCH(346, البيانات_الأساسية!$I:$I, 0), VALUE($C$5))), "")</f>
        <v>0</v>
      </c>
      <c r="G359" s="2">
        <f>IFERROR(ROUND(F359/60, 2), "")</f>
        <v>0</v>
      </c>
      <c r="H359" s="2">
        <f>IFERROR(ROUND(F359/E359, 2), "")</f>
        <v>0</v>
      </c>
      <c r="I359" s="2">
        <f>IFERROR(IF($C$5="الكل", INDEX(البيانات_الأساسية!G:G, MATCH(346, البيانات_الأساسية!$I:$I, 0)), $C$5), "")</f>
        <v>0</v>
      </c>
    </row>
    <row r="360" spans="2:9" s="4" customFormat="1" ht="20" customHeight="1">
      <c r="B360" s="2">
        <f>IF(C360="","", 347)</f>
        <v>0</v>
      </c>
      <c r="C360" s="2">
        <f>IFERROR(INDEX(البيانات_الأساسية!A:A, MATCH(347, البيانات_الأساسية!$I:$I, 0)), "")</f>
        <v>0</v>
      </c>
      <c r="D360" s="2">
        <f>IFERROR(INDEX(البيانات_الأساسية!B:B, MATCH(347, البيانات_الأساسية!$I:$I, 0)), "")</f>
        <v>0</v>
      </c>
      <c r="E360" s="2">
        <f>IFERROR(IF($C$5="الكل", INDEX(البيانات_الأساسية!D:D, MATCH(347, البيانات_الأساسية!$I:$I, 0)), INDEX(البيانات_الأساسية!$V:$AG, MATCH(347, البيانات_الأساسية!$I:$I, 0), VALUE($C$5))), "")</f>
        <v>0</v>
      </c>
      <c r="F360" s="2">
        <f>IFERROR(IF($C$5="الكل", INDEX(البيانات_الأساسية!C:C, MATCH(347, البيانات_الأساسية!$I:$I, 0)), INDEX(البيانات_الأساسية!$J:$U, MATCH(347, البيانات_الأساسية!$I:$I, 0), VALUE($C$5))), "")</f>
        <v>0</v>
      </c>
      <c r="G360" s="2">
        <f>IFERROR(ROUND(F360/60, 2), "")</f>
        <v>0</v>
      </c>
      <c r="H360" s="2">
        <f>IFERROR(ROUND(F360/E360, 2), "")</f>
        <v>0</v>
      </c>
      <c r="I360" s="2">
        <f>IFERROR(IF($C$5="الكل", INDEX(البيانات_الأساسية!G:G, MATCH(347, البيانات_الأساسية!$I:$I, 0)), $C$5), "")</f>
        <v>0</v>
      </c>
    </row>
    <row r="361" spans="2:9" s="4" customFormat="1" ht="20" customHeight="1">
      <c r="B361" s="2">
        <f>IF(C361="","", 348)</f>
        <v>0</v>
      </c>
      <c r="C361" s="2">
        <f>IFERROR(INDEX(البيانات_الأساسية!A:A, MATCH(348, البيانات_الأساسية!$I:$I, 0)), "")</f>
        <v>0</v>
      </c>
      <c r="D361" s="2">
        <f>IFERROR(INDEX(البيانات_الأساسية!B:B, MATCH(348, البيانات_الأساسية!$I:$I, 0)), "")</f>
        <v>0</v>
      </c>
      <c r="E361" s="2">
        <f>IFERROR(IF($C$5="الكل", INDEX(البيانات_الأساسية!D:D, MATCH(348, البيانات_الأساسية!$I:$I, 0)), INDEX(البيانات_الأساسية!$V:$AG, MATCH(348, البيانات_الأساسية!$I:$I, 0), VALUE($C$5))), "")</f>
        <v>0</v>
      </c>
      <c r="F361" s="2">
        <f>IFERROR(IF($C$5="الكل", INDEX(البيانات_الأساسية!C:C, MATCH(348, البيانات_الأساسية!$I:$I, 0)), INDEX(البيانات_الأساسية!$J:$U, MATCH(348, البيانات_الأساسية!$I:$I, 0), VALUE($C$5))), "")</f>
        <v>0</v>
      </c>
      <c r="G361" s="2">
        <f>IFERROR(ROUND(F361/60, 2), "")</f>
        <v>0</v>
      </c>
      <c r="H361" s="2">
        <f>IFERROR(ROUND(F361/E361, 2), "")</f>
        <v>0</v>
      </c>
      <c r="I361" s="2">
        <f>IFERROR(IF($C$5="الكل", INDEX(البيانات_الأساسية!G:G, MATCH(348, البيانات_الأساسية!$I:$I, 0)), $C$5), "")</f>
        <v>0</v>
      </c>
    </row>
    <row r="362" spans="2:9" s="4" customFormat="1" ht="20" customHeight="1">
      <c r="B362" s="2">
        <f>IF(C362="","", 349)</f>
        <v>0</v>
      </c>
      <c r="C362" s="2">
        <f>IFERROR(INDEX(البيانات_الأساسية!A:A, MATCH(349, البيانات_الأساسية!$I:$I, 0)), "")</f>
        <v>0</v>
      </c>
      <c r="D362" s="2">
        <f>IFERROR(INDEX(البيانات_الأساسية!B:B, MATCH(349, البيانات_الأساسية!$I:$I, 0)), "")</f>
        <v>0</v>
      </c>
      <c r="E362" s="2">
        <f>IFERROR(IF($C$5="الكل", INDEX(البيانات_الأساسية!D:D, MATCH(349, البيانات_الأساسية!$I:$I, 0)), INDEX(البيانات_الأساسية!$V:$AG, MATCH(349, البيانات_الأساسية!$I:$I, 0), VALUE($C$5))), "")</f>
        <v>0</v>
      </c>
      <c r="F362" s="2">
        <f>IFERROR(IF($C$5="الكل", INDEX(البيانات_الأساسية!C:C, MATCH(349, البيانات_الأساسية!$I:$I, 0)), INDEX(البيانات_الأساسية!$J:$U, MATCH(349, البيانات_الأساسية!$I:$I, 0), VALUE($C$5))), "")</f>
        <v>0</v>
      </c>
      <c r="G362" s="2">
        <f>IFERROR(ROUND(F362/60, 2), "")</f>
        <v>0</v>
      </c>
      <c r="H362" s="2">
        <f>IFERROR(ROUND(F362/E362, 2), "")</f>
        <v>0</v>
      </c>
      <c r="I362" s="2">
        <f>IFERROR(IF($C$5="الكل", INDEX(البيانات_الأساسية!G:G, MATCH(349, البيانات_الأساسية!$I:$I, 0)), $C$5), "")</f>
        <v>0</v>
      </c>
    </row>
    <row r="363" spans="2:9" s="4" customFormat="1" ht="20" customHeight="1">
      <c r="B363" s="2">
        <f>IF(C363="","", 350)</f>
        <v>0</v>
      </c>
      <c r="C363" s="2">
        <f>IFERROR(INDEX(البيانات_الأساسية!A:A, MATCH(350, البيانات_الأساسية!$I:$I, 0)), "")</f>
        <v>0</v>
      </c>
      <c r="D363" s="2">
        <f>IFERROR(INDEX(البيانات_الأساسية!B:B, MATCH(350, البيانات_الأساسية!$I:$I, 0)), "")</f>
        <v>0</v>
      </c>
      <c r="E363" s="2">
        <f>IFERROR(IF($C$5="الكل", INDEX(البيانات_الأساسية!D:D, MATCH(350, البيانات_الأساسية!$I:$I, 0)), INDEX(البيانات_الأساسية!$V:$AG, MATCH(350, البيانات_الأساسية!$I:$I, 0), VALUE($C$5))), "")</f>
        <v>0</v>
      </c>
      <c r="F363" s="2">
        <f>IFERROR(IF($C$5="الكل", INDEX(البيانات_الأساسية!C:C, MATCH(350, البيانات_الأساسية!$I:$I, 0)), INDEX(البيانات_الأساسية!$J:$U, MATCH(350, البيانات_الأساسية!$I:$I, 0), VALUE($C$5))), "")</f>
        <v>0</v>
      </c>
      <c r="G363" s="2">
        <f>IFERROR(ROUND(F363/60, 2), "")</f>
        <v>0</v>
      </c>
      <c r="H363" s="2">
        <f>IFERROR(ROUND(F363/E363, 2), "")</f>
        <v>0</v>
      </c>
      <c r="I363" s="2">
        <f>IFERROR(IF($C$5="الكل", INDEX(البيانات_الأساسية!G:G, MATCH(350, البيانات_الأساسية!$I:$I, 0)), $C$5), "")</f>
        <v>0</v>
      </c>
    </row>
    <row r="364" spans="2:9" s="4" customFormat="1" ht="20" customHeight="1">
      <c r="B364" s="2">
        <f>IF(C364="","", 351)</f>
        <v>0</v>
      </c>
      <c r="C364" s="2">
        <f>IFERROR(INDEX(البيانات_الأساسية!A:A, MATCH(351, البيانات_الأساسية!$I:$I, 0)), "")</f>
        <v>0</v>
      </c>
      <c r="D364" s="2">
        <f>IFERROR(INDEX(البيانات_الأساسية!B:B, MATCH(351, البيانات_الأساسية!$I:$I, 0)), "")</f>
        <v>0</v>
      </c>
      <c r="E364" s="2">
        <f>IFERROR(IF($C$5="الكل", INDEX(البيانات_الأساسية!D:D, MATCH(351, البيانات_الأساسية!$I:$I, 0)), INDEX(البيانات_الأساسية!$V:$AG, MATCH(351, البيانات_الأساسية!$I:$I, 0), VALUE($C$5))), "")</f>
        <v>0</v>
      </c>
      <c r="F364" s="2">
        <f>IFERROR(IF($C$5="الكل", INDEX(البيانات_الأساسية!C:C, MATCH(351, البيانات_الأساسية!$I:$I, 0)), INDEX(البيانات_الأساسية!$J:$U, MATCH(351, البيانات_الأساسية!$I:$I, 0), VALUE($C$5))), "")</f>
        <v>0</v>
      </c>
      <c r="G364" s="2">
        <f>IFERROR(ROUND(F364/60, 2), "")</f>
        <v>0</v>
      </c>
      <c r="H364" s="2">
        <f>IFERROR(ROUND(F364/E364, 2), "")</f>
        <v>0</v>
      </c>
      <c r="I364" s="2">
        <f>IFERROR(IF($C$5="الكل", INDEX(البيانات_الأساسية!G:G, MATCH(351, البيانات_الأساسية!$I:$I, 0)), $C$5), "")</f>
        <v>0</v>
      </c>
    </row>
    <row r="365" spans="2:9" s="4" customFormat="1" ht="20" customHeight="1">
      <c r="B365" s="2">
        <f>IF(C365="","", 352)</f>
        <v>0</v>
      </c>
      <c r="C365" s="2">
        <f>IFERROR(INDEX(البيانات_الأساسية!A:A, MATCH(352, البيانات_الأساسية!$I:$I, 0)), "")</f>
        <v>0</v>
      </c>
      <c r="D365" s="2">
        <f>IFERROR(INDEX(البيانات_الأساسية!B:B, MATCH(352, البيانات_الأساسية!$I:$I, 0)), "")</f>
        <v>0</v>
      </c>
      <c r="E365" s="2">
        <f>IFERROR(IF($C$5="الكل", INDEX(البيانات_الأساسية!D:D, MATCH(352, البيانات_الأساسية!$I:$I, 0)), INDEX(البيانات_الأساسية!$V:$AG, MATCH(352, البيانات_الأساسية!$I:$I, 0), VALUE($C$5))), "")</f>
        <v>0</v>
      </c>
      <c r="F365" s="2">
        <f>IFERROR(IF($C$5="الكل", INDEX(البيانات_الأساسية!C:C, MATCH(352, البيانات_الأساسية!$I:$I, 0)), INDEX(البيانات_الأساسية!$J:$U, MATCH(352, البيانات_الأساسية!$I:$I, 0), VALUE($C$5))), "")</f>
        <v>0</v>
      </c>
      <c r="G365" s="2">
        <f>IFERROR(ROUND(F365/60, 2), "")</f>
        <v>0</v>
      </c>
      <c r="H365" s="2">
        <f>IFERROR(ROUND(F365/E365, 2), "")</f>
        <v>0</v>
      </c>
      <c r="I365" s="2">
        <f>IFERROR(IF($C$5="الكل", INDEX(البيانات_الأساسية!G:G, MATCH(352, البيانات_الأساسية!$I:$I, 0)), $C$5), "")</f>
        <v>0</v>
      </c>
    </row>
    <row r="366" spans="2:9" s="4" customFormat="1" ht="20" customHeight="1">
      <c r="B366" s="2">
        <f>IF(C366="","", 353)</f>
        <v>0</v>
      </c>
      <c r="C366" s="2">
        <f>IFERROR(INDEX(البيانات_الأساسية!A:A, MATCH(353, البيانات_الأساسية!$I:$I, 0)), "")</f>
        <v>0</v>
      </c>
      <c r="D366" s="2">
        <f>IFERROR(INDEX(البيانات_الأساسية!B:B, MATCH(353, البيانات_الأساسية!$I:$I, 0)), "")</f>
        <v>0</v>
      </c>
      <c r="E366" s="2">
        <f>IFERROR(IF($C$5="الكل", INDEX(البيانات_الأساسية!D:D, MATCH(353, البيانات_الأساسية!$I:$I, 0)), INDEX(البيانات_الأساسية!$V:$AG, MATCH(353, البيانات_الأساسية!$I:$I, 0), VALUE($C$5))), "")</f>
        <v>0</v>
      </c>
      <c r="F366" s="2">
        <f>IFERROR(IF($C$5="الكل", INDEX(البيانات_الأساسية!C:C, MATCH(353, البيانات_الأساسية!$I:$I, 0)), INDEX(البيانات_الأساسية!$J:$U, MATCH(353, البيانات_الأساسية!$I:$I, 0), VALUE($C$5))), "")</f>
        <v>0</v>
      </c>
      <c r="G366" s="2">
        <f>IFERROR(ROUND(F366/60, 2), "")</f>
        <v>0</v>
      </c>
      <c r="H366" s="2">
        <f>IFERROR(ROUND(F366/E366, 2), "")</f>
        <v>0</v>
      </c>
      <c r="I366" s="2">
        <f>IFERROR(IF($C$5="الكل", INDEX(البيانات_الأساسية!G:G, MATCH(353, البيانات_الأساسية!$I:$I, 0)), $C$5), "")</f>
        <v>0</v>
      </c>
    </row>
    <row r="367" spans="2:9" s="4" customFormat="1" ht="20" customHeight="1">
      <c r="B367" s="2">
        <f>IF(C367="","", 354)</f>
        <v>0</v>
      </c>
      <c r="C367" s="2">
        <f>IFERROR(INDEX(البيانات_الأساسية!A:A, MATCH(354, البيانات_الأساسية!$I:$I, 0)), "")</f>
        <v>0</v>
      </c>
      <c r="D367" s="2">
        <f>IFERROR(INDEX(البيانات_الأساسية!B:B, MATCH(354, البيانات_الأساسية!$I:$I, 0)), "")</f>
        <v>0</v>
      </c>
      <c r="E367" s="2">
        <f>IFERROR(IF($C$5="الكل", INDEX(البيانات_الأساسية!D:D, MATCH(354, البيانات_الأساسية!$I:$I, 0)), INDEX(البيانات_الأساسية!$V:$AG, MATCH(354, البيانات_الأساسية!$I:$I, 0), VALUE($C$5))), "")</f>
        <v>0</v>
      </c>
      <c r="F367" s="2">
        <f>IFERROR(IF($C$5="الكل", INDEX(البيانات_الأساسية!C:C, MATCH(354, البيانات_الأساسية!$I:$I, 0)), INDEX(البيانات_الأساسية!$J:$U, MATCH(354, البيانات_الأساسية!$I:$I, 0), VALUE($C$5))), "")</f>
        <v>0</v>
      </c>
      <c r="G367" s="2">
        <f>IFERROR(ROUND(F367/60, 2), "")</f>
        <v>0</v>
      </c>
      <c r="H367" s="2">
        <f>IFERROR(ROUND(F367/E367, 2), "")</f>
        <v>0</v>
      </c>
      <c r="I367" s="2">
        <f>IFERROR(IF($C$5="الكل", INDEX(البيانات_الأساسية!G:G, MATCH(354, البيانات_الأساسية!$I:$I, 0)), $C$5), "")</f>
        <v>0</v>
      </c>
    </row>
    <row r="368" spans="2:9" s="4" customFormat="1" ht="20" customHeight="1">
      <c r="B368" s="2">
        <f>IF(C368="","", 355)</f>
        <v>0</v>
      </c>
      <c r="C368" s="2">
        <f>IFERROR(INDEX(البيانات_الأساسية!A:A, MATCH(355, البيانات_الأساسية!$I:$I, 0)), "")</f>
        <v>0</v>
      </c>
      <c r="D368" s="2">
        <f>IFERROR(INDEX(البيانات_الأساسية!B:B, MATCH(355, البيانات_الأساسية!$I:$I, 0)), "")</f>
        <v>0</v>
      </c>
      <c r="E368" s="2">
        <f>IFERROR(IF($C$5="الكل", INDEX(البيانات_الأساسية!D:D, MATCH(355, البيانات_الأساسية!$I:$I, 0)), INDEX(البيانات_الأساسية!$V:$AG, MATCH(355, البيانات_الأساسية!$I:$I, 0), VALUE($C$5))), "")</f>
        <v>0</v>
      </c>
      <c r="F368" s="2">
        <f>IFERROR(IF($C$5="الكل", INDEX(البيانات_الأساسية!C:C, MATCH(355, البيانات_الأساسية!$I:$I, 0)), INDEX(البيانات_الأساسية!$J:$U, MATCH(355, البيانات_الأساسية!$I:$I, 0), VALUE($C$5))), "")</f>
        <v>0</v>
      </c>
      <c r="G368" s="2">
        <f>IFERROR(ROUND(F368/60, 2), "")</f>
        <v>0</v>
      </c>
      <c r="H368" s="2">
        <f>IFERROR(ROUND(F368/E368, 2), "")</f>
        <v>0</v>
      </c>
      <c r="I368" s="2">
        <f>IFERROR(IF($C$5="الكل", INDEX(البيانات_الأساسية!G:G, MATCH(355, البيانات_الأساسية!$I:$I, 0)), $C$5), "")</f>
        <v>0</v>
      </c>
    </row>
    <row r="369" spans="2:9" s="4" customFormat="1" ht="20" customHeight="1">
      <c r="B369" s="2">
        <f>IF(C369="","", 356)</f>
        <v>0</v>
      </c>
      <c r="C369" s="2">
        <f>IFERROR(INDEX(البيانات_الأساسية!A:A, MATCH(356, البيانات_الأساسية!$I:$I, 0)), "")</f>
        <v>0</v>
      </c>
      <c r="D369" s="2">
        <f>IFERROR(INDEX(البيانات_الأساسية!B:B, MATCH(356, البيانات_الأساسية!$I:$I, 0)), "")</f>
        <v>0</v>
      </c>
      <c r="E369" s="2">
        <f>IFERROR(IF($C$5="الكل", INDEX(البيانات_الأساسية!D:D, MATCH(356, البيانات_الأساسية!$I:$I, 0)), INDEX(البيانات_الأساسية!$V:$AG, MATCH(356, البيانات_الأساسية!$I:$I, 0), VALUE($C$5))), "")</f>
        <v>0</v>
      </c>
      <c r="F369" s="2">
        <f>IFERROR(IF($C$5="الكل", INDEX(البيانات_الأساسية!C:C, MATCH(356, البيانات_الأساسية!$I:$I, 0)), INDEX(البيانات_الأساسية!$J:$U, MATCH(356, البيانات_الأساسية!$I:$I, 0), VALUE($C$5))), "")</f>
        <v>0</v>
      </c>
      <c r="G369" s="2">
        <f>IFERROR(ROUND(F369/60, 2), "")</f>
        <v>0</v>
      </c>
      <c r="H369" s="2">
        <f>IFERROR(ROUND(F369/E369, 2), "")</f>
        <v>0</v>
      </c>
      <c r="I369" s="2">
        <f>IFERROR(IF($C$5="الكل", INDEX(البيانات_الأساسية!G:G, MATCH(356, البيانات_الأساسية!$I:$I, 0)), $C$5), "")</f>
        <v>0</v>
      </c>
    </row>
    <row r="370" spans="2:9" s="4" customFormat="1" ht="20" customHeight="1">
      <c r="B370" s="2">
        <f>IF(C370="","", 357)</f>
        <v>0</v>
      </c>
      <c r="C370" s="2">
        <f>IFERROR(INDEX(البيانات_الأساسية!A:A, MATCH(357, البيانات_الأساسية!$I:$I, 0)), "")</f>
        <v>0</v>
      </c>
      <c r="D370" s="2">
        <f>IFERROR(INDEX(البيانات_الأساسية!B:B, MATCH(357, البيانات_الأساسية!$I:$I, 0)), "")</f>
        <v>0</v>
      </c>
      <c r="E370" s="2">
        <f>IFERROR(IF($C$5="الكل", INDEX(البيانات_الأساسية!D:D, MATCH(357, البيانات_الأساسية!$I:$I, 0)), INDEX(البيانات_الأساسية!$V:$AG, MATCH(357, البيانات_الأساسية!$I:$I, 0), VALUE($C$5))), "")</f>
        <v>0</v>
      </c>
      <c r="F370" s="2">
        <f>IFERROR(IF($C$5="الكل", INDEX(البيانات_الأساسية!C:C, MATCH(357, البيانات_الأساسية!$I:$I, 0)), INDEX(البيانات_الأساسية!$J:$U, MATCH(357, البيانات_الأساسية!$I:$I, 0), VALUE($C$5))), "")</f>
        <v>0</v>
      </c>
      <c r="G370" s="2">
        <f>IFERROR(ROUND(F370/60, 2), "")</f>
        <v>0</v>
      </c>
      <c r="H370" s="2">
        <f>IFERROR(ROUND(F370/E370, 2), "")</f>
        <v>0</v>
      </c>
      <c r="I370" s="2">
        <f>IFERROR(IF($C$5="الكل", INDEX(البيانات_الأساسية!G:G, MATCH(357, البيانات_الأساسية!$I:$I, 0)), $C$5), "")</f>
        <v>0</v>
      </c>
    </row>
    <row r="371" spans="2:9" s="4" customFormat="1" ht="20" customHeight="1">
      <c r="B371" s="2">
        <f>IF(C371="","", 358)</f>
        <v>0</v>
      </c>
      <c r="C371" s="2">
        <f>IFERROR(INDEX(البيانات_الأساسية!A:A, MATCH(358, البيانات_الأساسية!$I:$I, 0)), "")</f>
        <v>0</v>
      </c>
      <c r="D371" s="2">
        <f>IFERROR(INDEX(البيانات_الأساسية!B:B, MATCH(358, البيانات_الأساسية!$I:$I, 0)), "")</f>
        <v>0</v>
      </c>
      <c r="E371" s="2">
        <f>IFERROR(IF($C$5="الكل", INDEX(البيانات_الأساسية!D:D, MATCH(358, البيانات_الأساسية!$I:$I, 0)), INDEX(البيانات_الأساسية!$V:$AG, MATCH(358, البيانات_الأساسية!$I:$I, 0), VALUE($C$5))), "")</f>
        <v>0</v>
      </c>
      <c r="F371" s="2">
        <f>IFERROR(IF($C$5="الكل", INDEX(البيانات_الأساسية!C:C, MATCH(358, البيانات_الأساسية!$I:$I, 0)), INDEX(البيانات_الأساسية!$J:$U, MATCH(358, البيانات_الأساسية!$I:$I, 0), VALUE($C$5))), "")</f>
        <v>0</v>
      </c>
      <c r="G371" s="2">
        <f>IFERROR(ROUND(F371/60, 2), "")</f>
        <v>0</v>
      </c>
      <c r="H371" s="2">
        <f>IFERROR(ROUND(F371/E371, 2), "")</f>
        <v>0</v>
      </c>
      <c r="I371" s="2">
        <f>IFERROR(IF($C$5="الكل", INDEX(البيانات_الأساسية!G:G, MATCH(358, البيانات_الأساسية!$I:$I, 0)), $C$5), "")</f>
        <v>0</v>
      </c>
    </row>
    <row r="372" spans="2:9" s="4" customFormat="1" ht="20" customHeight="1">
      <c r="B372" s="2">
        <f>IF(C372="","", 359)</f>
        <v>0</v>
      </c>
      <c r="C372" s="2">
        <f>IFERROR(INDEX(البيانات_الأساسية!A:A, MATCH(359, البيانات_الأساسية!$I:$I, 0)), "")</f>
        <v>0</v>
      </c>
      <c r="D372" s="2">
        <f>IFERROR(INDEX(البيانات_الأساسية!B:B, MATCH(359, البيانات_الأساسية!$I:$I, 0)), "")</f>
        <v>0</v>
      </c>
      <c r="E372" s="2">
        <f>IFERROR(IF($C$5="الكل", INDEX(البيانات_الأساسية!D:D, MATCH(359, البيانات_الأساسية!$I:$I, 0)), INDEX(البيانات_الأساسية!$V:$AG, MATCH(359, البيانات_الأساسية!$I:$I, 0), VALUE($C$5))), "")</f>
        <v>0</v>
      </c>
      <c r="F372" s="2">
        <f>IFERROR(IF($C$5="الكل", INDEX(البيانات_الأساسية!C:C, MATCH(359, البيانات_الأساسية!$I:$I, 0)), INDEX(البيانات_الأساسية!$J:$U, MATCH(359, البيانات_الأساسية!$I:$I, 0), VALUE($C$5))), "")</f>
        <v>0</v>
      </c>
      <c r="G372" s="2">
        <f>IFERROR(ROUND(F372/60, 2), "")</f>
        <v>0</v>
      </c>
      <c r="H372" s="2">
        <f>IFERROR(ROUND(F372/E372, 2), "")</f>
        <v>0</v>
      </c>
      <c r="I372" s="2">
        <f>IFERROR(IF($C$5="الكل", INDEX(البيانات_الأساسية!G:G, MATCH(359, البيانات_الأساسية!$I:$I, 0)), $C$5), "")</f>
        <v>0</v>
      </c>
    </row>
    <row r="373" spans="2:9" s="4" customFormat="1" ht="20" customHeight="1">
      <c r="B373" s="2">
        <f>IF(C373="","", 360)</f>
        <v>0</v>
      </c>
      <c r="C373" s="2">
        <f>IFERROR(INDEX(البيانات_الأساسية!A:A, MATCH(360, البيانات_الأساسية!$I:$I, 0)), "")</f>
        <v>0</v>
      </c>
      <c r="D373" s="2">
        <f>IFERROR(INDEX(البيانات_الأساسية!B:B, MATCH(360, البيانات_الأساسية!$I:$I, 0)), "")</f>
        <v>0</v>
      </c>
      <c r="E373" s="2">
        <f>IFERROR(IF($C$5="الكل", INDEX(البيانات_الأساسية!D:D, MATCH(360, البيانات_الأساسية!$I:$I, 0)), INDEX(البيانات_الأساسية!$V:$AG, MATCH(360, البيانات_الأساسية!$I:$I, 0), VALUE($C$5))), "")</f>
        <v>0</v>
      </c>
      <c r="F373" s="2">
        <f>IFERROR(IF($C$5="الكل", INDEX(البيانات_الأساسية!C:C, MATCH(360, البيانات_الأساسية!$I:$I, 0)), INDEX(البيانات_الأساسية!$J:$U, MATCH(360, البيانات_الأساسية!$I:$I, 0), VALUE($C$5))), "")</f>
        <v>0</v>
      </c>
      <c r="G373" s="2">
        <f>IFERROR(ROUND(F373/60, 2), "")</f>
        <v>0</v>
      </c>
      <c r="H373" s="2">
        <f>IFERROR(ROUND(F373/E373, 2), "")</f>
        <v>0</v>
      </c>
      <c r="I373" s="2">
        <f>IFERROR(IF($C$5="الكل", INDEX(البيانات_الأساسية!G:G, MATCH(360, البيانات_الأساسية!$I:$I, 0)), $C$5), "")</f>
        <v>0</v>
      </c>
    </row>
    <row r="374" spans="2:9" s="4" customFormat="1" ht="20" customHeight="1">
      <c r="B374" s="2">
        <f>IF(C374="","", 361)</f>
        <v>0</v>
      </c>
      <c r="C374" s="2">
        <f>IFERROR(INDEX(البيانات_الأساسية!A:A, MATCH(361, البيانات_الأساسية!$I:$I, 0)), "")</f>
        <v>0</v>
      </c>
      <c r="D374" s="2">
        <f>IFERROR(INDEX(البيانات_الأساسية!B:B, MATCH(361, البيانات_الأساسية!$I:$I, 0)), "")</f>
        <v>0</v>
      </c>
      <c r="E374" s="2">
        <f>IFERROR(IF($C$5="الكل", INDEX(البيانات_الأساسية!D:D, MATCH(361, البيانات_الأساسية!$I:$I, 0)), INDEX(البيانات_الأساسية!$V:$AG, MATCH(361, البيانات_الأساسية!$I:$I, 0), VALUE($C$5))), "")</f>
        <v>0</v>
      </c>
      <c r="F374" s="2">
        <f>IFERROR(IF($C$5="الكل", INDEX(البيانات_الأساسية!C:C, MATCH(361, البيانات_الأساسية!$I:$I, 0)), INDEX(البيانات_الأساسية!$J:$U, MATCH(361, البيانات_الأساسية!$I:$I, 0), VALUE($C$5))), "")</f>
        <v>0</v>
      </c>
      <c r="G374" s="2">
        <f>IFERROR(ROUND(F374/60, 2), "")</f>
        <v>0</v>
      </c>
      <c r="H374" s="2">
        <f>IFERROR(ROUND(F374/E374, 2), "")</f>
        <v>0</v>
      </c>
      <c r="I374" s="2">
        <f>IFERROR(IF($C$5="الكل", INDEX(البيانات_الأساسية!G:G, MATCH(361, البيانات_الأساسية!$I:$I, 0)), $C$5), "")</f>
        <v>0</v>
      </c>
    </row>
    <row r="375" spans="2:9" s="4" customFormat="1" ht="20" customHeight="1">
      <c r="B375" s="2">
        <f>IF(C375="","", 362)</f>
        <v>0</v>
      </c>
      <c r="C375" s="2">
        <f>IFERROR(INDEX(البيانات_الأساسية!A:A, MATCH(362, البيانات_الأساسية!$I:$I, 0)), "")</f>
        <v>0</v>
      </c>
      <c r="D375" s="2">
        <f>IFERROR(INDEX(البيانات_الأساسية!B:B, MATCH(362, البيانات_الأساسية!$I:$I, 0)), "")</f>
        <v>0</v>
      </c>
      <c r="E375" s="2">
        <f>IFERROR(IF($C$5="الكل", INDEX(البيانات_الأساسية!D:D, MATCH(362, البيانات_الأساسية!$I:$I, 0)), INDEX(البيانات_الأساسية!$V:$AG, MATCH(362, البيانات_الأساسية!$I:$I, 0), VALUE($C$5))), "")</f>
        <v>0</v>
      </c>
      <c r="F375" s="2">
        <f>IFERROR(IF($C$5="الكل", INDEX(البيانات_الأساسية!C:C, MATCH(362, البيانات_الأساسية!$I:$I, 0)), INDEX(البيانات_الأساسية!$J:$U, MATCH(362, البيانات_الأساسية!$I:$I, 0), VALUE($C$5))), "")</f>
        <v>0</v>
      </c>
      <c r="G375" s="2">
        <f>IFERROR(ROUND(F375/60, 2), "")</f>
        <v>0</v>
      </c>
      <c r="H375" s="2">
        <f>IFERROR(ROUND(F375/E375, 2), "")</f>
        <v>0</v>
      </c>
      <c r="I375" s="2">
        <f>IFERROR(IF($C$5="الكل", INDEX(البيانات_الأساسية!G:G, MATCH(362, البيانات_الأساسية!$I:$I, 0)), $C$5), "")</f>
        <v>0</v>
      </c>
    </row>
    <row r="376" spans="2:9" s="4" customFormat="1" ht="20" customHeight="1">
      <c r="B376" s="2">
        <f>IF(C376="","", 363)</f>
        <v>0</v>
      </c>
      <c r="C376" s="2">
        <f>IFERROR(INDEX(البيانات_الأساسية!A:A, MATCH(363, البيانات_الأساسية!$I:$I, 0)), "")</f>
        <v>0</v>
      </c>
      <c r="D376" s="2">
        <f>IFERROR(INDEX(البيانات_الأساسية!B:B, MATCH(363, البيانات_الأساسية!$I:$I, 0)), "")</f>
        <v>0</v>
      </c>
      <c r="E376" s="2">
        <f>IFERROR(IF($C$5="الكل", INDEX(البيانات_الأساسية!D:D, MATCH(363, البيانات_الأساسية!$I:$I, 0)), INDEX(البيانات_الأساسية!$V:$AG, MATCH(363, البيانات_الأساسية!$I:$I, 0), VALUE($C$5))), "")</f>
        <v>0</v>
      </c>
      <c r="F376" s="2">
        <f>IFERROR(IF($C$5="الكل", INDEX(البيانات_الأساسية!C:C, MATCH(363, البيانات_الأساسية!$I:$I, 0)), INDEX(البيانات_الأساسية!$J:$U, MATCH(363, البيانات_الأساسية!$I:$I, 0), VALUE($C$5))), "")</f>
        <v>0</v>
      </c>
      <c r="G376" s="2">
        <f>IFERROR(ROUND(F376/60, 2), "")</f>
        <v>0</v>
      </c>
      <c r="H376" s="2">
        <f>IFERROR(ROUND(F376/E376, 2), "")</f>
        <v>0</v>
      </c>
      <c r="I376" s="2">
        <f>IFERROR(IF($C$5="الكل", INDEX(البيانات_الأساسية!G:G, MATCH(363, البيانات_الأساسية!$I:$I, 0)), $C$5), "")</f>
        <v>0</v>
      </c>
    </row>
    <row r="377" spans="2:9" s="4" customFormat="1" ht="20" customHeight="1">
      <c r="B377" s="2">
        <f>IF(C377="","", 364)</f>
        <v>0</v>
      </c>
      <c r="C377" s="2">
        <f>IFERROR(INDEX(البيانات_الأساسية!A:A, MATCH(364, البيانات_الأساسية!$I:$I, 0)), "")</f>
        <v>0</v>
      </c>
      <c r="D377" s="2">
        <f>IFERROR(INDEX(البيانات_الأساسية!B:B, MATCH(364, البيانات_الأساسية!$I:$I, 0)), "")</f>
        <v>0</v>
      </c>
      <c r="E377" s="2">
        <f>IFERROR(IF($C$5="الكل", INDEX(البيانات_الأساسية!D:D, MATCH(364, البيانات_الأساسية!$I:$I, 0)), INDEX(البيانات_الأساسية!$V:$AG, MATCH(364, البيانات_الأساسية!$I:$I, 0), VALUE($C$5))), "")</f>
        <v>0</v>
      </c>
      <c r="F377" s="2">
        <f>IFERROR(IF($C$5="الكل", INDEX(البيانات_الأساسية!C:C, MATCH(364, البيانات_الأساسية!$I:$I, 0)), INDEX(البيانات_الأساسية!$J:$U, MATCH(364, البيانات_الأساسية!$I:$I, 0), VALUE($C$5))), "")</f>
        <v>0</v>
      </c>
      <c r="G377" s="2">
        <f>IFERROR(ROUND(F377/60, 2), "")</f>
        <v>0</v>
      </c>
      <c r="H377" s="2">
        <f>IFERROR(ROUND(F377/E377, 2), "")</f>
        <v>0</v>
      </c>
      <c r="I377" s="2">
        <f>IFERROR(IF($C$5="الكل", INDEX(البيانات_الأساسية!G:G, MATCH(364, البيانات_الأساسية!$I:$I, 0)), $C$5), "")</f>
        <v>0</v>
      </c>
    </row>
    <row r="378" spans="2:9" s="4" customFormat="1" ht="20" customHeight="1">
      <c r="B378" s="2">
        <f>IF(C378="","", 365)</f>
        <v>0</v>
      </c>
      <c r="C378" s="2">
        <f>IFERROR(INDEX(البيانات_الأساسية!A:A, MATCH(365, البيانات_الأساسية!$I:$I, 0)), "")</f>
        <v>0</v>
      </c>
      <c r="D378" s="2">
        <f>IFERROR(INDEX(البيانات_الأساسية!B:B, MATCH(365, البيانات_الأساسية!$I:$I, 0)), "")</f>
        <v>0</v>
      </c>
      <c r="E378" s="2">
        <f>IFERROR(IF($C$5="الكل", INDEX(البيانات_الأساسية!D:D, MATCH(365, البيانات_الأساسية!$I:$I, 0)), INDEX(البيانات_الأساسية!$V:$AG, MATCH(365, البيانات_الأساسية!$I:$I, 0), VALUE($C$5))), "")</f>
        <v>0</v>
      </c>
      <c r="F378" s="2">
        <f>IFERROR(IF($C$5="الكل", INDEX(البيانات_الأساسية!C:C, MATCH(365, البيانات_الأساسية!$I:$I, 0)), INDEX(البيانات_الأساسية!$J:$U, MATCH(365, البيانات_الأساسية!$I:$I, 0), VALUE($C$5))), "")</f>
        <v>0</v>
      </c>
      <c r="G378" s="2">
        <f>IFERROR(ROUND(F378/60, 2), "")</f>
        <v>0</v>
      </c>
      <c r="H378" s="2">
        <f>IFERROR(ROUND(F378/E378, 2), "")</f>
        <v>0</v>
      </c>
      <c r="I378" s="2">
        <f>IFERROR(IF($C$5="الكل", INDEX(البيانات_الأساسية!G:G, MATCH(365, البيانات_الأساسية!$I:$I, 0)), $C$5), "")</f>
        <v>0</v>
      </c>
    </row>
    <row r="379" spans="2:9" s="4" customFormat="1" ht="20" customHeight="1">
      <c r="B379" s="2">
        <f>IF(C379="","", 366)</f>
        <v>0</v>
      </c>
      <c r="C379" s="2">
        <f>IFERROR(INDEX(البيانات_الأساسية!A:A, MATCH(366, البيانات_الأساسية!$I:$I, 0)), "")</f>
        <v>0</v>
      </c>
      <c r="D379" s="2">
        <f>IFERROR(INDEX(البيانات_الأساسية!B:B, MATCH(366, البيانات_الأساسية!$I:$I, 0)), "")</f>
        <v>0</v>
      </c>
      <c r="E379" s="2">
        <f>IFERROR(IF($C$5="الكل", INDEX(البيانات_الأساسية!D:D, MATCH(366, البيانات_الأساسية!$I:$I, 0)), INDEX(البيانات_الأساسية!$V:$AG, MATCH(366, البيانات_الأساسية!$I:$I, 0), VALUE($C$5))), "")</f>
        <v>0</v>
      </c>
      <c r="F379" s="2">
        <f>IFERROR(IF($C$5="الكل", INDEX(البيانات_الأساسية!C:C, MATCH(366, البيانات_الأساسية!$I:$I, 0)), INDEX(البيانات_الأساسية!$J:$U, MATCH(366, البيانات_الأساسية!$I:$I, 0), VALUE($C$5))), "")</f>
        <v>0</v>
      </c>
      <c r="G379" s="2">
        <f>IFERROR(ROUND(F379/60, 2), "")</f>
        <v>0</v>
      </c>
      <c r="H379" s="2">
        <f>IFERROR(ROUND(F379/E379, 2), "")</f>
        <v>0</v>
      </c>
      <c r="I379" s="2">
        <f>IFERROR(IF($C$5="الكل", INDEX(البيانات_الأساسية!G:G, MATCH(366, البيانات_الأساسية!$I:$I, 0)), $C$5), "")</f>
        <v>0</v>
      </c>
    </row>
    <row r="380" spans="2:9" s="4" customFormat="1" ht="20" customHeight="1">
      <c r="B380" s="2">
        <f>IF(C380="","", 367)</f>
        <v>0</v>
      </c>
      <c r="C380" s="2">
        <f>IFERROR(INDEX(البيانات_الأساسية!A:A, MATCH(367, البيانات_الأساسية!$I:$I, 0)), "")</f>
        <v>0</v>
      </c>
      <c r="D380" s="2">
        <f>IFERROR(INDEX(البيانات_الأساسية!B:B, MATCH(367, البيانات_الأساسية!$I:$I, 0)), "")</f>
        <v>0</v>
      </c>
      <c r="E380" s="2">
        <f>IFERROR(IF($C$5="الكل", INDEX(البيانات_الأساسية!D:D, MATCH(367, البيانات_الأساسية!$I:$I, 0)), INDEX(البيانات_الأساسية!$V:$AG, MATCH(367, البيانات_الأساسية!$I:$I, 0), VALUE($C$5))), "")</f>
        <v>0</v>
      </c>
      <c r="F380" s="2">
        <f>IFERROR(IF($C$5="الكل", INDEX(البيانات_الأساسية!C:C, MATCH(367, البيانات_الأساسية!$I:$I, 0)), INDEX(البيانات_الأساسية!$J:$U, MATCH(367, البيانات_الأساسية!$I:$I, 0), VALUE($C$5))), "")</f>
        <v>0</v>
      </c>
      <c r="G380" s="2">
        <f>IFERROR(ROUND(F380/60, 2), "")</f>
        <v>0</v>
      </c>
      <c r="H380" s="2">
        <f>IFERROR(ROUND(F380/E380, 2), "")</f>
        <v>0</v>
      </c>
      <c r="I380" s="2">
        <f>IFERROR(IF($C$5="الكل", INDEX(البيانات_الأساسية!G:G, MATCH(367, البيانات_الأساسية!$I:$I, 0)), $C$5), "")</f>
        <v>0</v>
      </c>
    </row>
    <row r="381" spans="2:9" s="4" customFormat="1" ht="20" customHeight="1">
      <c r="B381" s="2">
        <f>IF(C381="","", 368)</f>
        <v>0</v>
      </c>
      <c r="C381" s="2">
        <f>IFERROR(INDEX(البيانات_الأساسية!A:A, MATCH(368, البيانات_الأساسية!$I:$I, 0)), "")</f>
        <v>0</v>
      </c>
      <c r="D381" s="2">
        <f>IFERROR(INDEX(البيانات_الأساسية!B:B, MATCH(368, البيانات_الأساسية!$I:$I, 0)), "")</f>
        <v>0</v>
      </c>
      <c r="E381" s="2">
        <f>IFERROR(IF($C$5="الكل", INDEX(البيانات_الأساسية!D:D, MATCH(368, البيانات_الأساسية!$I:$I, 0)), INDEX(البيانات_الأساسية!$V:$AG, MATCH(368, البيانات_الأساسية!$I:$I, 0), VALUE($C$5))), "")</f>
        <v>0</v>
      </c>
      <c r="F381" s="2">
        <f>IFERROR(IF($C$5="الكل", INDEX(البيانات_الأساسية!C:C, MATCH(368, البيانات_الأساسية!$I:$I, 0)), INDEX(البيانات_الأساسية!$J:$U, MATCH(368, البيانات_الأساسية!$I:$I, 0), VALUE($C$5))), "")</f>
        <v>0</v>
      </c>
      <c r="G381" s="2">
        <f>IFERROR(ROUND(F381/60, 2), "")</f>
        <v>0</v>
      </c>
      <c r="H381" s="2">
        <f>IFERROR(ROUND(F381/E381, 2), "")</f>
        <v>0</v>
      </c>
      <c r="I381" s="2">
        <f>IFERROR(IF($C$5="الكل", INDEX(البيانات_الأساسية!G:G, MATCH(368, البيانات_الأساسية!$I:$I, 0)), $C$5), "")</f>
        <v>0</v>
      </c>
    </row>
    <row r="382" spans="2:9" s="4" customFormat="1" ht="20" customHeight="1">
      <c r="B382" s="2">
        <f>IF(C382="","", 369)</f>
        <v>0</v>
      </c>
      <c r="C382" s="2">
        <f>IFERROR(INDEX(البيانات_الأساسية!A:A, MATCH(369, البيانات_الأساسية!$I:$I, 0)), "")</f>
        <v>0</v>
      </c>
      <c r="D382" s="2">
        <f>IFERROR(INDEX(البيانات_الأساسية!B:B, MATCH(369, البيانات_الأساسية!$I:$I, 0)), "")</f>
        <v>0</v>
      </c>
      <c r="E382" s="2">
        <f>IFERROR(IF($C$5="الكل", INDEX(البيانات_الأساسية!D:D, MATCH(369, البيانات_الأساسية!$I:$I, 0)), INDEX(البيانات_الأساسية!$V:$AG, MATCH(369, البيانات_الأساسية!$I:$I, 0), VALUE($C$5))), "")</f>
        <v>0</v>
      </c>
      <c r="F382" s="2">
        <f>IFERROR(IF($C$5="الكل", INDEX(البيانات_الأساسية!C:C, MATCH(369, البيانات_الأساسية!$I:$I, 0)), INDEX(البيانات_الأساسية!$J:$U, MATCH(369, البيانات_الأساسية!$I:$I, 0), VALUE($C$5))), "")</f>
        <v>0</v>
      </c>
      <c r="G382" s="2">
        <f>IFERROR(ROUND(F382/60, 2), "")</f>
        <v>0</v>
      </c>
      <c r="H382" s="2">
        <f>IFERROR(ROUND(F382/E382, 2), "")</f>
        <v>0</v>
      </c>
      <c r="I382" s="2">
        <f>IFERROR(IF($C$5="الكل", INDEX(البيانات_الأساسية!G:G, MATCH(369, البيانات_الأساسية!$I:$I, 0)), $C$5), "")</f>
        <v>0</v>
      </c>
    </row>
    <row r="383" spans="2:9" s="4" customFormat="1" ht="20" customHeight="1">
      <c r="B383" s="2">
        <f>IF(C383="","", 370)</f>
        <v>0</v>
      </c>
      <c r="C383" s="2">
        <f>IFERROR(INDEX(البيانات_الأساسية!A:A, MATCH(370, البيانات_الأساسية!$I:$I, 0)), "")</f>
        <v>0</v>
      </c>
      <c r="D383" s="2">
        <f>IFERROR(INDEX(البيانات_الأساسية!B:B, MATCH(370, البيانات_الأساسية!$I:$I, 0)), "")</f>
        <v>0</v>
      </c>
      <c r="E383" s="2">
        <f>IFERROR(IF($C$5="الكل", INDEX(البيانات_الأساسية!D:D, MATCH(370, البيانات_الأساسية!$I:$I, 0)), INDEX(البيانات_الأساسية!$V:$AG, MATCH(370, البيانات_الأساسية!$I:$I, 0), VALUE($C$5))), "")</f>
        <v>0</v>
      </c>
      <c r="F383" s="2">
        <f>IFERROR(IF($C$5="الكل", INDEX(البيانات_الأساسية!C:C, MATCH(370, البيانات_الأساسية!$I:$I, 0)), INDEX(البيانات_الأساسية!$J:$U, MATCH(370, البيانات_الأساسية!$I:$I, 0), VALUE($C$5))), "")</f>
        <v>0</v>
      </c>
      <c r="G383" s="2">
        <f>IFERROR(ROUND(F383/60, 2), "")</f>
        <v>0</v>
      </c>
      <c r="H383" s="2">
        <f>IFERROR(ROUND(F383/E383, 2), "")</f>
        <v>0</v>
      </c>
      <c r="I383" s="2">
        <f>IFERROR(IF($C$5="الكل", INDEX(البيانات_الأساسية!G:G, MATCH(370, البيانات_الأساسية!$I:$I, 0)), $C$5), "")</f>
        <v>0</v>
      </c>
    </row>
    <row r="384" spans="2:9" s="4" customFormat="1" ht="20" customHeight="1">
      <c r="B384" s="2">
        <f>IF(C384="","", 371)</f>
        <v>0</v>
      </c>
      <c r="C384" s="2">
        <f>IFERROR(INDEX(البيانات_الأساسية!A:A, MATCH(371, البيانات_الأساسية!$I:$I, 0)), "")</f>
        <v>0</v>
      </c>
      <c r="D384" s="2">
        <f>IFERROR(INDEX(البيانات_الأساسية!B:B, MATCH(371, البيانات_الأساسية!$I:$I, 0)), "")</f>
        <v>0</v>
      </c>
      <c r="E384" s="2">
        <f>IFERROR(IF($C$5="الكل", INDEX(البيانات_الأساسية!D:D, MATCH(371, البيانات_الأساسية!$I:$I, 0)), INDEX(البيانات_الأساسية!$V:$AG, MATCH(371, البيانات_الأساسية!$I:$I, 0), VALUE($C$5))), "")</f>
        <v>0</v>
      </c>
      <c r="F384" s="2">
        <f>IFERROR(IF($C$5="الكل", INDEX(البيانات_الأساسية!C:C, MATCH(371, البيانات_الأساسية!$I:$I, 0)), INDEX(البيانات_الأساسية!$J:$U, MATCH(371, البيانات_الأساسية!$I:$I, 0), VALUE($C$5))), "")</f>
        <v>0</v>
      </c>
      <c r="G384" s="2">
        <f>IFERROR(ROUND(F384/60, 2), "")</f>
        <v>0</v>
      </c>
      <c r="H384" s="2">
        <f>IFERROR(ROUND(F384/E384, 2), "")</f>
        <v>0</v>
      </c>
      <c r="I384" s="2">
        <f>IFERROR(IF($C$5="الكل", INDEX(البيانات_الأساسية!G:G, MATCH(371, البيانات_الأساسية!$I:$I, 0)), $C$5), "")</f>
        <v>0</v>
      </c>
    </row>
    <row r="385" spans="2:9" s="4" customFormat="1" ht="20" customHeight="1">
      <c r="B385" s="2">
        <f>IF(C385="","", 372)</f>
        <v>0</v>
      </c>
      <c r="C385" s="2">
        <f>IFERROR(INDEX(البيانات_الأساسية!A:A, MATCH(372, البيانات_الأساسية!$I:$I, 0)), "")</f>
        <v>0</v>
      </c>
      <c r="D385" s="2">
        <f>IFERROR(INDEX(البيانات_الأساسية!B:B, MATCH(372, البيانات_الأساسية!$I:$I, 0)), "")</f>
        <v>0</v>
      </c>
      <c r="E385" s="2">
        <f>IFERROR(IF($C$5="الكل", INDEX(البيانات_الأساسية!D:D, MATCH(372, البيانات_الأساسية!$I:$I, 0)), INDEX(البيانات_الأساسية!$V:$AG, MATCH(372, البيانات_الأساسية!$I:$I, 0), VALUE($C$5))), "")</f>
        <v>0</v>
      </c>
      <c r="F385" s="2">
        <f>IFERROR(IF($C$5="الكل", INDEX(البيانات_الأساسية!C:C, MATCH(372, البيانات_الأساسية!$I:$I, 0)), INDEX(البيانات_الأساسية!$J:$U, MATCH(372, البيانات_الأساسية!$I:$I, 0), VALUE($C$5))), "")</f>
        <v>0</v>
      </c>
      <c r="G385" s="2">
        <f>IFERROR(ROUND(F385/60, 2), "")</f>
        <v>0</v>
      </c>
      <c r="H385" s="2">
        <f>IFERROR(ROUND(F385/E385, 2), "")</f>
        <v>0</v>
      </c>
      <c r="I385" s="2">
        <f>IFERROR(IF($C$5="الكل", INDEX(البيانات_الأساسية!G:G, MATCH(372, البيانات_الأساسية!$I:$I, 0)), $C$5), "")</f>
        <v>0</v>
      </c>
    </row>
    <row r="386" spans="2:9" s="4" customFormat="1" ht="20" customHeight="1">
      <c r="B386" s="2">
        <f>IF(C386="","", 373)</f>
        <v>0</v>
      </c>
      <c r="C386" s="2">
        <f>IFERROR(INDEX(البيانات_الأساسية!A:A, MATCH(373, البيانات_الأساسية!$I:$I, 0)), "")</f>
        <v>0</v>
      </c>
      <c r="D386" s="2">
        <f>IFERROR(INDEX(البيانات_الأساسية!B:B, MATCH(373, البيانات_الأساسية!$I:$I, 0)), "")</f>
        <v>0</v>
      </c>
      <c r="E386" s="2">
        <f>IFERROR(IF($C$5="الكل", INDEX(البيانات_الأساسية!D:D, MATCH(373, البيانات_الأساسية!$I:$I, 0)), INDEX(البيانات_الأساسية!$V:$AG, MATCH(373, البيانات_الأساسية!$I:$I, 0), VALUE($C$5))), "")</f>
        <v>0</v>
      </c>
      <c r="F386" s="2">
        <f>IFERROR(IF($C$5="الكل", INDEX(البيانات_الأساسية!C:C, MATCH(373, البيانات_الأساسية!$I:$I, 0)), INDEX(البيانات_الأساسية!$J:$U, MATCH(373, البيانات_الأساسية!$I:$I, 0), VALUE($C$5))), "")</f>
        <v>0</v>
      </c>
      <c r="G386" s="2">
        <f>IFERROR(ROUND(F386/60, 2), "")</f>
        <v>0</v>
      </c>
      <c r="H386" s="2">
        <f>IFERROR(ROUND(F386/E386, 2), "")</f>
        <v>0</v>
      </c>
      <c r="I386" s="2">
        <f>IFERROR(IF($C$5="الكل", INDEX(البيانات_الأساسية!G:G, MATCH(373, البيانات_الأساسية!$I:$I, 0)), $C$5), "")</f>
        <v>0</v>
      </c>
    </row>
    <row r="387" spans="2:9" s="4" customFormat="1" ht="20" customHeight="1">
      <c r="B387" s="2">
        <f>IF(C387="","", 374)</f>
        <v>0</v>
      </c>
      <c r="C387" s="2">
        <f>IFERROR(INDEX(البيانات_الأساسية!A:A, MATCH(374, البيانات_الأساسية!$I:$I, 0)), "")</f>
        <v>0</v>
      </c>
      <c r="D387" s="2">
        <f>IFERROR(INDEX(البيانات_الأساسية!B:B, MATCH(374, البيانات_الأساسية!$I:$I, 0)), "")</f>
        <v>0</v>
      </c>
      <c r="E387" s="2">
        <f>IFERROR(IF($C$5="الكل", INDEX(البيانات_الأساسية!D:D, MATCH(374, البيانات_الأساسية!$I:$I, 0)), INDEX(البيانات_الأساسية!$V:$AG, MATCH(374, البيانات_الأساسية!$I:$I, 0), VALUE($C$5))), "")</f>
        <v>0</v>
      </c>
      <c r="F387" s="2">
        <f>IFERROR(IF($C$5="الكل", INDEX(البيانات_الأساسية!C:C, MATCH(374, البيانات_الأساسية!$I:$I, 0)), INDEX(البيانات_الأساسية!$J:$U, MATCH(374, البيانات_الأساسية!$I:$I, 0), VALUE($C$5))), "")</f>
        <v>0</v>
      </c>
      <c r="G387" s="2">
        <f>IFERROR(ROUND(F387/60, 2), "")</f>
        <v>0</v>
      </c>
      <c r="H387" s="2">
        <f>IFERROR(ROUND(F387/E387, 2), "")</f>
        <v>0</v>
      </c>
      <c r="I387" s="2">
        <f>IFERROR(IF($C$5="الكل", INDEX(البيانات_الأساسية!G:G, MATCH(374, البيانات_الأساسية!$I:$I, 0)), $C$5), "")</f>
        <v>0</v>
      </c>
    </row>
    <row r="388" spans="2:9" s="4" customFormat="1" ht="20" customHeight="1">
      <c r="B388" s="2">
        <f>IF(C388="","", 375)</f>
        <v>0</v>
      </c>
      <c r="C388" s="2">
        <f>IFERROR(INDEX(البيانات_الأساسية!A:A, MATCH(375, البيانات_الأساسية!$I:$I, 0)), "")</f>
        <v>0</v>
      </c>
      <c r="D388" s="2">
        <f>IFERROR(INDEX(البيانات_الأساسية!B:B, MATCH(375, البيانات_الأساسية!$I:$I, 0)), "")</f>
        <v>0</v>
      </c>
      <c r="E388" s="2">
        <f>IFERROR(IF($C$5="الكل", INDEX(البيانات_الأساسية!D:D, MATCH(375, البيانات_الأساسية!$I:$I, 0)), INDEX(البيانات_الأساسية!$V:$AG, MATCH(375, البيانات_الأساسية!$I:$I, 0), VALUE($C$5))), "")</f>
        <v>0</v>
      </c>
      <c r="F388" s="2">
        <f>IFERROR(IF($C$5="الكل", INDEX(البيانات_الأساسية!C:C, MATCH(375, البيانات_الأساسية!$I:$I, 0)), INDEX(البيانات_الأساسية!$J:$U, MATCH(375, البيانات_الأساسية!$I:$I, 0), VALUE($C$5))), "")</f>
        <v>0</v>
      </c>
      <c r="G388" s="2">
        <f>IFERROR(ROUND(F388/60, 2), "")</f>
        <v>0</v>
      </c>
      <c r="H388" s="2">
        <f>IFERROR(ROUND(F388/E388, 2), "")</f>
        <v>0</v>
      </c>
      <c r="I388" s="2">
        <f>IFERROR(IF($C$5="الكل", INDEX(البيانات_الأساسية!G:G, MATCH(375, البيانات_الأساسية!$I:$I, 0)), $C$5), "")</f>
        <v>0</v>
      </c>
    </row>
    <row r="389" spans="2:9" s="4" customFormat="1" ht="20" customHeight="1">
      <c r="B389" s="2">
        <f>IF(C389="","", 376)</f>
        <v>0</v>
      </c>
      <c r="C389" s="2">
        <f>IFERROR(INDEX(البيانات_الأساسية!A:A, MATCH(376, البيانات_الأساسية!$I:$I, 0)), "")</f>
        <v>0</v>
      </c>
      <c r="D389" s="2">
        <f>IFERROR(INDEX(البيانات_الأساسية!B:B, MATCH(376, البيانات_الأساسية!$I:$I, 0)), "")</f>
        <v>0</v>
      </c>
      <c r="E389" s="2">
        <f>IFERROR(IF($C$5="الكل", INDEX(البيانات_الأساسية!D:D, MATCH(376, البيانات_الأساسية!$I:$I, 0)), INDEX(البيانات_الأساسية!$V:$AG, MATCH(376, البيانات_الأساسية!$I:$I, 0), VALUE($C$5))), "")</f>
        <v>0</v>
      </c>
      <c r="F389" s="2">
        <f>IFERROR(IF($C$5="الكل", INDEX(البيانات_الأساسية!C:C, MATCH(376, البيانات_الأساسية!$I:$I, 0)), INDEX(البيانات_الأساسية!$J:$U, MATCH(376, البيانات_الأساسية!$I:$I, 0), VALUE($C$5))), "")</f>
        <v>0</v>
      </c>
      <c r="G389" s="2">
        <f>IFERROR(ROUND(F389/60, 2), "")</f>
        <v>0</v>
      </c>
      <c r="H389" s="2">
        <f>IFERROR(ROUND(F389/E389, 2), "")</f>
        <v>0</v>
      </c>
      <c r="I389" s="2">
        <f>IFERROR(IF($C$5="الكل", INDEX(البيانات_الأساسية!G:G, MATCH(376, البيانات_الأساسية!$I:$I, 0)), $C$5), "")</f>
        <v>0</v>
      </c>
    </row>
    <row r="390" spans="2:9" s="4" customFormat="1" ht="20" customHeight="1">
      <c r="B390" s="2">
        <f>IF(C390="","", 377)</f>
        <v>0</v>
      </c>
      <c r="C390" s="2">
        <f>IFERROR(INDEX(البيانات_الأساسية!A:A, MATCH(377, البيانات_الأساسية!$I:$I, 0)), "")</f>
        <v>0</v>
      </c>
      <c r="D390" s="2">
        <f>IFERROR(INDEX(البيانات_الأساسية!B:B, MATCH(377, البيانات_الأساسية!$I:$I, 0)), "")</f>
        <v>0</v>
      </c>
      <c r="E390" s="2">
        <f>IFERROR(IF($C$5="الكل", INDEX(البيانات_الأساسية!D:D, MATCH(377, البيانات_الأساسية!$I:$I, 0)), INDEX(البيانات_الأساسية!$V:$AG, MATCH(377, البيانات_الأساسية!$I:$I, 0), VALUE($C$5))), "")</f>
        <v>0</v>
      </c>
      <c r="F390" s="2">
        <f>IFERROR(IF($C$5="الكل", INDEX(البيانات_الأساسية!C:C, MATCH(377, البيانات_الأساسية!$I:$I, 0)), INDEX(البيانات_الأساسية!$J:$U, MATCH(377, البيانات_الأساسية!$I:$I, 0), VALUE($C$5))), "")</f>
        <v>0</v>
      </c>
      <c r="G390" s="2">
        <f>IFERROR(ROUND(F390/60, 2), "")</f>
        <v>0</v>
      </c>
      <c r="H390" s="2">
        <f>IFERROR(ROUND(F390/E390, 2), "")</f>
        <v>0</v>
      </c>
      <c r="I390" s="2">
        <f>IFERROR(IF($C$5="الكل", INDEX(البيانات_الأساسية!G:G, MATCH(377, البيانات_الأساسية!$I:$I, 0)), $C$5), "")</f>
        <v>0</v>
      </c>
    </row>
    <row r="391" spans="2:9" s="4" customFormat="1" ht="20" customHeight="1">
      <c r="B391" s="2">
        <f>IF(C391="","", 378)</f>
        <v>0</v>
      </c>
      <c r="C391" s="2">
        <f>IFERROR(INDEX(البيانات_الأساسية!A:A, MATCH(378, البيانات_الأساسية!$I:$I, 0)), "")</f>
        <v>0</v>
      </c>
      <c r="D391" s="2">
        <f>IFERROR(INDEX(البيانات_الأساسية!B:B, MATCH(378, البيانات_الأساسية!$I:$I, 0)), "")</f>
        <v>0</v>
      </c>
      <c r="E391" s="2">
        <f>IFERROR(IF($C$5="الكل", INDEX(البيانات_الأساسية!D:D, MATCH(378, البيانات_الأساسية!$I:$I, 0)), INDEX(البيانات_الأساسية!$V:$AG, MATCH(378, البيانات_الأساسية!$I:$I, 0), VALUE($C$5))), "")</f>
        <v>0</v>
      </c>
      <c r="F391" s="2">
        <f>IFERROR(IF($C$5="الكل", INDEX(البيانات_الأساسية!C:C, MATCH(378, البيانات_الأساسية!$I:$I, 0)), INDEX(البيانات_الأساسية!$J:$U, MATCH(378, البيانات_الأساسية!$I:$I, 0), VALUE($C$5))), "")</f>
        <v>0</v>
      </c>
      <c r="G391" s="2">
        <f>IFERROR(ROUND(F391/60, 2), "")</f>
        <v>0</v>
      </c>
      <c r="H391" s="2">
        <f>IFERROR(ROUND(F391/E391, 2), "")</f>
        <v>0</v>
      </c>
      <c r="I391" s="2">
        <f>IFERROR(IF($C$5="الكل", INDEX(البيانات_الأساسية!G:G, MATCH(378, البيانات_الأساسية!$I:$I, 0)), $C$5), "")</f>
        <v>0</v>
      </c>
    </row>
    <row r="392" spans="2:9" s="4" customFormat="1" ht="20" customHeight="1">
      <c r="B392" s="2">
        <f>IF(C392="","", 379)</f>
        <v>0</v>
      </c>
      <c r="C392" s="2">
        <f>IFERROR(INDEX(البيانات_الأساسية!A:A, MATCH(379, البيانات_الأساسية!$I:$I, 0)), "")</f>
        <v>0</v>
      </c>
      <c r="D392" s="2">
        <f>IFERROR(INDEX(البيانات_الأساسية!B:B, MATCH(379, البيانات_الأساسية!$I:$I, 0)), "")</f>
        <v>0</v>
      </c>
      <c r="E392" s="2">
        <f>IFERROR(IF($C$5="الكل", INDEX(البيانات_الأساسية!D:D, MATCH(379, البيانات_الأساسية!$I:$I, 0)), INDEX(البيانات_الأساسية!$V:$AG, MATCH(379, البيانات_الأساسية!$I:$I, 0), VALUE($C$5))), "")</f>
        <v>0</v>
      </c>
      <c r="F392" s="2">
        <f>IFERROR(IF($C$5="الكل", INDEX(البيانات_الأساسية!C:C, MATCH(379, البيانات_الأساسية!$I:$I, 0)), INDEX(البيانات_الأساسية!$J:$U, MATCH(379, البيانات_الأساسية!$I:$I, 0), VALUE($C$5))), "")</f>
        <v>0</v>
      </c>
      <c r="G392" s="2">
        <f>IFERROR(ROUND(F392/60, 2), "")</f>
        <v>0</v>
      </c>
      <c r="H392" s="2">
        <f>IFERROR(ROUND(F392/E392, 2), "")</f>
        <v>0</v>
      </c>
      <c r="I392" s="2">
        <f>IFERROR(IF($C$5="الكل", INDEX(البيانات_الأساسية!G:G, MATCH(379, البيانات_الأساسية!$I:$I, 0)), $C$5), "")</f>
        <v>0</v>
      </c>
    </row>
    <row r="393" spans="2:9" s="4" customFormat="1" ht="20" customHeight="1">
      <c r="B393" s="2">
        <f>IF(C393="","", 380)</f>
        <v>0</v>
      </c>
      <c r="C393" s="2">
        <f>IFERROR(INDEX(البيانات_الأساسية!A:A, MATCH(380, البيانات_الأساسية!$I:$I, 0)), "")</f>
        <v>0</v>
      </c>
      <c r="D393" s="2">
        <f>IFERROR(INDEX(البيانات_الأساسية!B:B, MATCH(380, البيانات_الأساسية!$I:$I, 0)), "")</f>
        <v>0</v>
      </c>
      <c r="E393" s="2">
        <f>IFERROR(IF($C$5="الكل", INDEX(البيانات_الأساسية!D:D, MATCH(380, البيانات_الأساسية!$I:$I, 0)), INDEX(البيانات_الأساسية!$V:$AG, MATCH(380, البيانات_الأساسية!$I:$I, 0), VALUE($C$5))), "")</f>
        <v>0</v>
      </c>
      <c r="F393" s="2">
        <f>IFERROR(IF($C$5="الكل", INDEX(البيانات_الأساسية!C:C, MATCH(380, البيانات_الأساسية!$I:$I, 0)), INDEX(البيانات_الأساسية!$J:$U, MATCH(380, البيانات_الأساسية!$I:$I, 0), VALUE($C$5))), "")</f>
        <v>0</v>
      </c>
      <c r="G393" s="2">
        <f>IFERROR(ROUND(F393/60, 2), "")</f>
        <v>0</v>
      </c>
      <c r="H393" s="2">
        <f>IFERROR(ROUND(F393/E393, 2), "")</f>
        <v>0</v>
      </c>
      <c r="I393" s="2">
        <f>IFERROR(IF($C$5="الكل", INDEX(البيانات_الأساسية!G:G, MATCH(380, البيانات_الأساسية!$I:$I, 0)), $C$5), "")</f>
        <v>0</v>
      </c>
    </row>
    <row r="394" spans="2:9" s="4" customFormat="1" ht="20" customHeight="1">
      <c r="B394" s="2">
        <f>IF(C394="","", 381)</f>
        <v>0</v>
      </c>
      <c r="C394" s="2">
        <f>IFERROR(INDEX(البيانات_الأساسية!A:A, MATCH(381, البيانات_الأساسية!$I:$I, 0)), "")</f>
        <v>0</v>
      </c>
      <c r="D394" s="2">
        <f>IFERROR(INDEX(البيانات_الأساسية!B:B, MATCH(381, البيانات_الأساسية!$I:$I, 0)), "")</f>
        <v>0</v>
      </c>
      <c r="E394" s="2">
        <f>IFERROR(IF($C$5="الكل", INDEX(البيانات_الأساسية!D:D, MATCH(381, البيانات_الأساسية!$I:$I, 0)), INDEX(البيانات_الأساسية!$V:$AG, MATCH(381, البيانات_الأساسية!$I:$I, 0), VALUE($C$5))), "")</f>
        <v>0</v>
      </c>
      <c r="F394" s="2">
        <f>IFERROR(IF($C$5="الكل", INDEX(البيانات_الأساسية!C:C, MATCH(381, البيانات_الأساسية!$I:$I, 0)), INDEX(البيانات_الأساسية!$J:$U, MATCH(381, البيانات_الأساسية!$I:$I, 0), VALUE($C$5))), "")</f>
        <v>0</v>
      </c>
      <c r="G394" s="2">
        <f>IFERROR(ROUND(F394/60, 2), "")</f>
        <v>0</v>
      </c>
      <c r="H394" s="2">
        <f>IFERROR(ROUND(F394/E394, 2), "")</f>
        <v>0</v>
      </c>
      <c r="I394" s="2">
        <f>IFERROR(IF($C$5="الكل", INDEX(البيانات_الأساسية!G:G, MATCH(381, البيانات_الأساسية!$I:$I, 0)), $C$5), "")</f>
        <v>0</v>
      </c>
    </row>
    <row r="395" spans="2:9" s="4" customFormat="1" ht="20" customHeight="1">
      <c r="B395" s="2">
        <f>IF(C395="","", 382)</f>
        <v>0</v>
      </c>
      <c r="C395" s="2">
        <f>IFERROR(INDEX(البيانات_الأساسية!A:A, MATCH(382, البيانات_الأساسية!$I:$I, 0)), "")</f>
        <v>0</v>
      </c>
      <c r="D395" s="2">
        <f>IFERROR(INDEX(البيانات_الأساسية!B:B, MATCH(382, البيانات_الأساسية!$I:$I, 0)), "")</f>
        <v>0</v>
      </c>
      <c r="E395" s="2">
        <f>IFERROR(IF($C$5="الكل", INDEX(البيانات_الأساسية!D:D, MATCH(382, البيانات_الأساسية!$I:$I, 0)), INDEX(البيانات_الأساسية!$V:$AG, MATCH(382, البيانات_الأساسية!$I:$I, 0), VALUE($C$5))), "")</f>
        <v>0</v>
      </c>
      <c r="F395" s="2">
        <f>IFERROR(IF($C$5="الكل", INDEX(البيانات_الأساسية!C:C, MATCH(382, البيانات_الأساسية!$I:$I, 0)), INDEX(البيانات_الأساسية!$J:$U, MATCH(382, البيانات_الأساسية!$I:$I, 0), VALUE($C$5))), "")</f>
        <v>0</v>
      </c>
      <c r="G395" s="2">
        <f>IFERROR(ROUND(F395/60, 2), "")</f>
        <v>0</v>
      </c>
      <c r="H395" s="2">
        <f>IFERROR(ROUND(F395/E395, 2), "")</f>
        <v>0</v>
      </c>
      <c r="I395" s="2">
        <f>IFERROR(IF($C$5="الكل", INDEX(البيانات_الأساسية!G:G, MATCH(382, البيانات_الأساسية!$I:$I, 0)), $C$5), "")</f>
        <v>0</v>
      </c>
    </row>
    <row r="396" spans="2:9" s="4" customFormat="1" ht="20" customHeight="1">
      <c r="B396" s="2">
        <f>IF(C396="","", 383)</f>
        <v>0</v>
      </c>
      <c r="C396" s="2">
        <f>IFERROR(INDEX(البيانات_الأساسية!A:A, MATCH(383, البيانات_الأساسية!$I:$I, 0)), "")</f>
        <v>0</v>
      </c>
      <c r="D396" s="2">
        <f>IFERROR(INDEX(البيانات_الأساسية!B:B, MATCH(383, البيانات_الأساسية!$I:$I, 0)), "")</f>
        <v>0</v>
      </c>
      <c r="E396" s="2">
        <f>IFERROR(IF($C$5="الكل", INDEX(البيانات_الأساسية!D:D, MATCH(383, البيانات_الأساسية!$I:$I, 0)), INDEX(البيانات_الأساسية!$V:$AG, MATCH(383, البيانات_الأساسية!$I:$I, 0), VALUE($C$5))), "")</f>
        <v>0</v>
      </c>
      <c r="F396" s="2">
        <f>IFERROR(IF($C$5="الكل", INDEX(البيانات_الأساسية!C:C, MATCH(383, البيانات_الأساسية!$I:$I, 0)), INDEX(البيانات_الأساسية!$J:$U, MATCH(383, البيانات_الأساسية!$I:$I, 0), VALUE($C$5))), "")</f>
        <v>0</v>
      </c>
      <c r="G396" s="2">
        <f>IFERROR(ROUND(F396/60, 2), "")</f>
        <v>0</v>
      </c>
      <c r="H396" s="2">
        <f>IFERROR(ROUND(F396/E396, 2), "")</f>
        <v>0</v>
      </c>
      <c r="I396" s="2">
        <f>IFERROR(IF($C$5="الكل", INDEX(البيانات_الأساسية!G:G, MATCH(383, البيانات_الأساسية!$I:$I, 0)), $C$5), "")</f>
        <v>0</v>
      </c>
    </row>
    <row r="397" spans="2:9" s="4" customFormat="1" ht="20" customHeight="1">
      <c r="B397" s="2">
        <f>IF(C397="","", 384)</f>
        <v>0</v>
      </c>
      <c r="C397" s="2">
        <f>IFERROR(INDEX(البيانات_الأساسية!A:A, MATCH(384, البيانات_الأساسية!$I:$I, 0)), "")</f>
        <v>0</v>
      </c>
      <c r="D397" s="2">
        <f>IFERROR(INDEX(البيانات_الأساسية!B:B, MATCH(384, البيانات_الأساسية!$I:$I, 0)), "")</f>
        <v>0</v>
      </c>
      <c r="E397" s="2">
        <f>IFERROR(IF($C$5="الكل", INDEX(البيانات_الأساسية!D:D, MATCH(384, البيانات_الأساسية!$I:$I, 0)), INDEX(البيانات_الأساسية!$V:$AG, MATCH(384, البيانات_الأساسية!$I:$I, 0), VALUE($C$5))), "")</f>
        <v>0</v>
      </c>
      <c r="F397" s="2">
        <f>IFERROR(IF($C$5="الكل", INDEX(البيانات_الأساسية!C:C, MATCH(384, البيانات_الأساسية!$I:$I, 0)), INDEX(البيانات_الأساسية!$J:$U, MATCH(384, البيانات_الأساسية!$I:$I, 0), VALUE($C$5))), "")</f>
        <v>0</v>
      </c>
      <c r="G397" s="2">
        <f>IFERROR(ROUND(F397/60, 2), "")</f>
        <v>0</v>
      </c>
      <c r="H397" s="2">
        <f>IFERROR(ROUND(F397/E397, 2), "")</f>
        <v>0</v>
      </c>
      <c r="I397" s="2">
        <f>IFERROR(IF($C$5="الكل", INDEX(البيانات_الأساسية!G:G, MATCH(384, البيانات_الأساسية!$I:$I, 0)), $C$5), "")</f>
        <v>0</v>
      </c>
    </row>
    <row r="398" spans="2:9" s="4" customFormat="1" ht="20" customHeight="1">
      <c r="B398" s="2">
        <f>IF(C398="","", 385)</f>
        <v>0</v>
      </c>
      <c r="C398" s="2">
        <f>IFERROR(INDEX(البيانات_الأساسية!A:A, MATCH(385, البيانات_الأساسية!$I:$I, 0)), "")</f>
        <v>0</v>
      </c>
      <c r="D398" s="2">
        <f>IFERROR(INDEX(البيانات_الأساسية!B:B, MATCH(385, البيانات_الأساسية!$I:$I, 0)), "")</f>
        <v>0</v>
      </c>
      <c r="E398" s="2">
        <f>IFERROR(IF($C$5="الكل", INDEX(البيانات_الأساسية!D:D, MATCH(385, البيانات_الأساسية!$I:$I, 0)), INDEX(البيانات_الأساسية!$V:$AG, MATCH(385, البيانات_الأساسية!$I:$I, 0), VALUE($C$5))), "")</f>
        <v>0</v>
      </c>
      <c r="F398" s="2">
        <f>IFERROR(IF($C$5="الكل", INDEX(البيانات_الأساسية!C:C, MATCH(385, البيانات_الأساسية!$I:$I, 0)), INDEX(البيانات_الأساسية!$J:$U, MATCH(385, البيانات_الأساسية!$I:$I, 0), VALUE($C$5))), "")</f>
        <v>0</v>
      </c>
      <c r="G398" s="2">
        <f>IFERROR(ROUND(F398/60, 2), "")</f>
        <v>0</v>
      </c>
      <c r="H398" s="2">
        <f>IFERROR(ROUND(F398/E398, 2), "")</f>
        <v>0</v>
      </c>
      <c r="I398" s="2">
        <f>IFERROR(IF($C$5="الكل", INDEX(البيانات_الأساسية!G:G, MATCH(385, البيانات_الأساسية!$I:$I, 0)), $C$5), "")</f>
        <v>0</v>
      </c>
    </row>
    <row r="399" spans="2:9" s="4" customFormat="1" ht="20" customHeight="1">
      <c r="B399" s="2">
        <f>IF(C399="","", 386)</f>
        <v>0</v>
      </c>
      <c r="C399" s="2">
        <f>IFERROR(INDEX(البيانات_الأساسية!A:A, MATCH(386, البيانات_الأساسية!$I:$I, 0)), "")</f>
        <v>0</v>
      </c>
      <c r="D399" s="2">
        <f>IFERROR(INDEX(البيانات_الأساسية!B:B, MATCH(386, البيانات_الأساسية!$I:$I, 0)), "")</f>
        <v>0</v>
      </c>
      <c r="E399" s="2">
        <f>IFERROR(IF($C$5="الكل", INDEX(البيانات_الأساسية!D:D, MATCH(386, البيانات_الأساسية!$I:$I, 0)), INDEX(البيانات_الأساسية!$V:$AG, MATCH(386, البيانات_الأساسية!$I:$I, 0), VALUE($C$5))), "")</f>
        <v>0</v>
      </c>
      <c r="F399" s="2">
        <f>IFERROR(IF($C$5="الكل", INDEX(البيانات_الأساسية!C:C, MATCH(386, البيانات_الأساسية!$I:$I, 0)), INDEX(البيانات_الأساسية!$J:$U, MATCH(386, البيانات_الأساسية!$I:$I, 0), VALUE($C$5))), "")</f>
        <v>0</v>
      </c>
      <c r="G399" s="2">
        <f>IFERROR(ROUND(F399/60, 2), "")</f>
        <v>0</v>
      </c>
      <c r="H399" s="2">
        <f>IFERROR(ROUND(F399/E399, 2), "")</f>
        <v>0</v>
      </c>
      <c r="I399" s="2">
        <f>IFERROR(IF($C$5="الكل", INDEX(البيانات_الأساسية!G:G, MATCH(386, البيانات_الأساسية!$I:$I, 0)), $C$5), "")</f>
        <v>0</v>
      </c>
    </row>
    <row r="400" spans="2:9" s="4" customFormat="1" ht="20" customHeight="1">
      <c r="B400" s="2">
        <f>IF(C400="","", 387)</f>
        <v>0</v>
      </c>
      <c r="C400" s="2">
        <f>IFERROR(INDEX(البيانات_الأساسية!A:A, MATCH(387, البيانات_الأساسية!$I:$I, 0)), "")</f>
        <v>0</v>
      </c>
      <c r="D400" s="2">
        <f>IFERROR(INDEX(البيانات_الأساسية!B:B, MATCH(387, البيانات_الأساسية!$I:$I, 0)), "")</f>
        <v>0</v>
      </c>
      <c r="E400" s="2">
        <f>IFERROR(IF($C$5="الكل", INDEX(البيانات_الأساسية!D:D, MATCH(387, البيانات_الأساسية!$I:$I, 0)), INDEX(البيانات_الأساسية!$V:$AG, MATCH(387, البيانات_الأساسية!$I:$I, 0), VALUE($C$5))), "")</f>
        <v>0</v>
      </c>
      <c r="F400" s="2">
        <f>IFERROR(IF($C$5="الكل", INDEX(البيانات_الأساسية!C:C, MATCH(387, البيانات_الأساسية!$I:$I, 0)), INDEX(البيانات_الأساسية!$J:$U, MATCH(387, البيانات_الأساسية!$I:$I, 0), VALUE($C$5))), "")</f>
        <v>0</v>
      </c>
      <c r="G400" s="2">
        <f>IFERROR(ROUND(F400/60, 2), "")</f>
        <v>0</v>
      </c>
      <c r="H400" s="2">
        <f>IFERROR(ROUND(F400/E400, 2), "")</f>
        <v>0</v>
      </c>
      <c r="I400" s="2">
        <f>IFERROR(IF($C$5="الكل", INDEX(البيانات_الأساسية!G:G, MATCH(387, البيانات_الأساسية!$I:$I, 0)), $C$5), "")</f>
        <v>0</v>
      </c>
    </row>
    <row r="401" spans="2:9" s="4" customFormat="1" ht="20" customHeight="1">
      <c r="B401" s="2">
        <f>IF(C401="","", 388)</f>
        <v>0</v>
      </c>
      <c r="C401" s="2">
        <f>IFERROR(INDEX(البيانات_الأساسية!A:A, MATCH(388, البيانات_الأساسية!$I:$I, 0)), "")</f>
        <v>0</v>
      </c>
      <c r="D401" s="2">
        <f>IFERROR(INDEX(البيانات_الأساسية!B:B, MATCH(388, البيانات_الأساسية!$I:$I, 0)), "")</f>
        <v>0</v>
      </c>
      <c r="E401" s="2">
        <f>IFERROR(IF($C$5="الكل", INDEX(البيانات_الأساسية!D:D, MATCH(388, البيانات_الأساسية!$I:$I, 0)), INDEX(البيانات_الأساسية!$V:$AG, MATCH(388, البيانات_الأساسية!$I:$I, 0), VALUE($C$5))), "")</f>
        <v>0</v>
      </c>
      <c r="F401" s="2">
        <f>IFERROR(IF($C$5="الكل", INDEX(البيانات_الأساسية!C:C, MATCH(388, البيانات_الأساسية!$I:$I, 0)), INDEX(البيانات_الأساسية!$J:$U, MATCH(388, البيانات_الأساسية!$I:$I, 0), VALUE($C$5))), "")</f>
        <v>0</v>
      </c>
      <c r="G401" s="2">
        <f>IFERROR(ROUND(F401/60, 2), "")</f>
        <v>0</v>
      </c>
      <c r="H401" s="2">
        <f>IFERROR(ROUND(F401/E401, 2), "")</f>
        <v>0</v>
      </c>
      <c r="I401" s="2">
        <f>IFERROR(IF($C$5="الكل", INDEX(البيانات_الأساسية!G:G, MATCH(388, البيانات_الأساسية!$I:$I, 0)), $C$5), "")</f>
        <v>0</v>
      </c>
    </row>
    <row r="402" spans="2:9" s="4" customFormat="1" ht="20" customHeight="1">
      <c r="B402" s="2">
        <f>IF(C402="","", 389)</f>
        <v>0</v>
      </c>
      <c r="C402" s="2">
        <f>IFERROR(INDEX(البيانات_الأساسية!A:A, MATCH(389, البيانات_الأساسية!$I:$I, 0)), "")</f>
        <v>0</v>
      </c>
      <c r="D402" s="2">
        <f>IFERROR(INDEX(البيانات_الأساسية!B:B, MATCH(389, البيانات_الأساسية!$I:$I, 0)), "")</f>
        <v>0</v>
      </c>
      <c r="E402" s="2">
        <f>IFERROR(IF($C$5="الكل", INDEX(البيانات_الأساسية!D:D, MATCH(389, البيانات_الأساسية!$I:$I, 0)), INDEX(البيانات_الأساسية!$V:$AG, MATCH(389, البيانات_الأساسية!$I:$I, 0), VALUE($C$5))), "")</f>
        <v>0</v>
      </c>
      <c r="F402" s="2">
        <f>IFERROR(IF($C$5="الكل", INDEX(البيانات_الأساسية!C:C, MATCH(389, البيانات_الأساسية!$I:$I, 0)), INDEX(البيانات_الأساسية!$J:$U, MATCH(389, البيانات_الأساسية!$I:$I, 0), VALUE($C$5))), "")</f>
        <v>0</v>
      </c>
      <c r="G402" s="2">
        <f>IFERROR(ROUND(F402/60, 2), "")</f>
        <v>0</v>
      </c>
      <c r="H402" s="2">
        <f>IFERROR(ROUND(F402/E402, 2), "")</f>
        <v>0</v>
      </c>
      <c r="I402" s="2">
        <f>IFERROR(IF($C$5="الكل", INDEX(البيانات_الأساسية!G:G, MATCH(389, البيانات_الأساسية!$I:$I, 0)), $C$5), "")</f>
        <v>0</v>
      </c>
    </row>
    <row r="403" spans="2:9" s="4" customFormat="1" ht="20" customHeight="1">
      <c r="B403" s="2">
        <f>IF(C403="","", 390)</f>
        <v>0</v>
      </c>
      <c r="C403" s="2">
        <f>IFERROR(INDEX(البيانات_الأساسية!A:A, MATCH(390, البيانات_الأساسية!$I:$I, 0)), "")</f>
        <v>0</v>
      </c>
      <c r="D403" s="2">
        <f>IFERROR(INDEX(البيانات_الأساسية!B:B, MATCH(390, البيانات_الأساسية!$I:$I, 0)), "")</f>
        <v>0</v>
      </c>
      <c r="E403" s="2">
        <f>IFERROR(IF($C$5="الكل", INDEX(البيانات_الأساسية!D:D, MATCH(390, البيانات_الأساسية!$I:$I, 0)), INDEX(البيانات_الأساسية!$V:$AG, MATCH(390, البيانات_الأساسية!$I:$I, 0), VALUE($C$5))), "")</f>
        <v>0</v>
      </c>
      <c r="F403" s="2">
        <f>IFERROR(IF($C$5="الكل", INDEX(البيانات_الأساسية!C:C, MATCH(390, البيانات_الأساسية!$I:$I, 0)), INDEX(البيانات_الأساسية!$J:$U, MATCH(390, البيانات_الأساسية!$I:$I, 0), VALUE($C$5))), "")</f>
        <v>0</v>
      </c>
      <c r="G403" s="2">
        <f>IFERROR(ROUND(F403/60, 2), "")</f>
        <v>0</v>
      </c>
      <c r="H403" s="2">
        <f>IFERROR(ROUND(F403/E403, 2), "")</f>
        <v>0</v>
      </c>
      <c r="I403" s="2">
        <f>IFERROR(IF($C$5="الكل", INDEX(البيانات_الأساسية!G:G, MATCH(390, البيانات_الأساسية!$I:$I, 0)), $C$5), "")</f>
        <v>0</v>
      </c>
    </row>
    <row r="404" spans="2:9" s="4" customFormat="1" ht="20" customHeight="1">
      <c r="B404" s="2">
        <f>IF(C404="","", 391)</f>
        <v>0</v>
      </c>
      <c r="C404" s="2">
        <f>IFERROR(INDEX(البيانات_الأساسية!A:A, MATCH(391, البيانات_الأساسية!$I:$I, 0)), "")</f>
        <v>0</v>
      </c>
      <c r="D404" s="2">
        <f>IFERROR(INDEX(البيانات_الأساسية!B:B, MATCH(391, البيانات_الأساسية!$I:$I, 0)), "")</f>
        <v>0</v>
      </c>
      <c r="E404" s="2">
        <f>IFERROR(IF($C$5="الكل", INDEX(البيانات_الأساسية!D:D, MATCH(391, البيانات_الأساسية!$I:$I, 0)), INDEX(البيانات_الأساسية!$V:$AG, MATCH(391, البيانات_الأساسية!$I:$I, 0), VALUE($C$5))), "")</f>
        <v>0</v>
      </c>
      <c r="F404" s="2">
        <f>IFERROR(IF($C$5="الكل", INDEX(البيانات_الأساسية!C:C, MATCH(391, البيانات_الأساسية!$I:$I, 0)), INDEX(البيانات_الأساسية!$J:$U, MATCH(391, البيانات_الأساسية!$I:$I, 0), VALUE($C$5))), "")</f>
        <v>0</v>
      </c>
      <c r="G404" s="2">
        <f>IFERROR(ROUND(F404/60, 2), "")</f>
        <v>0</v>
      </c>
      <c r="H404" s="2">
        <f>IFERROR(ROUND(F404/E404, 2), "")</f>
        <v>0</v>
      </c>
      <c r="I404" s="2">
        <f>IFERROR(IF($C$5="الكل", INDEX(البيانات_الأساسية!G:G, MATCH(391, البيانات_الأساسية!$I:$I, 0)), $C$5), "")</f>
        <v>0</v>
      </c>
    </row>
    <row r="405" spans="2:9" s="4" customFormat="1" ht="20" customHeight="1">
      <c r="B405" s="2">
        <f>IF(C405="","", 392)</f>
        <v>0</v>
      </c>
      <c r="C405" s="2">
        <f>IFERROR(INDEX(البيانات_الأساسية!A:A, MATCH(392, البيانات_الأساسية!$I:$I, 0)), "")</f>
        <v>0</v>
      </c>
      <c r="D405" s="2">
        <f>IFERROR(INDEX(البيانات_الأساسية!B:B, MATCH(392, البيانات_الأساسية!$I:$I, 0)), "")</f>
        <v>0</v>
      </c>
      <c r="E405" s="2">
        <f>IFERROR(IF($C$5="الكل", INDEX(البيانات_الأساسية!D:D, MATCH(392, البيانات_الأساسية!$I:$I, 0)), INDEX(البيانات_الأساسية!$V:$AG, MATCH(392, البيانات_الأساسية!$I:$I, 0), VALUE($C$5))), "")</f>
        <v>0</v>
      </c>
      <c r="F405" s="2">
        <f>IFERROR(IF($C$5="الكل", INDEX(البيانات_الأساسية!C:C, MATCH(392, البيانات_الأساسية!$I:$I, 0)), INDEX(البيانات_الأساسية!$J:$U, MATCH(392, البيانات_الأساسية!$I:$I, 0), VALUE($C$5))), "")</f>
        <v>0</v>
      </c>
      <c r="G405" s="2">
        <f>IFERROR(ROUND(F405/60, 2), "")</f>
        <v>0</v>
      </c>
      <c r="H405" s="2">
        <f>IFERROR(ROUND(F405/E405, 2), "")</f>
        <v>0</v>
      </c>
      <c r="I405" s="2">
        <f>IFERROR(IF($C$5="الكل", INDEX(البيانات_الأساسية!G:G, MATCH(392, البيانات_الأساسية!$I:$I, 0)), $C$5), "")</f>
        <v>0</v>
      </c>
    </row>
    <row r="406" spans="2:9" s="4" customFormat="1" ht="20" customHeight="1">
      <c r="B406" s="2">
        <f>IF(C406="","", 393)</f>
        <v>0</v>
      </c>
      <c r="C406" s="2">
        <f>IFERROR(INDEX(البيانات_الأساسية!A:A, MATCH(393, البيانات_الأساسية!$I:$I, 0)), "")</f>
        <v>0</v>
      </c>
      <c r="D406" s="2">
        <f>IFERROR(INDEX(البيانات_الأساسية!B:B, MATCH(393, البيانات_الأساسية!$I:$I, 0)), "")</f>
        <v>0</v>
      </c>
      <c r="E406" s="2">
        <f>IFERROR(IF($C$5="الكل", INDEX(البيانات_الأساسية!D:D, MATCH(393, البيانات_الأساسية!$I:$I, 0)), INDEX(البيانات_الأساسية!$V:$AG, MATCH(393, البيانات_الأساسية!$I:$I, 0), VALUE($C$5))), "")</f>
        <v>0</v>
      </c>
      <c r="F406" s="2">
        <f>IFERROR(IF($C$5="الكل", INDEX(البيانات_الأساسية!C:C, MATCH(393, البيانات_الأساسية!$I:$I, 0)), INDEX(البيانات_الأساسية!$J:$U, MATCH(393, البيانات_الأساسية!$I:$I, 0), VALUE($C$5))), "")</f>
        <v>0</v>
      </c>
      <c r="G406" s="2">
        <f>IFERROR(ROUND(F406/60, 2), "")</f>
        <v>0</v>
      </c>
      <c r="H406" s="2">
        <f>IFERROR(ROUND(F406/E406, 2), "")</f>
        <v>0</v>
      </c>
      <c r="I406" s="2">
        <f>IFERROR(IF($C$5="الكل", INDEX(البيانات_الأساسية!G:G, MATCH(393, البيانات_الأساسية!$I:$I, 0)), $C$5), "")</f>
        <v>0</v>
      </c>
    </row>
    <row r="407" spans="2:9" s="4" customFormat="1" ht="20" customHeight="1">
      <c r="B407" s="2">
        <f>IF(C407="","", 394)</f>
        <v>0</v>
      </c>
      <c r="C407" s="2">
        <f>IFERROR(INDEX(البيانات_الأساسية!A:A, MATCH(394, البيانات_الأساسية!$I:$I, 0)), "")</f>
        <v>0</v>
      </c>
      <c r="D407" s="2">
        <f>IFERROR(INDEX(البيانات_الأساسية!B:B, MATCH(394, البيانات_الأساسية!$I:$I, 0)), "")</f>
        <v>0</v>
      </c>
      <c r="E407" s="2">
        <f>IFERROR(IF($C$5="الكل", INDEX(البيانات_الأساسية!D:D, MATCH(394, البيانات_الأساسية!$I:$I, 0)), INDEX(البيانات_الأساسية!$V:$AG, MATCH(394, البيانات_الأساسية!$I:$I, 0), VALUE($C$5))), "")</f>
        <v>0</v>
      </c>
      <c r="F407" s="2">
        <f>IFERROR(IF($C$5="الكل", INDEX(البيانات_الأساسية!C:C, MATCH(394, البيانات_الأساسية!$I:$I, 0)), INDEX(البيانات_الأساسية!$J:$U, MATCH(394, البيانات_الأساسية!$I:$I, 0), VALUE($C$5))), "")</f>
        <v>0</v>
      </c>
      <c r="G407" s="2">
        <f>IFERROR(ROUND(F407/60, 2), "")</f>
        <v>0</v>
      </c>
      <c r="H407" s="2">
        <f>IFERROR(ROUND(F407/E407, 2), "")</f>
        <v>0</v>
      </c>
      <c r="I407" s="2">
        <f>IFERROR(IF($C$5="الكل", INDEX(البيانات_الأساسية!G:G, MATCH(394, البيانات_الأساسية!$I:$I, 0)), $C$5), "")</f>
        <v>0</v>
      </c>
    </row>
    <row r="408" spans="2:9" s="4" customFormat="1" ht="20" customHeight="1">
      <c r="B408" s="2">
        <f>IF(C408="","", 395)</f>
        <v>0</v>
      </c>
      <c r="C408" s="2">
        <f>IFERROR(INDEX(البيانات_الأساسية!A:A, MATCH(395, البيانات_الأساسية!$I:$I, 0)), "")</f>
        <v>0</v>
      </c>
      <c r="D408" s="2">
        <f>IFERROR(INDEX(البيانات_الأساسية!B:B, MATCH(395, البيانات_الأساسية!$I:$I, 0)), "")</f>
        <v>0</v>
      </c>
      <c r="E408" s="2">
        <f>IFERROR(IF($C$5="الكل", INDEX(البيانات_الأساسية!D:D, MATCH(395, البيانات_الأساسية!$I:$I, 0)), INDEX(البيانات_الأساسية!$V:$AG, MATCH(395, البيانات_الأساسية!$I:$I, 0), VALUE($C$5))), "")</f>
        <v>0</v>
      </c>
      <c r="F408" s="2">
        <f>IFERROR(IF($C$5="الكل", INDEX(البيانات_الأساسية!C:C, MATCH(395, البيانات_الأساسية!$I:$I, 0)), INDEX(البيانات_الأساسية!$J:$U, MATCH(395, البيانات_الأساسية!$I:$I, 0), VALUE($C$5))), "")</f>
        <v>0</v>
      </c>
      <c r="G408" s="2">
        <f>IFERROR(ROUND(F408/60, 2), "")</f>
        <v>0</v>
      </c>
      <c r="H408" s="2">
        <f>IFERROR(ROUND(F408/E408, 2), "")</f>
        <v>0</v>
      </c>
      <c r="I408" s="2">
        <f>IFERROR(IF($C$5="الكل", INDEX(البيانات_الأساسية!G:G, MATCH(395, البيانات_الأساسية!$I:$I, 0)), $C$5), "")</f>
        <v>0</v>
      </c>
    </row>
    <row r="409" spans="2:9" s="4" customFormat="1" ht="20" customHeight="1">
      <c r="B409" s="2">
        <f>IF(C409="","", 396)</f>
        <v>0</v>
      </c>
      <c r="C409" s="2">
        <f>IFERROR(INDEX(البيانات_الأساسية!A:A, MATCH(396, البيانات_الأساسية!$I:$I, 0)), "")</f>
        <v>0</v>
      </c>
      <c r="D409" s="2">
        <f>IFERROR(INDEX(البيانات_الأساسية!B:B, MATCH(396, البيانات_الأساسية!$I:$I, 0)), "")</f>
        <v>0</v>
      </c>
      <c r="E409" s="2">
        <f>IFERROR(IF($C$5="الكل", INDEX(البيانات_الأساسية!D:D, MATCH(396, البيانات_الأساسية!$I:$I, 0)), INDEX(البيانات_الأساسية!$V:$AG, MATCH(396, البيانات_الأساسية!$I:$I, 0), VALUE($C$5))), "")</f>
        <v>0</v>
      </c>
      <c r="F409" s="2">
        <f>IFERROR(IF($C$5="الكل", INDEX(البيانات_الأساسية!C:C, MATCH(396, البيانات_الأساسية!$I:$I, 0)), INDEX(البيانات_الأساسية!$J:$U, MATCH(396, البيانات_الأساسية!$I:$I, 0), VALUE($C$5))), "")</f>
        <v>0</v>
      </c>
      <c r="G409" s="2">
        <f>IFERROR(ROUND(F409/60, 2), "")</f>
        <v>0</v>
      </c>
      <c r="H409" s="2">
        <f>IFERROR(ROUND(F409/E409, 2), "")</f>
        <v>0</v>
      </c>
      <c r="I409" s="2">
        <f>IFERROR(IF($C$5="الكل", INDEX(البيانات_الأساسية!G:G, MATCH(396, البيانات_الأساسية!$I:$I, 0)), $C$5), "")</f>
        <v>0</v>
      </c>
    </row>
    <row r="410" spans="2:9" s="4" customFormat="1" ht="20" customHeight="1">
      <c r="B410" s="2">
        <f>IF(C410="","", 397)</f>
        <v>0</v>
      </c>
      <c r="C410" s="2">
        <f>IFERROR(INDEX(البيانات_الأساسية!A:A, MATCH(397, البيانات_الأساسية!$I:$I, 0)), "")</f>
        <v>0</v>
      </c>
      <c r="D410" s="2">
        <f>IFERROR(INDEX(البيانات_الأساسية!B:B, MATCH(397, البيانات_الأساسية!$I:$I, 0)), "")</f>
        <v>0</v>
      </c>
      <c r="E410" s="2">
        <f>IFERROR(IF($C$5="الكل", INDEX(البيانات_الأساسية!D:D, MATCH(397, البيانات_الأساسية!$I:$I, 0)), INDEX(البيانات_الأساسية!$V:$AG, MATCH(397, البيانات_الأساسية!$I:$I, 0), VALUE($C$5))), "")</f>
        <v>0</v>
      </c>
      <c r="F410" s="2">
        <f>IFERROR(IF($C$5="الكل", INDEX(البيانات_الأساسية!C:C, MATCH(397, البيانات_الأساسية!$I:$I, 0)), INDEX(البيانات_الأساسية!$J:$U, MATCH(397, البيانات_الأساسية!$I:$I, 0), VALUE($C$5))), "")</f>
        <v>0</v>
      </c>
      <c r="G410" s="2">
        <f>IFERROR(ROUND(F410/60, 2), "")</f>
        <v>0</v>
      </c>
      <c r="H410" s="2">
        <f>IFERROR(ROUND(F410/E410, 2), "")</f>
        <v>0</v>
      </c>
      <c r="I410" s="2">
        <f>IFERROR(IF($C$5="الكل", INDEX(البيانات_الأساسية!G:G, MATCH(397, البيانات_الأساسية!$I:$I, 0)), $C$5), "")</f>
        <v>0</v>
      </c>
    </row>
    <row r="411" spans="2:9" s="4" customFormat="1" ht="20" customHeight="1">
      <c r="B411" s="2">
        <f>IF(C411="","", 398)</f>
        <v>0</v>
      </c>
      <c r="C411" s="2">
        <f>IFERROR(INDEX(البيانات_الأساسية!A:A, MATCH(398, البيانات_الأساسية!$I:$I, 0)), "")</f>
        <v>0</v>
      </c>
      <c r="D411" s="2">
        <f>IFERROR(INDEX(البيانات_الأساسية!B:B, MATCH(398, البيانات_الأساسية!$I:$I, 0)), "")</f>
        <v>0</v>
      </c>
      <c r="E411" s="2">
        <f>IFERROR(IF($C$5="الكل", INDEX(البيانات_الأساسية!D:D, MATCH(398, البيانات_الأساسية!$I:$I, 0)), INDEX(البيانات_الأساسية!$V:$AG, MATCH(398, البيانات_الأساسية!$I:$I, 0), VALUE($C$5))), "")</f>
        <v>0</v>
      </c>
      <c r="F411" s="2">
        <f>IFERROR(IF($C$5="الكل", INDEX(البيانات_الأساسية!C:C, MATCH(398, البيانات_الأساسية!$I:$I, 0)), INDEX(البيانات_الأساسية!$J:$U, MATCH(398, البيانات_الأساسية!$I:$I, 0), VALUE($C$5))), "")</f>
        <v>0</v>
      </c>
      <c r="G411" s="2">
        <f>IFERROR(ROUND(F411/60, 2), "")</f>
        <v>0</v>
      </c>
      <c r="H411" s="2">
        <f>IFERROR(ROUND(F411/E411, 2), "")</f>
        <v>0</v>
      </c>
      <c r="I411" s="2">
        <f>IFERROR(IF($C$5="الكل", INDEX(البيانات_الأساسية!G:G, MATCH(398, البيانات_الأساسية!$I:$I, 0)), $C$5), "")</f>
        <v>0</v>
      </c>
    </row>
    <row r="412" spans="2:9" s="4" customFormat="1" ht="20" customHeight="1">
      <c r="B412" s="2">
        <f>IF(C412="","", 399)</f>
        <v>0</v>
      </c>
      <c r="C412" s="2">
        <f>IFERROR(INDEX(البيانات_الأساسية!A:A, MATCH(399, البيانات_الأساسية!$I:$I, 0)), "")</f>
        <v>0</v>
      </c>
      <c r="D412" s="2">
        <f>IFERROR(INDEX(البيانات_الأساسية!B:B, MATCH(399, البيانات_الأساسية!$I:$I, 0)), "")</f>
        <v>0</v>
      </c>
      <c r="E412" s="2">
        <f>IFERROR(IF($C$5="الكل", INDEX(البيانات_الأساسية!D:D, MATCH(399, البيانات_الأساسية!$I:$I, 0)), INDEX(البيانات_الأساسية!$V:$AG, MATCH(399, البيانات_الأساسية!$I:$I, 0), VALUE($C$5))), "")</f>
        <v>0</v>
      </c>
      <c r="F412" s="2">
        <f>IFERROR(IF($C$5="الكل", INDEX(البيانات_الأساسية!C:C, MATCH(399, البيانات_الأساسية!$I:$I, 0)), INDEX(البيانات_الأساسية!$J:$U, MATCH(399, البيانات_الأساسية!$I:$I, 0), VALUE($C$5))), "")</f>
        <v>0</v>
      </c>
      <c r="G412" s="2">
        <f>IFERROR(ROUND(F412/60, 2), "")</f>
        <v>0</v>
      </c>
      <c r="H412" s="2">
        <f>IFERROR(ROUND(F412/E412, 2), "")</f>
        <v>0</v>
      </c>
      <c r="I412" s="2">
        <f>IFERROR(IF($C$5="الكل", INDEX(البيانات_الأساسية!G:G, MATCH(399, البيانات_الأساسية!$I:$I, 0)), $C$5), "")</f>
        <v>0</v>
      </c>
    </row>
    <row r="413" spans="2:9" s="4" customFormat="1" ht="20" customHeight="1">
      <c r="B413" s="2">
        <f>IF(C413="","", 400)</f>
        <v>0</v>
      </c>
      <c r="C413" s="2">
        <f>IFERROR(INDEX(البيانات_الأساسية!A:A, MATCH(400, البيانات_الأساسية!$I:$I, 0)), "")</f>
        <v>0</v>
      </c>
      <c r="D413" s="2">
        <f>IFERROR(INDEX(البيانات_الأساسية!B:B, MATCH(400, البيانات_الأساسية!$I:$I, 0)), "")</f>
        <v>0</v>
      </c>
      <c r="E413" s="2">
        <f>IFERROR(IF($C$5="الكل", INDEX(البيانات_الأساسية!D:D, MATCH(400, البيانات_الأساسية!$I:$I, 0)), INDEX(البيانات_الأساسية!$V:$AG, MATCH(400, البيانات_الأساسية!$I:$I, 0), VALUE($C$5))), "")</f>
        <v>0</v>
      </c>
      <c r="F413" s="2">
        <f>IFERROR(IF($C$5="الكل", INDEX(البيانات_الأساسية!C:C, MATCH(400, البيانات_الأساسية!$I:$I, 0)), INDEX(البيانات_الأساسية!$J:$U, MATCH(400, البيانات_الأساسية!$I:$I, 0), VALUE($C$5))), "")</f>
        <v>0</v>
      </c>
      <c r="G413" s="2">
        <f>IFERROR(ROUND(F413/60, 2), "")</f>
        <v>0</v>
      </c>
      <c r="H413" s="2">
        <f>IFERROR(ROUND(F413/E413, 2), "")</f>
        <v>0</v>
      </c>
      <c r="I413" s="2">
        <f>IFERROR(IF($C$5="الكل", INDEX(البيانات_الأساسية!G:G, MATCH(400, البيانات_الأساسية!$I:$I, 0)), $C$5), "")</f>
        <v>0</v>
      </c>
    </row>
    <row r="414" spans="2:9" s="4" customFormat="1" ht="20" customHeight="1">
      <c r="B414" s="2">
        <f>IF(C414="","", 401)</f>
        <v>0</v>
      </c>
      <c r="C414" s="2">
        <f>IFERROR(INDEX(البيانات_الأساسية!A:A, MATCH(401, البيانات_الأساسية!$I:$I, 0)), "")</f>
        <v>0</v>
      </c>
      <c r="D414" s="2">
        <f>IFERROR(INDEX(البيانات_الأساسية!B:B, MATCH(401, البيانات_الأساسية!$I:$I, 0)), "")</f>
        <v>0</v>
      </c>
      <c r="E414" s="2">
        <f>IFERROR(IF($C$5="الكل", INDEX(البيانات_الأساسية!D:D, MATCH(401, البيانات_الأساسية!$I:$I, 0)), INDEX(البيانات_الأساسية!$V:$AG, MATCH(401, البيانات_الأساسية!$I:$I, 0), VALUE($C$5))), "")</f>
        <v>0</v>
      </c>
      <c r="F414" s="2">
        <f>IFERROR(IF($C$5="الكل", INDEX(البيانات_الأساسية!C:C, MATCH(401, البيانات_الأساسية!$I:$I, 0)), INDEX(البيانات_الأساسية!$J:$U, MATCH(401, البيانات_الأساسية!$I:$I, 0), VALUE($C$5))), "")</f>
        <v>0</v>
      </c>
      <c r="G414" s="2">
        <f>IFERROR(ROUND(F414/60, 2), "")</f>
        <v>0</v>
      </c>
      <c r="H414" s="2">
        <f>IFERROR(ROUND(F414/E414, 2), "")</f>
        <v>0</v>
      </c>
      <c r="I414" s="2">
        <f>IFERROR(IF($C$5="الكل", INDEX(البيانات_الأساسية!G:G, MATCH(401, البيانات_الأساسية!$I:$I, 0)), $C$5), "")</f>
        <v>0</v>
      </c>
    </row>
    <row r="415" spans="2:9" s="4" customFormat="1" ht="20" customHeight="1">
      <c r="B415" s="2">
        <f>IF(C415="","", 402)</f>
        <v>0</v>
      </c>
      <c r="C415" s="2">
        <f>IFERROR(INDEX(البيانات_الأساسية!A:A, MATCH(402, البيانات_الأساسية!$I:$I, 0)), "")</f>
        <v>0</v>
      </c>
      <c r="D415" s="2">
        <f>IFERROR(INDEX(البيانات_الأساسية!B:B, MATCH(402, البيانات_الأساسية!$I:$I, 0)), "")</f>
        <v>0</v>
      </c>
      <c r="E415" s="2">
        <f>IFERROR(IF($C$5="الكل", INDEX(البيانات_الأساسية!D:D, MATCH(402, البيانات_الأساسية!$I:$I, 0)), INDEX(البيانات_الأساسية!$V:$AG, MATCH(402, البيانات_الأساسية!$I:$I, 0), VALUE($C$5))), "")</f>
        <v>0</v>
      </c>
      <c r="F415" s="2">
        <f>IFERROR(IF($C$5="الكل", INDEX(البيانات_الأساسية!C:C, MATCH(402, البيانات_الأساسية!$I:$I, 0)), INDEX(البيانات_الأساسية!$J:$U, MATCH(402, البيانات_الأساسية!$I:$I, 0), VALUE($C$5))), "")</f>
        <v>0</v>
      </c>
      <c r="G415" s="2">
        <f>IFERROR(ROUND(F415/60, 2), "")</f>
        <v>0</v>
      </c>
      <c r="H415" s="2">
        <f>IFERROR(ROUND(F415/E415, 2), "")</f>
        <v>0</v>
      </c>
      <c r="I415" s="2">
        <f>IFERROR(IF($C$5="الكل", INDEX(البيانات_الأساسية!G:G, MATCH(402, البيانات_الأساسية!$I:$I, 0)), $C$5), "")</f>
        <v>0</v>
      </c>
    </row>
    <row r="416" spans="2:9" s="4" customFormat="1" ht="20" customHeight="1">
      <c r="B416" s="2">
        <f>IF(C416="","", 403)</f>
        <v>0</v>
      </c>
      <c r="C416" s="2">
        <f>IFERROR(INDEX(البيانات_الأساسية!A:A, MATCH(403, البيانات_الأساسية!$I:$I, 0)), "")</f>
        <v>0</v>
      </c>
      <c r="D416" s="2">
        <f>IFERROR(INDEX(البيانات_الأساسية!B:B, MATCH(403, البيانات_الأساسية!$I:$I, 0)), "")</f>
        <v>0</v>
      </c>
      <c r="E416" s="2">
        <f>IFERROR(IF($C$5="الكل", INDEX(البيانات_الأساسية!D:D, MATCH(403, البيانات_الأساسية!$I:$I, 0)), INDEX(البيانات_الأساسية!$V:$AG, MATCH(403, البيانات_الأساسية!$I:$I, 0), VALUE($C$5))), "")</f>
        <v>0</v>
      </c>
      <c r="F416" s="2">
        <f>IFERROR(IF($C$5="الكل", INDEX(البيانات_الأساسية!C:C, MATCH(403, البيانات_الأساسية!$I:$I, 0)), INDEX(البيانات_الأساسية!$J:$U, MATCH(403, البيانات_الأساسية!$I:$I, 0), VALUE($C$5))), "")</f>
        <v>0</v>
      </c>
      <c r="G416" s="2">
        <f>IFERROR(ROUND(F416/60, 2), "")</f>
        <v>0</v>
      </c>
      <c r="H416" s="2">
        <f>IFERROR(ROUND(F416/E416, 2), "")</f>
        <v>0</v>
      </c>
      <c r="I416" s="2">
        <f>IFERROR(IF($C$5="الكل", INDEX(البيانات_الأساسية!G:G, MATCH(403, البيانات_الأساسية!$I:$I, 0)), $C$5), "")</f>
        <v>0</v>
      </c>
    </row>
    <row r="417" spans="2:9" s="4" customFormat="1" ht="20" customHeight="1">
      <c r="B417" s="2">
        <f>IF(C417="","", 404)</f>
        <v>0</v>
      </c>
      <c r="C417" s="2">
        <f>IFERROR(INDEX(البيانات_الأساسية!A:A, MATCH(404, البيانات_الأساسية!$I:$I, 0)), "")</f>
        <v>0</v>
      </c>
      <c r="D417" s="2">
        <f>IFERROR(INDEX(البيانات_الأساسية!B:B, MATCH(404, البيانات_الأساسية!$I:$I, 0)), "")</f>
        <v>0</v>
      </c>
      <c r="E417" s="2">
        <f>IFERROR(IF($C$5="الكل", INDEX(البيانات_الأساسية!D:D, MATCH(404, البيانات_الأساسية!$I:$I, 0)), INDEX(البيانات_الأساسية!$V:$AG, MATCH(404, البيانات_الأساسية!$I:$I, 0), VALUE($C$5))), "")</f>
        <v>0</v>
      </c>
      <c r="F417" s="2">
        <f>IFERROR(IF($C$5="الكل", INDEX(البيانات_الأساسية!C:C, MATCH(404, البيانات_الأساسية!$I:$I, 0)), INDEX(البيانات_الأساسية!$J:$U, MATCH(404, البيانات_الأساسية!$I:$I, 0), VALUE($C$5))), "")</f>
        <v>0</v>
      </c>
      <c r="G417" s="2">
        <f>IFERROR(ROUND(F417/60, 2), "")</f>
        <v>0</v>
      </c>
      <c r="H417" s="2">
        <f>IFERROR(ROUND(F417/E417, 2), "")</f>
        <v>0</v>
      </c>
      <c r="I417" s="2">
        <f>IFERROR(IF($C$5="الكل", INDEX(البيانات_الأساسية!G:G, MATCH(404, البيانات_الأساسية!$I:$I, 0)), $C$5), "")</f>
        <v>0</v>
      </c>
    </row>
    <row r="418" spans="2:9" s="4" customFormat="1" ht="20" customHeight="1">
      <c r="B418" s="2">
        <f>IF(C418="","", 405)</f>
        <v>0</v>
      </c>
      <c r="C418" s="2">
        <f>IFERROR(INDEX(البيانات_الأساسية!A:A, MATCH(405, البيانات_الأساسية!$I:$I, 0)), "")</f>
        <v>0</v>
      </c>
      <c r="D418" s="2">
        <f>IFERROR(INDEX(البيانات_الأساسية!B:B, MATCH(405, البيانات_الأساسية!$I:$I, 0)), "")</f>
        <v>0</v>
      </c>
      <c r="E418" s="2">
        <f>IFERROR(IF($C$5="الكل", INDEX(البيانات_الأساسية!D:D, MATCH(405, البيانات_الأساسية!$I:$I, 0)), INDEX(البيانات_الأساسية!$V:$AG, MATCH(405, البيانات_الأساسية!$I:$I, 0), VALUE($C$5))), "")</f>
        <v>0</v>
      </c>
      <c r="F418" s="2">
        <f>IFERROR(IF($C$5="الكل", INDEX(البيانات_الأساسية!C:C, MATCH(405, البيانات_الأساسية!$I:$I, 0)), INDEX(البيانات_الأساسية!$J:$U, MATCH(405, البيانات_الأساسية!$I:$I, 0), VALUE($C$5))), "")</f>
        <v>0</v>
      </c>
      <c r="G418" s="2">
        <f>IFERROR(ROUND(F418/60, 2), "")</f>
        <v>0</v>
      </c>
      <c r="H418" s="2">
        <f>IFERROR(ROUND(F418/E418, 2), "")</f>
        <v>0</v>
      </c>
      <c r="I418" s="2">
        <f>IFERROR(IF($C$5="الكل", INDEX(البيانات_الأساسية!G:G, MATCH(405, البيانات_الأساسية!$I:$I, 0)), $C$5), "")</f>
        <v>0</v>
      </c>
    </row>
    <row r="419" spans="2:9" s="4" customFormat="1" ht="20" customHeight="1">
      <c r="B419" s="2">
        <f>IF(C419="","", 406)</f>
        <v>0</v>
      </c>
      <c r="C419" s="2">
        <f>IFERROR(INDEX(البيانات_الأساسية!A:A, MATCH(406, البيانات_الأساسية!$I:$I, 0)), "")</f>
        <v>0</v>
      </c>
      <c r="D419" s="2">
        <f>IFERROR(INDEX(البيانات_الأساسية!B:B, MATCH(406, البيانات_الأساسية!$I:$I, 0)), "")</f>
        <v>0</v>
      </c>
      <c r="E419" s="2">
        <f>IFERROR(IF($C$5="الكل", INDEX(البيانات_الأساسية!D:D, MATCH(406, البيانات_الأساسية!$I:$I, 0)), INDEX(البيانات_الأساسية!$V:$AG, MATCH(406, البيانات_الأساسية!$I:$I, 0), VALUE($C$5))), "")</f>
        <v>0</v>
      </c>
      <c r="F419" s="2">
        <f>IFERROR(IF($C$5="الكل", INDEX(البيانات_الأساسية!C:C, MATCH(406, البيانات_الأساسية!$I:$I, 0)), INDEX(البيانات_الأساسية!$J:$U, MATCH(406, البيانات_الأساسية!$I:$I, 0), VALUE($C$5))), "")</f>
        <v>0</v>
      </c>
      <c r="G419" s="2">
        <f>IFERROR(ROUND(F419/60, 2), "")</f>
        <v>0</v>
      </c>
      <c r="H419" s="2">
        <f>IFERROR(ROUND(F419/E419, 2), "")</f>
        <v>0</v>
      </c>
      <c r="I419" s="2">
        <f>IFERROR(IF($C$5="الكل", INDEX(البيانات_الأساسية!G:G, MATCH(406, البيانات_الأساسية!$I:$I, 0)), $C$5), "")</f>
        <v>0</v>
      </c>
    </row>
    <row r="420" spans="2:9" s="4" customFormat="1" ht="20" customHeight="1">
      <c r="B420" s="2">
        <f>IF(C420="","", 407)</f>
        <v>0</v>
      </c>
      <c r="C420" s="2">
        <f>IFERROR(INDEX(البيانات_الأساسية!A:A, MATCH(407, البيانات_الأساسية!$I:$I, 0)), "")</f>
        <v>0</v>
      </c>
      <c r="D420" s="2">
        <f>IFERROR(INDEX(البيانات_الأساسية!B:B, MATCH(407, البيانات_الأساسية!$I:$I, 0)), "")</f>
        <v>0</v>
      </c>
      <c r="E420" s="2">
        <f>IFERROR(IF($C$5="الكل", INDEX(البيانات_الأساسية!D:D, MATCH(407, البيانات_الأساسية!$I:$I, 0)), INDEX(البيانات_الأساسية!$V:$AG, MATCH(407, البيانات_الأساسية!$I:$I, 0), VALUE($C$5))), "")</f>
        <v>0</v>
      </c>
      <c r="F420" s="2">
        <f>IFERROR(IF($C$5="الكل", INDEX(البيانات_الأساسية!C:C, MATCH(407, البيانات_الأساسية!$I:$I, 0)), INDEX(البيانات_الأساسية!$J:$U, MATCH(407, البيانات_الأساسية!$I:$I, 0), VALUE($C$5))), "")</f>
        <v>0</v>
      </c>
      <c r="G420" s="2">
        <f>IFERROR(ROUND(F420/60, 2), "")</f>
        <v>0</v>
      </c>
      <c r="H420" s="2">
        <f>IFERROR(ROUND(F420/E420, 2), "")</f>
        <v>0</v>
      </c>
      <c r="I420" s="2">
        <f>IFERROR(IF($C$5="الكل", INDEX(البيانات_الأساسية!G:G, MATCH(407, البيانات_الأساسية!$I:$I, 0)), $C$5), "")</f>
        <v>0</v>
      </c>
    </row>
    <row r="421" spans="2:9" s="4" customFormat="1" ht="20" customHeight="1">
      <c r="B421" s="2">
        <f>IF(C421="","", 408)</f>
        <v>0</v>
      </c>
      <c r="C421" s="2">
        <f>IFERROR(INDEX(البيانات_الأساسية!A:A, MATCH(408, البيانات_الأساسية!$I:$I, 0)), "")</f>
        <v>0</v>
      </c>
      <c r="D421" s="2">
        <f>IFERROR(INDEX(البيانات_الأساسية!B:B, MATCH(408, البيانات_الأساسية!$I:$I, 0)), "")</f>
        <v>0</v>
      </c>
      <c r="E421" s="2">
        <f>IFERROR(IF($C$5="الكل", INDEX(البيانات_الأساسية!D:D, MATCH(408, البيانات_الأساسية!$I:$I, 0)), INDEX(البيانات_الأساسية!$V:$AG, MATCH(408, البيانات_الأساسية!$I:$I, 0), VALUE($C$5))), "")</f>
        <v>0</v>
      </c>
      <c r="F421" s="2">
        <f>IFERROR(IF($C$5="الكل", INDEX(البيانات_الأساسية!C:C, MATCH(408, البيانات_الأساسية!$I:$I, 0)), INDEX(البيانات_الأساسية!$J:$U, MATCH(408, البيانات_الأساسية!$I:$I, 0), VALUE($C$5))), "")</f>
        <v>0</v>
      </c>
      <c r="G421" s="2">
        <f>IFERROR(ROUND(F421/60, 2), "")</f>
        <v>0</v>
      </c>
      <c r="H421" s="2">
        <f>IFERROR(ROUND(F421/E421, 2), "")</f>
        <v>0</v>
      </c>
      <c r="I421" s="2">
        <f>IFERROR(IF($C$5="الكل", INDEX(البيانات_الأساسية!G:G, MATCH(408, البيانات_الأساسية!$I:$I, 0)), $C$5), "")</f>
        <v>0</v>
      </c>
    </row>
    <row r="422" spans="2:9" s="4" customFormat="1" ht="20" customHeight="1">
      <c r="B422" s="2">
        <f>IF(C422="","", 409)</f>
        <v>0</v>
      </c>
      <c r="C422" s="2">
        <f>IFERROR(INDEX(البيانات_الأساسية!A:A, MATCH(409, البيانات_الأساسية!$I:$I, 0)), "")</f>
        <v>0</v>
      </c>
      <c r="D422" s="2">
        <f>IFERROR(INDEX(البيانات_الأساسية!B:B, MATCH(409, البيانات_الأساسية!$I:$I, 0)), "")</f>
        <v>0</v>
      </c>
      <c r="E422" s="2">
        <f>IFERROR(IF($C$5="الكل", INDEX(البيانات_الأساسية!D:D, MATCH(409, البيانات_الأساسية!$I:$I, 0)), INDEX(البيانات_الأساسية!$V:$AG, MATCH(409, البيانات_الأساسية!$I:$I, 0), VALUE($C$5))), "")</f>
        <v>0</v>
      </c>
      <c r="F422" s="2">
        <f>IFERROR(IF($C$5="الكل", INDEX(البيانات_الأساسية!C:C, MATCH(409, البيانات_الأساسية!$I:$I, 0)), INDEX(البيانات_الأساسية!$J:$U, MATCH(409, البيانات_الأساسية!$I:$I, 0), VALUE($C$5))), "")</f>
        <v>0</v>
      </c>
      <c r="G422" s="2">
        <f>IFERROR(ROUND(F422/60, 2), "")</f>
        <v>0</v>
      </c>
      <c r="H422" s="2">
        <f>IFERROR(ROUND(F422/E422, 2), "")</f>
        <v>0</v>
      </c>
      <c r="I422" s="2">
        <f>IFERROR(IF($C$5="الكل", INDEX(البيانات_الأساسية!G:G, MATCH(409, البيانات_الأساسية!$I:$I, 0)), $C$5), "")</f>
        <v>0</v>
      </c>
    </row>
    <row r="423" spans="2:9" s="4" customFormat="1" ht="20" customHeight="1">
      <c r="B423" s="2">
        <f>IF(C423="","", 410)</f>
        <v>0</v>
      </c>
      <c r="C423" s="2">
        <f>IFERROR(INDEX(البيانات_الأساسية!A:A, MATCH(410, البيانات_الأساسية!$I:$I, 0)), "")</f>
        <v>0</v>
      </c>
      <c r="D423" s="2">
        <f>IFERROR(INDEX(البيانات_الأساسية!B:B, MATCH(410, البيانات_الأساسية!$I:$I, 0)), "")</f>
        <v>0</v>
      </c>
      <c r="E423" s="2">
        <f>IFERROR(IF($C$5="الكل", INDEX(البيانات_الأساسية!D:D, MATCH(410, البيانات_الأساسية!$I:$I, 0)), INDEX(البيانات_الأساسية!$V:$AG, MATCH(410, البيانات_الأساسية!$I:$I, 0), VALUE($C$5))), "")</f>
        <v>0</v>
      </c>
      <c r="F423" s="2">
        <f>IFERROR(IF($C$5="الكل", INDEX(البيانات_الأساسية!C:C, MATCH(410, البيانات_الأساسية!$I:$I, 0)), INDEX(البيانات_الأساسية!$J:$U, MATCH(410, البيانات_الأساسية!$I:$I, 0), VALUE($C$5))), "")</f>
        <v>0</v>
      </c>
      <c r="G423" s="2">
        <f>IFERROR(ROUND(F423/60, 2), "")</f>
        <v>0</v>
      </c>
      <c r="H423" s="2">
        <f>IFERROR(ROUND(F423/E423, 2), "")</f>
        <v>0</v>
      </c>
      <c r="I423" s="2">
        <f>IFERROR(IF($C$5="الكل", INDEX(البيانات_الأساسية!G:G, MATCH(410, البيانات_الأساسية!$I:$I, 0)), $C$5), "")</f>
        <v>0</v>
      </c>
    </row>
    <row r="424" spans="2:9" s="4" customFormat="1" ht="20" customHeight="1">
      <c r="B424" s="2">
        <f>IF(C424="","", 411)</f>
        <v>0</v>
      </c>
      <c r="C424" s="2">
        <f>IFERROR(INDEX(البيانات_الأساسية!A:A, MATCH(411, البيانات_الأساسية!$I:$I, 0)), "")</f>
        <v>0</v>
      </c>
      <c r="D424" s="2">
        <f>IFERROR(INDEX(البيانات_الأساسية!B:B, MATCH(411, البيانات_الأساسية!$I:$I, 0)), "")</f>
        <v>0</v>
      </c>
      <c r="E424" s="2">
        <f>IFERROR(IF($C$5="الكل", INDEX(البيانات_الأساسية!D:D, MATCH(411, البيانات_الأساسية!$I:$I, 0)), INDEX(البيانات_الأساسية!$V:$AG, MATCH(411, البيانات_الأساسية!$I:$I, 0), VALUE($C$5))), "")</f>
        <v>0</v>
      </c>
      <c r="F424" s="2">
        <f>IFERROR(IF($C$5="الكل", INDEX(البيانات_الأساسية!C:C, MATCH(411, البيانات_الأساسية!$I:$I, 0)), INDEX(البيانات_الأساسية!$J:$U, MATCH(411, البيانات_الأساسية!$I:$I, 0), VALUE($C$5))), "")</f>
        <v>0</v>
      </c>
      <c r="G424" s="2">
        <f>IFERROR(ROUND(F424/60, 2), "")</f>
        <v>0</v>
      </c>
      <c r="H424" s="2">
        <f>IFERROR(ROUND(F424/E424, 2), "")</f>
        <v>0</v>
      </c>
      <c r="I424" s="2">
        <f>IFERROR(IF($C$5="الكل", INDEX(البيانات_الأساسية!G:G, MATCH(411, البيانات_الأساسية!$I:$I, 0)), $C$5), "")</f>
        <v>0</v>
      </c>
    </row>
    <row r="425" spans="2:9" s="4" customFormat="1" ht="20" customHeight="1">
      <c r="B425" s="2">
        <f>IF(C425="","", 412)</f>
        <v>0</v>
      </c>
      <c r="C425" s="2">
        <f>IFERROR(INDEX(البيانات_الأساسية!A:A, MATCH(412, البيانات_الأساسية!$I:$I, 0)), "")</f>
        <v>0</v>
      </c>
      <c r="D425" s="2">
        <f>IFERROR(INDEX(البيانات_الأساسية!B:B, MATCH(412, البيانات_الأساسية!$I:$I, 0)), "")</f>
        <v>0</v>
      </c>
      <c r="E425" s="2">
        <f>IFERROR(IF($C$5="الكل", INDEX(البيانات_الأساسية!D:D, MATCH(412, البيانات_الأساسية!$I:$I, 0)), INDEX(البيانات_الأساسية!$V:$AG, MATCH(412, البيانات_الأساسية!$I:$I, 0), VALUE($C$5))), "")</f>
        <v>0</v>
      </c>
      <c r="F425" s="2">
        <f>IFERROR(IF($C$5="الكل", INDEX(البيانات_الأساسية!C:C, MATCH(412, البيانات_الأساسية!$I:$I, 0)), INDEX(البيانات_الأساسية!$J:$U, MATCH(412, البيانات_الأساسية!$I:$I, 0), VALUE($C$5))), "")</f>
        <v>0</v>
      </c>
      <c r="G425" s="2">
        <f>IFERROR(ROUND(F425/60, 2), "")</f>
        <v>0</v>
      </c>
      <c r="H425" s="2">
        <f>IFERROR(ROUND(F425/E425, 2), "")</f>
        <v>0</v>
      </c>
      <c r="I425" s="2">
        <f>IFERROR(IF($C$5="الكل", INDEX(البيانات_الأساسية!G:G, MATCH(412, البيانات_الأساسية!$I:$I, 0)), $C$5), "")</f>
        <v>0</v>
      </c>
    </row>
    <row r="426" spans="2:9" s="4" customFormat="1" ht="20" customHeight="1">
      <c r="B426" s="2">
        <f>IF(C426="","", 413)</f>
        <v>0</v>
      </c>
      <c r="C426" s="2">
        <f>IFERROR(INDEX(البيانات_الأساسية!A:A, MATCH(413, البيانات_الأساسية!$I:$I, 0)), "")</f>
        <v>0</v>
      </c>
      <c r="D426" s="2">
        <f>IFERROR(INDEX(البيانات_الأساسية!B:B, MATCH(413, البيانات_الأساسية!$I:$I, 0)), "")</f>
        <v>0</v>
      </c>
      <c r="E426" s="2">
        <f>IFERROR(IF($C$5="الكل", INDEX(البيانات_الأساسية!D:D, MATCH(413, البيانات_الأساسية!$I:$I, 0)), INDEX(البيانات_الأساسية!$V:$AG, MATCH(413, البيانات_الأساسية!$I:$I, 0), VALUE($C$5))), "")</f>
        <v>0</v>
      </c>
      <c r="F426" s="2">
        <f>IFERROR(IF($C$5="الكل", INDEX(البيانات_الأساسية!C:C, MATCH(413, البيانات_الأساسية!$I:$I, 0)), INDEX(البيانات_الأساسية!$J:$U, MATCH(413, البيانات_الأساسية!$I:$I, 0), VALUE($C$5))), "")</f>
        <v>0</v>
      </c>
      <c r="G426" s="2">
        <f>IFERROR(ROUND(F426/60, 2), "")</f>
        <v>0</v>
      </c>
      <c r="H426" s="2">
        <f>IFERROR(ROUND(F426/E426, 2), "")</f>
        <v>0</v>
      </c>
      <c r="I426" s="2">
        <f>IFERROR(IF($C$5="الكل", INDEX(البيانات_الأساسية!G:G, MATCH(413, البيانات_الأساسية!$I:$I, 0)), $C$5), "")</f>
        <v>0</v>
      </c>
    </row>
    <row r="427" spans="2:9" s="4" customFormat="1" ht="20" customHeight="1">
      <c r="B427" s="2">
        <f>IF(C427="","", 414)</f>
        <v>0</v>
      </c>
      <c r="C427" s="2">
        <f>IFERROR(INDEX(البيانات_الأساسية!A:A, MATCH(414, البيانات_الأساسية!$I:$I, 0)), "")</f>
        <v>0</v>
      </c>
      <c r="D427" s="2">
        <f>IFERROR(INDEX(البيانات_الأساسية!B:B, MATCH(414, البيانات_الأساسية!$I:$I, 0)), "")</f>
        <v>0</v>
      </c>
      <c r="E427" s="2">
        <f>IFERROR(IF($C$5="الكل", INDEX(البيانات_الأساسية!D:D, MATCH(414, البيانات_الأساسية!$I:$I, 0)), INDEX(البيانات_الأساسية!$V:$AG, MATCH(414, البيانات_الأساسية!$I:$I, 0), VALUE($C$5))), "")</f>
        <v>0</v>
      </c>
      <c r="F427" s="2">
        <f>IFERROR(IF($C$5="الكل", INDEX(البيانات_الأساسية!C:C, MATCH(414, البيانات_الأساسية!$I:$I, 0)), INDEX(البيانات_الأساسية!$J:$U, MATCH(414, البيانات_الأساسية!$I:$I, 0), VALUE($C$5))), "")</f>
        <v>0</v>
      </c>
      <c r="G427" s="2">
        <f>IFERROR(ROUND(F427/60, 2), "")</f>
        <v>0</v>
      </c>
      <c r="H427" s="2">
        <f>IFERROR(ROUND(F427/E427, 2), "")</f>
        <v>0</v>
      </c>
      <c r="I427" s="2">
        <f>IFERROR(IF($C$5="الكل", INDEX(البيانات_الأساسية!G:G, MATCH(414, البيانات_الأساسية!$I:$I, 0)), $C$5), "")</f>
        <v>0</v>
      </c>
    </row>
    <row r="428" spans="2:9" s="4" customFormat="1" ht="20" customHeight="1">
      <c r="B428" s="2">
        <f>IF(C428="","", 415)</f>
        <v>0</v>
      </c>
      <c r="C428" s="2">
        <f>IFERROR(INDEX(البيانات_الأساسية!A:A, MATCH(415, البيانات_الأساسية!$I:$I, 0)), "")</f>
        <v>0</v>
      </c>
      <c r="D428" s="2">
        <f>IFERROR(INDEX(البيانات_الأساسية!B:B, MATCH(415, البيانات_الأساسية!$I:$I, 0)), "")</f>
        <v>0</v>
      </c>
      <c r="E428" s="2">
        <f>IFERROR(IF($C$5="الكل", INDEX(البيانات_الأساسية!D:D, MATCH(415, البيانات_الأساسية!$I:$I, 0)), INDEX(البيانات_الأساسية!$V:$AG, MATCH(415, البيانات_الأساسية!$I:$I, 0), VALUE($C$5))), "")</f>
        <v>0</v>
      </c>
      <c r="F428" s="2">
        <f>IFERROR(IF($C$5="الكل", INDEX(البيانات_الأساسية!C:C, MATCH(415, البيانات_الأساسية!$I:$I, 0)), INDEX(البيانات_الأساسية!$J:$U, MATCH(415, البيانات_الأساسية!$I:$I, 0), VALUE($C$5))), "")</f>
        <v>0</v>
      </c>
      <c r="G428" s="2">
        <f>IFERROR(ROUND(F428/60, 2), "")</f>
        <v>0</v>
      </c>
      <c r="H428" s="2">
        <f>IFERROR(ROUND(F428/E428, 2), "")</f>
        <v>0</v>
      </c>
      <c r="I428" s="2">
        <f>IFERROR(IF($C$5="الكل", INDEX(البيانات_الأساسية!G:G, MATCH(415, البيانات_الأساسية!$I:$I, 0)), $C$5), "")</f>
        <v>0</v>
      </c>
    </row>
    <row r="429" spans="2:9" s="4" customFormat="1" ht="20" customHeight="1">
      <c r="B429" s="2">
        <f>IF(C429="","", 416)</f>
        <v>0</v>
      </c>
      <c r="C429" s="2">
        <f>IFERROR(INDEX(البيانات_الأساسية!A:A, MATCH(416, البيانات_الأساسية!$I:$I, 0)), "")</f>
        <v>0</v>
      </c>
      <c r="D429" s="2">
        <f>IFERROR(INDEX(البيانات_الأساسية!B:B, MATCH(416, البيانات_الأساسية!$I:$I, 0)), "")</f>
        <v>0</v>
      </c>
      <c r="E429" s="2">
        <f>IFERROR(IF($C$5="الكل", INDEX(البيانات_الأساسية!D:D, MATCH(416, البيانات_الأساسية!$I:$I, 0)), INDEX(البيانات_الأساسية!$V:$AG, MATCH(416, البيانات_الأساسية!$I:$I, 0), VALUE($C$5))), "")</f>
        <v>0</v>
      </c>
      <c r="F429" s="2">
        <f>IFERROR(IF($C$5="الكل", INDEX(البيانات_الأساسية!C:C, MATCH(416, البيانات_الأساسية!$I:$I, 0)), INDEX(البيانات_الأساسية!$J:$U, MATCH(416, البيانات_الأساسية!$I:$I, 0), VALUE($C$5))), "")</f>
        <v>0</v>
      </c>
      <c r="G429" s="2">
        <f>IFERROR(ROUND(F429/60, 2), "")</f>
        <v>0</v>
      </c>
      <c r="H429" s="2">
        <f>IFERROR(ROUND(F429/E429, 2), "")</f>
        <v>0</v>
      </c>
      <c r="I429" s="2">
        <f>IFERROR(IF($C$5="الكل", INDEX(البيانات_الأساسية!G:G, MATCH(416, البيانات_الأساسية!$I:$I, 0)), $C$5), "")</f>
        <v>0</v>
      </c>
    </row>
    <row r="430" spans="2:9" s="4" customFormat="1" ht="20" customHeight="1">
      <c r="B430" s="2">
        <f>IF(C430="","", 417)</f>
        <v>0</v>
      </c>
      <c r="C430" s="2">
        <f>IFERROR(INDEX(البيانات_الأساسية!A:A, MATCH(417, البيانات_الأساسية!$I:$I, 0)), "")</f>
        <v>0</v>
      </c>
      <c r="D430" s="2">
        <f>IFERROR(INDEX(البيانات_الأساسية!B:B, MATCH(417, البيانات_الأساسية!$I:$I, 0)), "")</f>
        <v>0</v>
      </c>
      <c r="E430" s="2">
        <f>IFERROR(IF($C$5="الكل", INDEX(البيانات_الأساسية!D:D, MATCH(417, البيانات_الأساسية!$I:$I, 0)), INDEX(البيانات_الأساسية!$V:$AG, MATCH(417, البيانات_الأساسية!$I:$I, 0), VALUE($C$5))), "")</f>
        <v>0</v>
      </c>
      <c r="F430" s="2">
        <f>IFERROR(IF($C$5="الكل", INDEX(البيانات_الأساسية!C:C, MATCH(417, البيانات_الأساسية!$I:$I, 0)), INDEX(البيانات_الأساسية!$J:$U, MATCH(417, البيانات_الأساسية!$I:$I, 0), VALUE($C$5))), "")</f>
        <v>0</v>
      </c>
      <c r="G430" s="2">
        <f>IFERROR(ROUND(F430/60, 2), "")</f>
        <v>0</v>
      </c>
      <c r="H430" s="2">
        <f>IFERROR(ROUND(F430/E430, 2), "")</f>
        <v>0</v>
      </c>
      <c r="I430" s="2">
        <f>IFERROR(IF($C$5="الكل", INDEX(البيانات_الأساسية!G:G, MATCH(417, البيانات_الأساسية!$I:$I, 0)), $C$5), "")</f>
        <v>0</v>
      </c>
    </row>
    <row r="431" spans="2:9" s="4" customFormat="1" ht="20" customHeight="1">
      <c r="B431" s="2">
        <f>IF(C431="","", 418)</f>
        <v>0</v>
      </c>
      <c r="C431" s="2">
        <f>IFERROR(INDEX(البيانات_الأساسية!A:A, MATCH(418, البيانات_الأساسية!$I:$I, 0)), "")</f>
        <v>0</v>
      </c>
      <c r="D431" s="2">
        <f>IFERROR(INDEX(البيانات_الأساسية!B:B, MATCH(418, البيانات_الأساسية!$I:$I, 0)), "")</f>
        <v>0</v>
      </c>
      <c r="E431" s="2">
        <f>IFERROR(IF($C$5="الكل", INDEX(البيانات_الأساسية!D:D, MATCH(418, البيانات_الأساسية!$I:$I, 0)), INDEX(البيانات_الأساسية!$V:$AG, MATCH(418, البيانات_الأساسية!$I:$I, 0), VALUE($C$5))), "")</f>
        <v>0</v>
      </c>
      <c r="F431" s="2">
        <f>IFERROR(IF($C$5="الكل", INDEX(البيانات_الأساسية!C:C, MATCH(418, البيانات_الأساسية!$I:$I, 0)), INDEX(البيانات_الأساسية!$J:$U, MATCH(418, البيانات_الأساسية!$I:$I, 0), VALUE($C$5))), "")</f>
        <v>0</v>
      </c>
      <c r="G431" s="2">
        <f>IFERROR(ROUND(F431/60, 2), "")</f>
        <v>0</v>
      </c>
      <c r="H431" s="2">
        <f>IFERROR(ROUND(F431/E431, 2), "")</f>
        <v>0</v>
      </c>
      <c r="I431" s="2">
        <f>IFERROR(IF($C$5="الكل", INDEX(البيانات_الأساسية!G:G, MATCH(418, البيانات_الأساسية!$I:$I, 0)), $C$5), "")</f>
        <v>0</v>
      </c>
    </row>
    <row r="432" spans="2:9" s="4" customFormat="1" ht="20" customHeight="1">
      <c r="B432" s="2">
        <f>IF(C432="","", 419)</f>
        <v>0</v>
      </c>
      <c r="C432" s="2">
        <f>IFERROR(INDEX(البيانات_الأساسية!A:A, MATCH(419, البيانات_الأساسية!$I:$I, 0)), "")</f>
        <v>0</v>
      </c>
      <c r="D432" s="2">
        <f>IFERROR(INDEX(البيانات_الأساسية!B:B, MATCH(419, البيانات_الأساسية!$I:$I, 0)), "")</f>
        <v>0</v>
      </c>
      <c r="E432" s="2">
        <f>IFERROR(IF($C$5="الكل", INDEX(البيانات_الأساسية!D:D, MATCH(419, البيانات_الأساسية!$I:$I, 0)), INDEX(البيانات_الأساسية!$V:$AG, MATCH(419, البيانات_الأساسية!$I:$I, 0), VALUE($C$5))), "")</f>
        <v>0</v>
      </c>
      <c r="F432" s="2">
        <f>IFERROR(IF($C$5="الكل", INDEX(البيانات_الأساسية!C:C, MATCH(419, البيانات_الأساسية!$I:$I, 0)), INDEX(البيانات_الأساسية!$J:$U, MATCH(419, البيانات_الأساسية!$I:$I, 0), VALUE($C$5))), "")</f>
        <v>0</v>
      </c>
      <c r="G432" s="2">
        <f>IFERROR(ROUND(F432/60, 2), "")</f>
        <v>0</v>
      </c>
      <c r="H432" s="2">
        <f>IFERROR(ROUND(F432/E432, 2), "")</f>
        <v>0</v>
      </c>
      <c r="I432" s="2">
        <f>IFERROR(IF($C$5="الكل", INDEX(البيانات_الأساسية!G:G, MATCH(419, البيانات_الأساسية!$I:$I, 0)), $C$5), "")</f>
        <v>0</v>
      </c>
    </row>
    <row r="433" spans="2:9" s="4" customFormat="1" ht="20" customHeight="1">
      <c r="B433" s="2">
        <f>IF(C433="","", 420)</f>
        <v>0</v>
      </c>
      <c r="C433" s="2">
        <f>IFERROR(INDEX(البيانات_الأساسية!A:A, MATCH(420, البيانات_الأساسية!$I:$I, 0)), "")</f>
        <v>0</v>
      </c>
      <c r="D433" s="2">
        <f>IFERROR(INDEX(البيانات_الأساسية!B:B, MATCH(420, البيانات_الأساسية!$I:$I, 0)), "")</f>
        <v>0</v>
      </c>
      <c r="E433" s="2">
        <f>IFERROR(IF($C$5="الكل", INDEX(البيانات_الأساسية!D:D, MATCH(420, البيانات_الأساسية!$I:$I, 0)), INDEX(البيانات_الأساسية!$V:$AG, MATCH(420, البيانات_الأساسية!$I:$I, 0), VALUE($C$5))), "")</f>
        <v>0</v>
      </c>
      <c r="F433" s="2">
        <f>IFERROR(IF($C$5="الكل", INDEX(البيانات_الأساسية!C:C, MATCH(420, البيانات_الأساسية!$I:$I, 0)), INDEX(البيانات_الأساسية!$J:$U, MATCH(420, البيانات_الأساسية!$I:$I, 0), VALUE($C$5))), "")</f>
        <v>0</v>
      </c>
      <c r="G433" s="2">
        <f>IFERROR(ROUND(F433/60, 2), "")</f>
        <v>0</v>
      </c>
      <c r="H433" s="2">
        <f>IFERROR(ROUND(F433/E433, 2), "")</f>
        <v>0</v>
      </c>
      <c r="I433" s="2">
        <f>IFERROR(IF($C$5="الكل", INDEX(البيانات_الأساسية!G:G, MATCH(420, البيانات_الأساسية!$I:$I, 0)), $C$5), "")</f>
        <v>0</v>
      </c>
    </row>
    <row r="434" spans="2:9" s="4" customFormat="1" ht="20" customHeight="1">
      <c r="B434" s="2">
        <f>IF(C434="","", 421)</f>
        <v>0</v>
      </c>
      <c r="C434" s="2">
        <f>IFERROR(INDEX(البيانات_الأساسية!A:A, MATCH(421, البيانات_الأساسية!$I:$I, 0)), "")</f>
        <v>0</v>
      </c>
      <c r="D434" s="2">
        <f>IFERROR(INDEX(البيانات_الأساسية!B:B, MATCH(421, البيانات_الأساسية!$I:$I, 0)), "")</f>
        <v>0</v>
      </c>
      <c r="E434" s="2">
        <f>IFERROR(IF($C$5="الكل", INDEX(البيانات_الأساسية!D:D, MATCH(421, البيانات_الأساسية!$I:$I, 0)), INDEX(البيانات_الأساسية!$V:$AG, MATCH(421, البيانات_الأساسية!$I:$I, 0), VALUE($C$5))), "")</f>
        <v>0</v>
      </c>
      <c r="F434" s="2">
        <f>IFERROR(IF($C$5="الكل", INDEX(البيانات_الأساسية!C:C, MATCH(421, البيانات_الأساسية!$I:$I, 0)), INDEX(البيانات_الأساسية!$J:$U, MATCH(421, البيانات_الأساسية!$I:$I, 0), VALUE($C$5))), "")</f>
        <v>0</v>
      </c>
      <c r="G434" s="2">
        <f>IFERROR(ROUND(F434/60, 2), "")</f>
        <v>0</v>
      </c>
      <c r="H434" s="2">
        <f>IFERROR(ROUND(F434/E434, 2), "")</f>
        <v>0</v>
      </c>
      <c r="I434" s="2">
        <f>IFERROR(IF($C$5="الكل", INDEX(البيانات_الأساسية!G:G, MATCH(421, البيانات_الأساسية!$I:$I, 0)), $C$5), "")</f>
        <v>0</v>
      </c>
    </row>
    <row r="435" spans="2:9" s="4" customFormat="1" ht="20" customHeight="1">
      <c r="B435" s="2">
        <f>IF(C435="","", 422)</f>
        <v>0</v>
      </c>
      <c r="C435" s="2">
        <f>IFERROR(INDEX(البيانات_الأساسية!A:A, MATCH(422, البيانات_الأساسية!$I:$I, 0)), "")</f>
        <v>0</v>
      </c>
      <c r="D435" s="2">
        <f>IFERROR(INDEX(البيانات_الأساسية!B:B, MATCH(422, البيانات_الأساسية!$I:$I, 0)), "")</f>
        <v>0</v>
      </c>
      <c r="E435" s="2">
        <f>IFERROR(IF($C$5="الكل", INDEX(البيانات_الأساسية!D:D, MATCH(422, البيانات_الأساسية!$I:$I, 0)), INDEX(البيانات_الأساسية!$V:$AG, MATCH(422, البيانات_الأساسية!$I:$I, 0), VALUE($C$5))), "")</f>
        <v>0</v>
      </c>
      <c r="F435" s="2">
        <f>IFERROR(IF($C$5="الكل", INDEX(البيانات_الأساسية!C:C, MATCH(422, البيانات_الأساسية!$I:$I, 0)), INDEX(البيانات_الأساسية!$J:$U, MATCH(422, البيانات_الأساسية!$I:$I, 0), VALUE($C$5))), "")</f>
        <v>0</v>
      </c>
      <c r="G435" s="2">
        <f>IFERROR(ROUND(F435/60, 2), "")</f>
        <v>0</v>
      </c>
      <c r="H435" s="2">
        <f>IFERROR(ROUND(F435/E435, 2), "")</f>
        <v>0</v>
      </c>
      <c r="I435" s="2">
        <f>IFERROR(IF($C$5="الكل", INDEX(البيانات_الأساسية!G:G, MATCH(422, البيانات_الأساسية!$I:$I, 0)), $C$5), "")</f>
        <v>0</v>
      </c>
    </row>
    <row r="436" spans="2:9" s="4" customFormat="1" ht="20" customHeight="1">
      <c r="B436" s="2">
        <f>IF(C436="","", 423)</f>
        <v>0</v>
      </c>
      <c r="C436" s="2">
        <f>IFERROR(INDEX(البيانات_الأساسية!A:A, MATCH(423, البيانات_الأساسية!$I:$I, 0)), "")</f>
        <v>0</v>
      </c>
      <c r="D436" s="2">
        <f>IFERROR(INDEX(البيانات_الأساسية!B:B, MATCH(423, البيانات_الأساسية!$I:$I, 0)), "")</f>
        <v>0</v>
      </c>
      <c r="E436" s="2">
        <f>IFERROR(IF($C$5="الكل", INDEX(البيانات_الأساسية!D:D, MATCH(423, البيانات_الأساسية!$I:$I, 0)), INDEX(البيانات_الأساسية!$V:$AG, MATCH(423, البيانات_الأساسية!$I:$I, 0), VALUE($C$5))), "")</f>
        <v>0</v>
      </c>
      <c r="F436" s="2">
        <f>IFERROR(IF($C$5="الكل", INDEX(البيانات_الأساسية!C:C, MATCH(423, البيانات_الأساسية!$I:$I, 0)), INDEX(البيانات_الأساسية!$J:$U, MATCH(423, البيانات_الأساسية!$I:$I, 0), VALUE($C$5))), "")</f>
        <v>0</v>
      </c>
      <c r="G436" s="2">
        <f>IFERROR(ROUND(F436/60, 2), "")</f>
        <v>0</v>
      </c>
      <c r="H436" s="2">
        <f>IFERROR(ROUND(F436/E436, 2), "")</f>
        <v>0</v>
      </c>
      <c r="I436" s="2">
        <f>IFERROR(IF($C$5="الكل", INDEX(البيانات_الأساسية!G:G, MATCH(423, البيانات_الأساسية!$I:$I, 0)), $C$5), "")</f>
        <v>0</v>
      </c>
    </row>
    <row r="437" spans="2:9" s="4" customFormat="1" ht="20" customHeight="1">
      <c r="B437" s="2">
        <f>IF(C437="","", 424)</f>
        <v>0</v>
      </c>
      <c r="C437" s="2">
        <f>IFERROR(INDEX(البيانات_الأساسية!A:A, MATCH(424, البيانات_الأساسية!$I:$I, 0)), "")</f>
        <v>0</v>
      </c>
      <c r="D437" s="2">
        <f>IFERROR(INDEX(البيانات_الأساسية!B:B, MATCH(424, البيانات_الأساسية!$I:$I, 0)), "")</f>
        <v>0</v>
      </c>
      <c r="E437" s="2">
        <f>IFERROR(IF($C$5="الكل", INDEX(البيانات_الأساسية!D:D, MATCH(424, البيانات_الأساسية!$I:$I, 0)), INDEX(البيانات_الأساسية!$V:$AG, MATCH(424, البيانات_الأساسية!$I:$I, 0), VALUE($C$5))), "")</f>
        <v>0</v>
      </c>
      <c r="F437" s="2">
        <f>IFERROR(IF($C$5="الكل", INDEX(البيانات_الأساسية!C:C, MATCH(424, البيانات_الأساسية!$I:$I, 0)), INDEX(البيانات_الأساسية!$J:$U, MATCH(424, البيانات_الأساسية!$I:$I, 0), VALUE($C$5))), "")</f>
        <v>0</v>
      </c>
      <c r="G437" s="2">
        <f>IFERROR(ROUND(F437/60, 2), "")</f>
        <v>0</v>
      </c>
      <c r="H437" s="2">
        <f>IFERROR(ROUND(F437/E437, 2), "")</f>
        <v>0</v>
      </c>
      <c r="I437" s="2">
        <f>IFERROR(IF($C$5="الكل", INDEX(البيانات_الأساسية!G:G, MATCH(424, البيانات_الأساسية!$I:$I, 0)), $C$5), "")</f>
        <v>0</v>
      </c>
    </row>
    <row r="438" spans="2:9" s="4" customFormat="1" ht="20" customHeight="1">
      <c r="B438" s="2">
        <f>IF(C438="","", 425)</f>
        <v>0</v>
      </c>
      <c r="C438" s="2">
        <f>IFERROR(INDEX(البيانات_الأساسية!A:A, MATCH(425, البيانات_الأساسية!$I:$I, 0)), "")</f>
        <v>0</v>
      </c>
      <c r="D438" s="2">
        <f>IFERROR(INDEX(البيانات_الأساسية!B:B, MATCH(425, البيانات_الأساسية!$I:$I, 0)), "")</f>
        <v>0</v>
      </c>
      <c r="E438" s="2">
        <f>IFERROR(IF($C$5="الكل", INDEX(البيانات_الأساسية!D:D, MATCH(425, البيانات_الأساسية!$I:$I, 0)), INDEX(البيانات_الأساسية!$V:$AG, MATCH(425, البيانات_الأساسية!$I:$I, 0), VALUE($C$5))), "")</f>
        <v>0</v>
      </c>
      <c r="F438" s="2">
        <f>IFERROR(IF($C$5="الكل", INDEX(البيانات_الأساسية!C:C, MATCH(425, البيانات_الأساسية!$I:$I, 0)), INDEX(البيانات_الأساسية!$J:$U, MATCH(425, البيانات_الأساسية!$I:$I, 0), VALUE($C$5))), "")</f>
        <v>0</v>
      </c>
      <c r="G438" s="2">
        <f>IFERROR(ROUND(F438/60, 2), "")</f>
        <v>0</v>
      </c>
      <c r="H438" s="2">
        <f>IFERROR(ROUND(F438/E438, 2), "")</f>
        <v>0</v>
      </c>
      <c r="I438" s="2">
        <f>IFERROR(IF($C$5="الكل", INDEX(البيانات_الأساسية!G:G, MATCH(425, البيانات_الأساسية!$I:$I, 0)), $C$5), "")</f>
        <v>0</v>
      </c>
    </row>
    <row r="439" spans="2:9" s="4" customFormat="1" ht="20" customHeight="1">
      <c r="B439" s="2">
        <f>IF(C439="","", 426)</f>
        <v>0</v>
      </c>
      <c r="C439" s="2">
        <f>IFERROR(INDEX(البيانات_الأساسية!A:A, MATCH(426, البيانات_الأساسية!$I:$I, 0)), "")</f>
        <v>0</v>
      </c>
      <c r="D439" s="2">
        <f>IFERROR(INDEX(البيانات_الأساسية!B:B, MATCH(426, البيانات_الأساسية!$I:$I, 0)), "")</f>
        <v>0</v>
      </c>
      <c r="E439" s="2">
        <f>IFERROR(IF($C$5="الكل", INDEX(البيانات_الأساسية!D:D, MATCH(426, البيانات_الأساسية!$I:$I, 0)), INDEX(البيانات_الأساسية!$V:$AG, MATCH(426, البيانات_الأساسية!$I:$I, 0), VALUE($C$5))), "")</f>
        <v>0</v>
      </c>
      <c r="F439" s="2">
        <f>IFERROR(IF($C$5="الكل", INDEX(البيانات_الأساسية!C:C, MATCH(426, البيانات_الأساسية!$I:$I, 0)), INDEX(البيانات_الأساسية!$J:$U, MATCH(426, البيانات_الأساسية!$I:$I, 0), VALUE($C$5))), "")</f>
        <v>0</v>
      </c>
      <c r="G439" s="2">
        <f>IFERROR(ROUND(F439/60, 2), "")</f>
        <v>0</v>
      </c>
      <c r="H439" s="2">
        <f>IFERROR(ROUND(F439/E439, 2), "")</f>
        <v>0</v>
      </c>
      <c r="I439" s="2">
        <f>IFERROR(IF($C$5="الكل", INDEX(البيانات_الأساسية!G:G, MATCH(426, البيانات_الأساسية!$I:$I, 0)), $C$5), "")</f>
        <v>0</v>
      </c>
    </row>
    <row r="440" spans="2:9" s="4" customFormat="1" ht="20" customHeight="1">
      <c r="B440" s="2">
        <f>IF(C440="","", 427)</f>
        <v>0</v>
      </c>
      <c r="C440" s="2">
        <f>IFERROR(INDEX(البيانات_الأساسية!A:A, MATCH(427, البيانات_الأساسية!$I:$I, 0)), "")</f>
        <v>0</v>
      </c>
      <c r="D440" s="2">
        <f>IFERROR(INDEX(البيانات_الأساسية!B:B, MATCH(427, البيانات_الأساسية!$I:$I, 0)), "")</f>
        <v>0</v>
      </c>
      <c r="E440" s="2">
        <f>IFERROR(IF($C$5="الكل", INDEX(البيانات_الأساسية!D:D, MATCH(427, البيانات_الأساسية!$I:$I, 0)), INDEX(البيانات_الأساسية!$V:$AG, MATCH(427, البيانات_الأساسية!$I:$I, 0), VALUE($C$5))), "")</f>
        <v>0</v>
      </c>
      <c r="F440" s="2">
        <f>IFERROR(IF($C$5="الكل", INDEX(البيانات_الأساسية!C:C, MATCH(427, البيانات_الأساسية!$I:$I, 0)), INDEX(البيانات_الأساسية!$J:$U, MATCH(427, البيانات_الأساسية!$I:$I, 0), VALUE($C$5))), "")</f>
        <v>0</v>
      </c>
      <c r="G440" s="2">
        <f>IFERROR(ROUND(F440/60, 2), "")</f>
        <v>0</v>
      </c>
      <c r="H440" s="2">
        <f>IFERROR(ROUND(F440/E440, 2), "")</f>
        <v>0</v>
      </c>
      <c r="I440" s="2">
        <f>IFERROR(IF($C$5="الكل", INDEX(البيانات_الأساسية!G:G, MATCH(427, البيانات_الأساسية!$I:$I, 0)), $C$5), "")</f>
        <v>0</v>
      </c>
    </row>
    <row r="441" spans="2:9" s="4" customFormat="1" ht="20" customHeight="1">
      <c r="B441" s="2">
        <f>IF(C441="","", 428)</f>
        <v>0</v>
      </c>
      <c r="C441" s="2">
        <f>IFERROR(INDEX(البيانات_الأساسية!A:A, MATCH(428, البيانات_الأساسية!$I:$I, 0)), "")</f>
        <v>0</v>
      </c>
      <c r="D441" s="2">
        <f>IFERROR(INDEX(البيانات_الأساسية!B:B, MATCH(428, البيانات_الأساسية!$I:$I, 0)), "")</f>
        <v>0</v>
      </c>
      <c r="E441" s="2">
        <f>IFERROR(IF($C$5="الكل", INDEX(البيانات_الأساسية!D:D, MATCH(428, البيانات_الأساسية!$I:$I, 0)), INDEX(البيانات_الأساسية!$V:$AG, MATCH(428, البيانات_الأساسية!$I:$I, 0), VALUE($C$5))), "")</f>
        <v>0</v>
      </c>
      <c r="F441" s="2">
        <f>IFERROR(IF($C$5="الكل", INDEX(البيانات_الأساسية!C:C, MATCH(428, البيانات_الأساسية!$I:$I, 0)), INDEX(البيانات_الأساسية!$J:$U, MATCH(428, البيانات_الأساسية!$I:$I, 0), VALUE($C$5))), "")</f>
        <v>0</v>
      </c>
      <c r="G441" s="2">
        <f>IFERROR(ROUND(F441/60, 2), "")</f>
        <v>0</v>
      </c>
      <c r="H441" s="2">
        <f>IFERROR(ROUND(F441/E441, 2), "")</f>
        <v>0</v>
      </c>
      <c r="I441" s="2">
        <f>IFERROR(IF($C$5="الكل", INDEX(البيانات_الأساسية!G:G, MATCH(428, البيانات_الأساسية!$I:$I, 0)), $C$5), "")</f>
        <v>0</v>
      </c>
    </row>
    <row r="442" spans="2:9" s="4" customFormat="1" ht="20" customHeight="1">
      <c r="B442" s="2">
        <f>IF(C442="","", 429)</f>
        <v>0</v>
      </c>
      <c r="C442" s="2">
        <f>IFERROR(INDEX(البيانات_الأساسية!A:A, MATCH(429, البيانات_الأساسية!$I:$I, 0)), "")</f>
        <v>0</v>
      </c>
      <c r="D442" s="2">
        <f>IFERROR(INDEX(البيانات_الأساسية!B:B, MATCH(429, البيانات_الأساسية!$I:$I, 0)), "")</f>
        <v>0</v>
      </c>
      <c r="E442" s="2">
        <f>IFERROR(IF($C$5="الكل", INDEX(البيانات_الأساسية!D:D, MATCH(429, البيانات_الأساسية!$I:$I, 0)), INDEX(البيانات_الأساسية!$V:$AG, MATCH(429, البيانات_الأساسية!$I:$I, 0), VALUE($C$5))), "")</f>
        <v>0</v>
      </c>
      <c r="F442" s="2">
        <f>IFERROR(IF($C$5="الكل", INDEX(البيانات_الأساسية!C:C, MATCH(429, البيانات_الأساسية!$I:$I, 0)), INDEX(البيانات_الأساسية!$J:$U, MATCH(429, البيانات_الأساسية!$I:$I, 0), VALUE($C$5))), "")</f>
        <v>0</v>
      </c>
      <c r="G442" s="2">
        <f>IFERROR(ROUND(F442/60, 2), "")</f>
        <v>0</v>
      </c>
      <c r="H442" s="2">
        <f>IFERROR(ROUND(F442/E442, 2), "")</f>
        <v>0</v>
      </c>
      <c r="I442" s="2">
        <f>IFERROR(IF($C$5="الكل", INDEX(البيانات_الأساسية!G:G, MATCH(429, البيانات_الأساسية!$I:$I, 0)), $C$5), "")</f>
        <v>0</v>
      </c>
    </row>
    <row r="443" spans="2:9" s="4" customFormat="1" ht="20" customHeight="1">
      <c r="B443" s="2">
        <f>IF(C443="","", 430)</f>
        <v>0</v>
      </c>
      <c r="C443" s="2">
        <f>IFERROR(INDEX(البيانات_الأساسية!A:A, MATCH(430, البيانات_الأساسية!$I:$I, 0)), "")</f>
        <v>0</v>
      </c>
      <c r="D443" s="2">
        <f>IFERROR(INDEX(البيانات_الأساسية!B:B, MATCH(430, البيانات_الأساسية!$I:$I, 0)), "")</f>
        <v>0</v>
      </c>
      <c r="E443" s="2">
        <f>IFERROR(IF($C$5="الكل", INDEX(البيانات_الأساسية!D:D, MATCH(430, البيانات_الأساسية!$I:$I, 0)), INDEX(البيانات_الأساسية!$V:$AG, MATCH(430, البيانات_الأساسية!$I:$I, 0), VALUE($C$5))), "")</f>
        <v>0</v>
      </c>
      <c r="F443" s="2">
        <f>IFERROR(IF($C$5="الكل", INDEX(البيانات_الأساسية!C:C, MATCH(430, البيانات_الأساسية!$I:$I, 0)), INDEX(البيانات_الأساسية!$J:$U, MATCH(430, البيانات_الأساسية!$I:$I, 0), VALUE($C$5))), "")</f>
        <v>0</v>
      </c>
      <c r="G443" s="2">
        <f>IFERROR(ROUND(F443/60, 2), "")</f>
        <v>0</v>
      </c>
      <c r="H443" s="2">
        <f>IFERROR(ROUND(F443/E443, 2), "")</f>
        <v>0</v>
      </c>
      <c r="I443" s="2">
        <f>IFERROR(IF($C$5="الكل", INDEX(البيانات_الأساسية!G:G, MATCH(430, البيانات_الأساسية!$I:$I, 0)), $C$5), "")</f>
        <v>0</v>
      </c>
    </row>
    <row r="444" spans="2:9" s="4" customFormat="1" ht="20" customHeight="1">
      <c r="B444" s="2">
        <f>IF(C444="","", 431)</f>
        <v>0</v>
      </c>
      <c r="C444" s="2">
        <f>IFERROR(INDEX(البيانات_الأساسية!A:A, MATCH(431, البيانات_الأساسية!$I:$I, 0)), "")</f>
        <v>0</v>
      </c>
      <c r="D444" s="2">
        <f>IFERROR(INDEX(البيانات_الأساسية!B:B, MATCH(431, البيانات_الأساسية!$I:$I, 0)), "")</f>
        <v>0</v>
      </c>
      <c r="E444" s="2">
        <f>IFERROR(IF($C$5="الكل", INDEX(البيانات_الأساسية!D:D, MATCH(431, البيانات_الأساسية!$I:$I, 0)), INDEX(البيانات_الأساسية!$V:$AG, MATCH(431, البيانات_الأساسية!$I:$I, 0), VALUE($C$5))), "")</f>
        <v>0</v>
      </c>
      <c r="F444" s="2">
        <f>IFERROR(IF($C$5="الكل", INDEX(البيانات_الأساسية!C:C, MATCH(431, البيانات_الأساسية!$I:$I, 0)), INDEX(البيانات_الأساسية!$J:$U, MATCH(431, البيانات_الأساسية!$I:$I, 0), VALUE($C$5))), "")</f>
        <v>0</v>
      </c>
      <c r="G444" s="2">
        <f>IFERROR(ROUND(F444/60, 2), "")</f>
        <v>0</v>
      </c>
      <c r="H444" s="2">
        <f>IFERROR(ROUND(F444/E444, 2), "")</f>
        <v>0</v>
      </c>
      <c r="I444" s="2">
        <f>IFERROR(IF($C$5="الكل", INDEX(البيانات_الأساسية!G:G, MATCH(431, البيانات_الأساسية!$I:$I, 0)), $C$5), "")</f>
        <v>0</v>
      </c>
    </row>
    <row r="445" spans="2:9" s="4" customFormat="1" ht="20" customHeight="1">
      <c r="B445" s="2">
        <f>IF(C445="","", 432)</f>
        <v>0</v>
      </c>
      <c r="C445" s="2">
        <f>IFERROR(INDEX(البيانات_الأساسية!A:A, MATCH(432, البيانات_الأساسية!$I:$I, 0)), "")</f>
        <v>0</v>
      </c>
      <c r="D445" s="2">
        <f>IFERROR(INDEX(البيانات_الأساسية!B:B, MATCH(432, البيانات_الأساسية!$I:$I, 0)), "")</f>
        <v>0</v>
      </c>
      <c r="E445" s="2">
        <f>IFERROR(IF($C$5="الكل", INDEX(البيانات_الأساسية!D:D, MATCH(432, البيانات_الأساسية!$I:$I, 0)), INDEX(البيانات_الأساسية!$V:$AG, MATCH(432, البيانات_الأساسية!$I:$I, 0), VALUE($C$5))), "")</f>
        <v>0</v>
      </c>
      <c r="F445" s="2">
        <f>IFERROR(IF($C$5="الكل", INDEX(البيانات_الأساسية!C:C, MATCH(432, البيانات_الأساسية!$I:$I, 0)), INDEX(البيانات_الأساسية!$J:$U, MATCH(432, البيانات_الأساسية!$I:$I, 0), VALUE($C$5))), "")</f>
        <v>0</v>
      </c>
      <c r="G445" s="2">
        <f>IFERROR(ROUND(F445/60, 2), "")</f>
        <v>0</v>
      </c>
      <c r="H445" s="2">
        <f>IFERROR(ROUND(F445/E445, 2), "")</f>
        <v>0</v>
      </c>
      <c r="I445" s="2">
        <f>IFERROR(IF($C$5="الكل", INDEX(البيانات_الأساسية!G:G, MATCH(432, البيانات_الأساسية!$I:$I, 0)), $C$5), "")</f>
        <v>0</v>
      </c>
    </row>
    <row r="446" spans="2:9" s="4" customFormat="1" ht="20" customHeight="1">
      <c r="B446" s="2">
        <f>IF(C446="","", 433)</f>
        <v>0</v>
      </c>
      <c r="C446" s="2">
        <f>IFERROR(INDEX(البيانات_الأساسية!A:A, MATCH(433, البيانات_الأساسية!$I:$I, 0)), "")</f>
        <v>0</v>
      </c>
      <c r="D446" s="2">
        <f>IFERROR(INDEX(البيانات_الأساسية!B:B, MATCH(433, البيانات_الأساسية!$I:$I, 0)), "")</f>
        <v>0</v>
      </c>
      <c r="E446" s="2">
        <f>IFERROR(IF($C$5="الكل", INDEX(البيانات_الأساسية!D:D, MATCH(433, البيانات_الأساسية!$I:$I, 0)), INDEX(البيانات_الأساسية!$V:$AG, MATCH(433, البيانات_الأساسية!$I:$I, 0), VALUE($C$5))), "")</f>
        <v>0</v>
      </c>
      <c r="F446" s="2">
        <f>IFERROR(IF($C$5="الكل", INDEX(البيانات_الأساسية!C:C, MATCH(433, البيانات_الأساسية!$I:$I, 0)), INDEX(البيانات_الأساسية!$J:$U, MATCH(433, البيانات_الأساسية!$I:$I, 0), VALUE($C$5))), "")</f>
        <v>0</v>
      </c>
      <c r="G446" s="2">
        <f>IFERROR(ROUND(F446/60, 2), "")</f>
        <v>0</v>
      </c>
      <c r="H446" s="2">
        <f>IFERROR(ROUND(F446/E446, 2), "")</f>
        <v>0</v>
      </c>
      <c r="I446" s="2">
        <f>IFERROR(IF($C$5="الكل", INDEX(البيانات_الأساسية!G:G, MATCH(433, البيانات_الأساسية!$I:$I, 0)), $C$5), "")</f>
        <v>0</v>
      </c>
    </row>
    <row r="447" spans="2:9" s="4" customFormat="1" ht="20" customHeight="1">
      <c r="B447" s="2">
        <f>IF(C447="","", 434)</f>
        <v>0</v>
      </c>
      <c r="C447" s="2">
        <f>IFERROR(INDEX(البيانات_الأساسية!A:A, MATCH(434, البيانات_الأساسية!$I:$I, 0)), "")</f>
        <v>0</v>
      </c>
      <c r="D447" s="2">
        <f>IFERROR(INDEX(البيانات_الأساسية!B:B, MATCH(434, البيانات_الأساسية!$I:$I, 0)), "")</f>
        <v>0</v>
      </c>
      <c r="E447" s="2">
        <f>IFERROR(IF($C$5="الكل", INDEX(البيانات_الأساسية!D:D, MATCH(434, البيانات_الأساسية!$I:$I, 0)), INDEX(البيانات_الأساسية!$V:$AG, MATCH(434, البيانات_الأساسية!$I:$I, 0), VALUE($C$5))), "")</f>
        <v>0</v>
      </c>
      <c r="F447" s="2">
        <f>IFERROR(IF($C$5="الكل", INDEX(البيانات_الأساسية!C:C, MATCH(434, البيانات_الأساسية!$I:$I, 0)), INDEX(البيانات_الأساسية!$J:$U, MATCH(434, البيانات_الأساسية!$I:$I, 0), VALUE($C$5))), "")</f>
        <v>0</v>
      </c>
      <c r="G447" s="2">
        <f>IFERROR(ROUND(F447/60, 2), "")</f>
        <v>0</v>
      </c>
      <c r="H447" s="2">
        <f>IFERROR(ROUND(F447/E447, 2), "")</f>
        <v>0</v>
      </c>
      <c r="I447" s="2">
        <f>IFERROR(IF($C$5="الكل", INDEX(البيانات_الأساسية!G:G, MATCH(434, البيانات_الأساسية!$I:$I, 0)), $C$5), "")</f>
        <v>0</v>
      </c>
    </row>
    <row r="448" spans="2:9" s="4" customFormat="1" ht="20" customHeight="1">
      <c r="B448" s="2">
        <f>IF(C448="","", 435)</f>
        <v>0</v>
      </c>
      <c r="C448" s="2">
        <f>IFERROR(INDEX(البيانات_الأساسية!A:A, MATCH(435, البيانات_الأساسية!$I:$I, 0)), "")</f>
        <v>0</v>
      </c>
      <c r="D448" s="2">
        <f>IFERROR(INDEX(البيانات_الأساسية!B:B, MATCH(435, البيانات_الأساسية!$I:$I, 0)), "")</f>
        <v>0</v>
      </c>
      <c r="E448" s="2">
        <f>IFERROR(IF($C$5="الكل", INDEX(البيانات_الأساسية!D:D, MATCH(435, البيانات_الأساسية!$I:$I, 0)), INDEX(البيانات_الأساسية!$V:$AG, MATCH(435, البيانات_الأساسية!$I:$I, 0), VALUE($C$5))), "")</f>
        <v>0</v>
      </c>
      <c r="F448" s="2">
        <f>IFERROR(IF($C$5="الكل", INDEX(البيانات_الأساسية!C:C, MATCH(435, البيانات_الأساسية!$I:$I, 0)), INDEX(البيانات_الأساسية!$J:$U, MATCH(435, البيانات_الأساسية!$I:$I, 0), VALUE($C$5))), "")</f>
        <v>0</v>
      </c>
      <c r="G448" s="2">
        <f>IFERROR(ROUND(F448/60, 2), "")</f>
        <v>0</v>
      </c>
      <c r="H448" s="2">
        <f>IFERROR(ROUND(F448/E448, 2), "")</f>
        <v>0</v>
      </c>
      <c r="I448" s="2">
        <f>IFERROR(IF($C$5="الكل", INDEX(البيانات_الأساسية!G:G, MATCH(435, البيانات_الأساسية!$I:$I, 0)), $C$5), "")</f>
        <v>0</v>
      </c>
    </row>
    <row r="449" spans="2:9" s="4" customFormat="1" ht="20" customHeight="1">
      <c r="B449" s="2">
        <f>IF(C449="","", 436)</f>
        <v>0</v>
      </c>
      <c r="C449" s="2">
        <f>IFERROR(INDEX(البيانات_الأساسية!A:A, MATCH(436, البيانات_الأساسية!$I:$I, 0)), "")</f>
        <v>0</v>
      </c>
      <c r="D449" s="2">
        <f>IFERROR(INDEX(البيانات_الأساسية!B:B, MATCH(436, البيانات_الأساسية!$I:$I, 0)), "")</f>
        <v>0</v>
      </c>
      <c r="E449" s="2">
        <f>IFERROR(IF($C$5="الكل", INDEX(البيانات_الأساسية!D:D, MATCH(436, البيانات_الأساسية!$I:$I, 0)), INDEX(البيانات_الأساسية!$V:$AG, MATCH(436, البيانات_الأساسية!$I:$I, 0), VALUE($C$5))), "")</f>
        <v>0</v>
      </c>
      <c r="F449" s="2">
        <f>IFERROR(IF($C$5="الكل", INDEX(البيانات_الأساسية!C:C, MATCH(436, البيانات_الأساسية!$I:$I, 0)), INDEX(البيانات_الأساسية!$J:$U, MATCH(436, البيانات_الأساسية!$I:$I, 0), VALUE($C$5))), "")</f>
        <v>0</v>
      </c>
      <c r="G449" s="2">
        <f>IFERROR(ROUND(F449/60, 2), "")</f>
        <v>0</v>
      </c>
      <c r="H449" s="2">
        <f>IFERROR(ROUND(F449/E449, 2), "")</f>
        <v>0</v>
      </c>
      <c r="I449" s="2">
        <f>IFERROR(IF($C$5="الكل", INDEX(البيانات_الأساسية!G:G, MATCH(436, البيانات_الأساسية!$I:$I, 0)), $C$5), "")</f>
        <v>0</v>
      </c>
    </row>
    <row r="450" spans="2:9" s="4" customFormat="1" ht="20" customHeight="1">
      <c r="B450" s="2">
        <f>IF(C450="","", 437)</f>
        <v>0</v>
      </c>
      <c r="C450" s="2">
        <f>IFERROR(INDEX(البيانات_الأساسية!A:A, MATCH(437, البيانات_الأساسية!$I:$I, 0)), "")</f>
        <v>0</v>
      </c>
      <c r="D450" s="2">
        <f>IFERROR(INDEX(البيانات_الأساسية!B:B, MATCH(437, البيانات_الأساسية!$I:$I, 0)), "")</f>
        <v>0</v>
      </c>
      <c r="E450" s="2">
        <f>IFERROR(IF($C$5="الكل", INDEX(البيانات_الأساسية!D:D, MATCH(437, البيانات_الأساسية!$I:$I, 0)), INDEX(البيانات_الأساسية!$V:$AG, MATCH(437, البيانات_الأساسية!$I:$I, 0), VALUE($C$5))), "")</f>
        <v>0</v>
      </c>
      <c r="F450" s="2">
        <f>IFERROR(IF($C$5="الكل", INDEX(البيانات_الأساسية!C:C, MATCH(437, البيانات_الأساسية!$I:$I, 0)), INDEX(البيانات_الأساسية!$J:$U, MATCH(437, البيانات_الأساسية!$I:$I, 0), VALUE($C$5))), "")</f>
        <v>0</v>
      </c>
      <c r="G450" s="2">
        <f>IFERROR(ROUND(F450/60, 2), "")</f>
        <v>0</v>
      </c>
      <c r="H450" s="2">
        <f>IFERROR(ROUND(F450/E450, 2), "")</f>
        <v>0</v>
      </c>
      <c r="I450" s="2">
        <f>IFERROR(IF($C$5="الكل", INDEX(البيانات_الأساسية!G:G, MATCH(437, البيانات_الأساسية!$I:$I, 0)), $C$5), "")</f>
        <v>0</v>
      </c>
    </row>
    <row r="451" spans="2:9" s="4" customFormat="1" ht="20" customHeight="1">
      <c r="B451" s="2">
        <f>IF(C451="","", 438)</f>
        <v>0</v>
      </c>
      <c r="C451" s="2">
        <f>IFERROR(INDEX(البيانات_الأساسية!A:A, MATCH(438, البيانات_الأساسية!$I:$I, 0)), "")</f>
        <v>0</v>
      </c>
      <c r="D451" s="2">
        <f>IFERROR(INDEX(البيانات_الأساسية!B:B, MATCH(438, البيانات_الأساسية!$I:$I, 0)), "")</f>
        <v>0</v>
      </c>
      <c r="E451" s="2">
        <f>IFERROR(IF($C$5="الكل", INDEX(البيانات_الأساسية!D:D, MATCH(438, البيانات_الأساسية!$I:$I, 0)), INDEX(البيانات_الأساسية!$V:$AG, MATCH(438, البيانات_الأساسية!$I:$I, 0), VALUE($C$5))), "")</f>
        <v>0</v>
      </c>
      <c r="F451" s="2">
        <f>IFERROR(IF($C$5="الكل", INDEX(البيانات_الأساسية!C:C, MATCH(438, البيانات_الأساسية!$I:$I, 0)), INDEX(البيانات_الأساسية!$J:$U, MATCH(438, البيانات_الأساسية!$I:$I, 0), VALUE($C$5))), "")</f>
        <v>0</v>
      </c>
      <c r="G451" s="2">
        <f>IFERROR(ROUND(F451/60, 2), "")</f>
        <v>0</v>
      </c>
      <c r="H451" s="2">
        <f>IFERROR(ROUND(F451/E451, 2), "")</f>
        <v>0</v>
      </c>
      <c r="I451" s="2">
        <f>IFERROR(IF($C$5="الكل", INDEX(البيانات_الأساسية!G:G, MATCH(438, البيانات_الأساسية!$I:$I, 0)), $C$5), "")</f>
        <v>0</v>
      </c>
    </row>
    <row r="452" spans="2:9" s="4" customFormat="1" ht="20" customHeight="1">
      <c r="B452" s="2">
        <f>IF(C452="","", 439)</f>
        <v>0</v>
      </c>
      <c r="C452" s="2">
        <f>IFERROR(INDEX(البيانات_الأساسية!A:A, MATCH(439, البيانات_الأساسية!$I:$I, 0)), "")</f>
        <v>0</v>
      </c>
      <c r="D452" s="2">
        <f>IFERROR(INDEX(البيانات_الأساسية!B:B, MATCH(439, البيانات_الأساسية!$I:$I, 0)), "")</f>
        <v>0</v>
      </c>
      <c r="E452" s="2">
        <f>IFERROR(IF($C$5="الكل", INDEX(البيانات_الأساسية!D:D, MATCH(439, البيانات_الأساسية!$I:$I, 0)), INDEX(البيانات_الأساسية!$V:$AG, MATCH(439, البيانات_الأساسية!$I:$I, 0), VALUE($C$5))), "")</f>
        <v>0</v>
      </c>
      <c r="F452" s="2">
        <f>IFERROR(IF($C$5="الكل", INDEX(البيانات_الأساسية!C:C, MATCH(439, البيانات_الأساسية!$I:$I, 0)), INDEX(البيانات_الأساسية!$J:$U, MATCH(439, البيانات_الأساسية!$I:$I, 0), VALUE($C$5))), "")</f>
        <v>0</v>
      </c>
      <c r="G452" s="2">
        <f>IFERROR(ROUND(F452/60, 2), "")</f>
        <v>0</v>
      </c>
      <c r="H452" s="2">
        <f>IFERROR(ROUND(F452/E452, 2), "")</f>
        <v>0</v>
      </c>
      <c r="I452" s="2">
        <f>IFERROR(IF($C$5="الكل", INDEX(البيانات_الأساسية!G:G, MATCH(439, البيانات_الأساسية!$I:$I, 0)), $C$5), "")</f>
        <v>0</v>
      </c>
    </row>
    <row r="453" spans="2:9" s="4" customFormat="1" ht="20" customHeight="1">
      <c r="B453" s="2">
        <f>IF(C453="","", 440)</f>
        <v>0</v>
      </c>
      <c r="C453" s="2">
        <f>IFERROR(INDEX(البيانات_الأساسية!A:A, MATCH(440, البيانات_الأساسية!$I:$I, 0)), "")</f>
        <v>0</v>
      </c>
      <c r="D453" s="2">
        <f>IFERROR(INDEX(البيانات_الأساسية!B:B, MATCH(440, البيانات_الأساسية!$I:$I, 0)), "")</f>
        <v>0</v>
      </c>
      <c r="E453" s="2">
        <f>IFERROR(IF($C$5="الكل", INDEX(البيانات_الأساسية!D:D, MATCH(440, البيانات_الأساسية!$I:$I, 0)), INDEX(البيانات_الأساسية!$V:$AG, MATCH(440, البيانات_الأساسية!$I:$I, 0), VALUE($C$5))), "")</f>
        <v>0</v>
      </c>
      <c r="F453" s="2">
        <f>IFERROR(IF($C$5="الكل", INDEX(البيانات_الأساسية!C:C, MATCH(440, البيانات_الأساسية!$I:$I, 0)), INDEX(البيانات_الأساسية!$J:$U, MATCH(440, البيانات_الأساسية!$I:$I, 0), VALUE($C$5))), "")</f>
        <v>0</v>
      </c>
      <c r="G453" s="2">
        <f>IFERROR(ROUND(F453/60, 2), "")</f>
        <v>0</v>
      </c>
      <c r="H453" s="2">
        <f>IFERROR(ROUND(F453/E453, 2), "")</f>
        <v>0</v>
      </c>
      <c r="I453" s="2">
        <f>IFERROR(IF($C$5="الكل", INDEX(البيانات_الأساسية!G:G, MATCH(440, البيانات_الأساسية!$I:$I, 0)), $C$5), "")</f>
        <v>0</v>
      </c>
    </row>
    <row r="454" spans="2:9" s="4" customFormat="1" ht="20" customHeight="1">
      <c r="B454" s="2">
        <f>IF(C454="","", 441)</f>
        <v>0</v>
      </c>
      <c r="C454" s="2">
        <f>IFERROR(INDEX(البيانات_الأساسية!A:A, MATCH(441, البيانات_الأساسية!$I:$I, 0)), "")</f>
        <v>0</v>
      </c>
      <c r="D454" s="2">
        <f>IFERROR(INDEX(البيانات_الأساسية!B:B, MATCH(441, البيانات_الأساسية!$I:$I, 0)), "")</f>
        <v>0</v>
      </c>
      <c r="E454" s="2">
        <f>IFERROR(IF($C$5="الكل", INDEX(البيانات_الأساسية!D:D, MATCH(441, البيانات_الأساسية!$I:$I, 0)), INDEX(البيانات_الأساسية!$V:$AG, MATCH(441, البيانات_الأساسية!$I:$I, 0), VALUE($C$5))), "")</f>
        <v>0</v>
      </c>
      <c r="F454" s="2">
        <f>IFERROR(IF($C$5="الكل", INDEX(البيانات_الأساسية!C:C, MATCH(441, البيانات_الأساسية!$I:$I, 0)), INDEX(البيانات_الأساسية!$J:$U, MATCH(441, البيانات_الأساسية!$I:$I, 0), VALUE($C$5))), "")</f>
        <v>0</v>
      </c>
      <c r="G454" s="2">
        <f>IFERROR(ROUND(F454/60, 2), "")</f>
        <v>0</v>
      </c>
      <c r="H454" s="2">
        <f>IFERROR(ROUND(F454/E454, 2), "")</f>
        <v>0</v>
      </c>
      <c r="I454" s="2">
        <f>IFERROR(IF($C$5="الكل", INDEX(البيانات_الأساسية!G:G, MATCH(441, البيانات_الأساسية!$I:$I, 0)), $C$5), "")</f>
        <v>0</v>
      </c>
    </row>
    <row r="455" spans="2:9" s="4" customFormat="1" ht="20" customHeight="1">
      <c r="B455" s="2">
        <f>IF(C455="","", 442)</f>
        <v>0</v>
      </c>
      <c r="C455" s="2">
        <f>IFERROR(INDEX(البيانات_الأساسية!A:A, MATCH(442, البيانات_الأساسية!$I:$I, 0)), "")</f>
        <v>0</v>
      </c>
      <c r="D455" s="2">
        <f>IFERROR(INDEX(البيانات_الأساسية!B:B, MATCH(442, البيانات_الأساسية!$I:$I, 0)), "")</f>
        <v>0</v>
      </c>
      <c r="E455" s="2">
        <f>IFERROR(IF($C$5="الكل", INDEX(البيانات_الأساسية!D:D, MATCH(442, البيانات_الأساسية!$I:$I, 0)), INDEX(البيانات_الأساسية!$V:$AG, MATCH(442, البيانات_الأساسية!$I:$I, 0), VALUE($C$5))), "")</f>
        <v>0</v>
      </c>
      <c r="F455" s="2">
        <f>IFERROR(IF($C$5="الكل", INDEX(البيانات_الأساسية!C:C, MATCH(442, البيانات_الأساسية!$I:$I, 0)), INDEX(البيانات_الأساسية!$J:$U, MATCH(442, البيانات_الأساسية!$I:$I, 0), VALUE($C$5))), "")</f>
        <v>0</v>
      </c>
      <c r="G455" s="2">
        <f>IFERROR(ROUND(F455/60, 2), "")</f>
        <v>0</v>
      </c>
      <c r="H455" s="2">
        <f>IFERROR(ROUND(F455/E455, 2), "")</f>
        <v>0</v>
      </c>
      <c r="I455" s="2">
        <f>IFERROR(IF($C$5="الكل", INDEX(البيانات_الأساسية!G:G, MATCH(442, البيانات_الأساسية!$I:$I, 0)), $C$5), "")</f>
        <v>0</v>
      </c>
    </row>
    <row r="456" spans="2:9" s="4" customFormat="1" ht="20" customHeight="1">
      <c r="B456" s="2">
        <f>IF(C456="","", 443)</f>
        <v>0</v>
      </c>
      <c r="C456" s="2">
        <f>IFERROR(INDEX(البيانات_الأساسية!A:A, MATCH(443, البيانات_الأساسية!$I:$I, 0)), "")</f>
        <v>0</v>
      </c>
      <c r="D456" s="2">
        <f>IFERROR(INDEX(البيانات_الأساسية!B:B, MATCH(443, البيانات_الأساسية!$I:$I, 0)), "")</f>
        <v>0</v>
      </c>
      <c r="E456" s="2">
        <f>IFERROR(IF($C$5="الكل", INDEX(البيانات_الأساسية!D:D, MATCH(443, البيانات_الأساسية!$I:$I, 0)), INDEX(البيانات_الأساسية!$V:$AG, MATCH(443, البيانات_الأساسية!$I:$I, 0), VALUE($C$5))), "")</f>
        <v>0</v>
      </c>
      <c r="F456" s="2">
        <f>IFERROR(IF($C$5="الكل", INDEX(البيانات_الأساسية!C:C, MATCH(443, البيانات_الأساسية!$I:$I, 0)), INDEX(البيانات_الأساسية!$J:$U, MATCH(443, البيانات_الأساسية!$I:$I, 0), VALUE($C$5))), "")</f>
        <v>0</v>
      </c>
      <c r="G456" s="2">
        <f>IFERROR(ROUND(F456/60, 2), "")</f>
        <v>0</v>
      </c>
      <c r="H456" s="2">
        <f>IFERROR(ROUND(F456/E456, 2), "")</f>
        <v>0</v>
      </c>
      <c r="I456" s="2">
        <f>IFERROR(IF($C$5="الكل", INDEX(البيانات_الأساسية!G:G, MATCH(443, البيانات_الأساسية!$I:$I, 0)), $C$5), "")</f>
        <v>0</v>
      </c>
    </row>
    <row r="457" spans="2:9" s="4" customFormat="1" ht="20" customHeight="1">
      <c r="B457" s="2">
        <f>IF(C457="","", 444)</f>
        <v>0</v>
      </c>
      <c r="C457" s="2">
        <f>IFERROR(INDEX(البيانات_الأساسية!A:A, MATCH(444, البيانات_الأساسية!$I:$I, 0)), "")</f>
        <v>0</v>
      </c>
      <c r="D457" s="2">
        <f>IFERROR(INDEX(البيانات_الأساسية!B:B, MATCH(444, البيانات_الأساسية!$I:$I, 0)), "")</f>
        <v>0</v>
      </c>
      <c r="E457" s="2">
        <f>IFERROR(IF($C$5="الكل", INDEX(البيانات_الأساسية!D:D, MATCH(444, البيانات_الأساسية!$I:$I, 0)), INDEX(البيانات_الأساسية!$V:$AG, MATCH(444, البيانات_الأساسية!$I:$I, 0), VALUE($C$5))), "")</f>
        <v>0</v>
      </c>
      <c r="F457" s="2">
        <f>IFERROR(IF($C$5="الكل", INDEX(البيانات_الأساسية!C:C, MATCH(444, البيانات_الأساسية!$I:$I, 0)), INDEX(البيانات_الأساسية!$J:$U, MATCH(444, البيانات_الأساسية!$I:$I, 0), VALUE($C$5))), "")</f>
        <v>0</v>
      </c>
      <c r="G457" s="2">
        <f>IFERROR(ROUND(F457/60, 2), "")</f>
        <v>0</v>
      </c>
      <c r="H457" s="2">
        <f>IFERROR(ROUND(F457/E457, 2), "")</f>
        <v>0</v>
      </c>
      <c r="I457" s="2">
        <f>IFERROR(IF($C$5="الكل", INDEX(البيانات_الأساسية!G:G, MATCH(444, البيانات_الأساسية!$I:$I, 0)), $C$5), "")</f>
        <v>0</v>
      </c>
    </row>
    <row r="458" spans="2:9" s="4" customFormat="1" ht="20" customHeight="1">
      <c r="B458" s="2">
        <f>IF(C458="","", 445)</f>
        <v>0</v>
      </c>
      <c r="C458" s="2">
        <f>IFERROR(INDEX(البيانات_الأساسية!A:A, MATCH(445, البيانات_الأساسية!$I:$I, 0)), "")</f>
        <v>0</v>
      </c>
      <c r="D458" s="2">
        <f>IFERROR(INDEX(البيانات_الأساسية!B:B, MATCH(445, البيانات_الأساسية!$I:$I, 0)), "")</f>
        <v>0</v>
      </c>
      <c r="E458" s="2">
        <f>IFERROR(IF($C$5="الكل", INDEX(البيانات_الأساسية!D:D, MATCH(445, البيانات_الأساسية!$I:$I, 0)), INDEX(البيانات_الأساسية!$V:$AG, MATCH(445, البيانات_الأساسية!$I:$I, 0), VALUE($C$5))), "")</f>
        <v>0</v>
      </c>
      <c r="F458" s="2">
        <f>IFERROR(IF($C$5="الكل", INDEX(البيانات_الأساسية!C:C, MATCH(445, البيانات_الأساسية!$I:$I, 0)), INDEX(البيانات_الأساسية!$J:$U, MATCH(445, البيانات_الأساسية!$I:$I, 0), VALUE($C$5))), "")</f>
        <v>0</v>
      </c>
      <c r="G458" s="2">
        <f>IFERROR(ROUND(F458/60, 2), "")</f>
        <v>0</v>
      </c>
      <c r="H458" s="2">
        <f>IFERROR(ROUND(F458/E458, 2), "")</f>
        <v>0</v>
      </c>
      <c r="I458" s="2">
        <f>IFERROR(IF($C$5="الكل", INDEX(البيانات_الأساسية!G:G, MATCH(445, البيانات_الأساسية!$I:$I, 0)), $C$5), "")</f>
        <v>0</v>
      </c>
    </row>
    <row r="459" spans="2:9" s="4" customFormat="1" ht="20" customHeight="1">
      <c r="B459" s="2">
        <f>IF(C459="","", 446)</f>
        <v>0</v>
      </c>
      <c r="C459" s="2">
        <f>IFERROR(INDEX(البيانات_الأساسية!A:A, MATCH(446, البيانات_الأساسية!$I:$I, 0)), "")</f>
        <v>0</v>
      </c>
      <c r="D459" s="2">
        <f>IFERROR(INDEX(البيانات_الأساسية!B:B, MATCH(446, البيانات_الأساسية!$I:$I, 0)), "")</f>
        <v>0</v>
      </c>
      <c r="E459" s="2">
        <f>IFERROR(IF($C$5="الكل", INDEX(البيانات_الأساسية!D:D, MATCH(446, البيانات_الأساسية!$I:$I, 0)), INDEX(البيانات_الأساسية!$V:$AG, MATCH(446, البيانات_الأساسية!$I:$I, 0), VALUE($C$5))), "")</f>
        <v>0</v>
      </c>
      <c r="F459" s="2">
        <f>IFERROR(IF($C$5="الكل", INDEX(البيانات_الأساسية!C:C, MATCH(446, البيانات_الأساسية!$I:$I, 0)), INDEX(البيانات_الأساسية!$J:$U, MATCH(446, البيانات_الأساسية!$I:$I, 0), VALUE($C$5))), "")</f>
        <v>0</v>
      </c>
      <c r="G459" s="2">
        <f>IFERROR(ROUND(F459/60, 2), "")</f>
        <v>0</v>
      </c>
      <c r="H459" s="2">
        <f>IFERROR(ROUND(F459/E459, 2), "")</f>
        <v>0</v>
      </c>
      <c r="I459" s="2">
        <f>IFERROR(IF($C$5="الكل", INDEX(البيانات_الأساسية!G:G, MATCH(446, البيانات_الأساسية!$I:$I, 0)), $C$5), "")</f>
        <v>0</v>
      </c>
    </row>
    <row r="460" spans="2:9" s="4" customFormat="1" ht="20" customHeight="1">
      <c r="B460" s="2">
        <f>IF(C460="","", 447)</f>
        <v>0</v>
      </c>
      <c r="C460" s="2">
        <f>IFERROR(INDEX(البيانات_الأساسية!A:A, MATCH(447, البيانات_الأساسية!$I:$I, 0)), "")</f>
        <v>0</v>
      </c>
      <c r="D460" s="2">
        <f>IFERROR(INDEX(البيانات_الأساسية!B:B, MATCH(447, البيانات_الأساسية!$I:$I, 0)), "")</f>
        <v>0</v>
      </c>
      <c r="E460" s="2">
        <f>IFERROR(IF($C$5="الكل", INDEX(البيانات_الأساسية!D:D, MATCH(447, البيانات_الأساسية!$I:$I, 0)), INDEX(البيانات_الأساسية!$V:$AG, MATCH(447, البيانات_الأساسية!$I:$I, 0), VALUE($C$5))), "")</f>
        <v>0</v>
      </c>
      <c r="F460" s="2">
        <f>IFERROR(IF($C$5="الكل", INDEX(البيانات_الأساسية!C:C, MATCH(447, البيانات_الأساسية!$I:$I, 0)), INDEX(البيانات_الأساسية!$J:$U, MATCH(447, البيانات_الأساسية!$I:$I, 0), VALUE($C$5))), "")</f>
        <v>0</v>
      </c>
      <c r="G460" s="2">
        <f>IFERROR(ROUND(F460/60, 2), "")</f>
        <v>0</v>
      </c>
      <c r="H460" s="2">
        <f>IFERROR(ROUND(F460/E460, 2), "")</f>
        <v>0</v>
      </c>
      <c r="I460" s="2">
        <f>IFERROR(IF($C$5="الكل", INDEX(البيانات_الأساسية!G:G, MATCH(447, البيانات_الأساسية!$I:$I, 0)), $C$5), "")</f>
        <v>0</v>
      </c>
    </row>
    <row r="461" spans="2:9" s="4" customFormat="1" ht="20" customHeight="1">
      <c r="B461" s="2">
        <f>IF(C461="","", 448)</f>
        <v>0</v>
      </c>
      <c r="C461" s="2">
        <f>IFERROR(INDEX(البيانات_الأساسية!A:A, MATCH(448, البيانات_الأساسية!$I:$I, 0)), "")</f>
        <v>0</v>
      </c>
      <c r="D461" s="2">
        <f>IFERROR(INDEX(البيانات_الأساسية!B:B, MATCH(448, البيانات_الأساسية!$I:$I, 0)), "")</f>
        <v>0</v>
      </c>
      <c r="E461" s="2">
        <f>IFERROR(IF($C$5="الكل", INDEX(البيانات_الأساسية!D:D, MATCH(448, البيانات_الأساسية!$I:$I, 0)), INDEX(البيانات_الأساسية!$V:$AG, MATCH(448, البيانات_الأساسية!$I:$I, 0), VALUE($C$5))), "")</f>
        <v>0</v>
      </c>
      <c r="F461" s="2">
        <f>IFERROR(IF($C$5="الكل", INDEX(البيانات_الأساسية!C:C, MATCH(448, البيانات_الأساسية!$I:$I, 0)), INDEX(البيانات_الأساسية!$J:$U, MATCH(448, البيانات_الأساسية!$I:$I, 0), VALUE($C$5))), "")</f>
        <v>0</v>
      </c>
      <c r="G461" s="2">
        <f>IFERROR(ROUND(F461/60, 2), "")</f>
        <v>0</v>
      </c>
      <c r="H461" s="2">
        <f>IFERROR(ROUND(F461/E461, 2), "")</f>
        <v>0</v>
      </c>
      <c r="I461" s="2">
        <f>IFERROR(IF($C$5="الكل", INDEX(البيانات_الأساسية!G:G, MATCH(448, البيانات_الأساسية!$I:$I, 0)), $C$5), "")</f>
        <v>0</v>
      </c>
    </row>
    <row r="462" spans="2:9" s="4" customFormat="1" ht="20" customHeight="1">
      <c r="B462" s="2">
        <f>IF(C462="","", 449)</f>
        <v>0</v>
      </c>
      <c r="C462" s="2">
        <f>IFERROR(INDEX(البيانات_الأساسية!A:A, MATCH(449, البيانات_الأساسية!$I:$I, 0)), "")</f>
        <v>0</v>
      </c>
      <c r="D462" s="2">
        <f>IFERROR(INDEX(البيانات_الأساسية!B:B, MATCH(449, البيانات_الأساسية!$I:$I, 0)), "")</f>
        <v>0</v>
      </c>
      <c r="E462" s="2">
        <f>IFERROR(IF($C$5="الكل", INDEX(البيانات_الأساسية!D:D, MATCH(449, البيانات_الأساسية!$I:$I, 0)), INDEX(البيانات_الأساسية!$V:$AG, MATCH(449, البيانات_الأساسية!$I:$I, 0), VALUE($C$5))), "")</f>
        <v>0</v>
      </c>
      <c r="F462" s="2">
        <f>IFERROR(IF($C$5="الكل", INDEX(البيانات_الأساسية!C:C, MATCH(449, البيانات_الأساسية!$I:$I, 0)), INDEX(البيانات_الأساسية!$J:$U, MATCH(449, البيانات_الأساسية!$I:$I, 0), VALUE($C$5))), "")</f>
        <v>0</v>
      </c>
      <c r="G462" s="2">
        <f>IFERROR(ROUND(F462/60, 2), "")</f>
        <v>0</v>
      </c>
      <c r="H462" s="2">
        <f>IFERROR(ROUND(F462/E462, 2), "")</f>
        <v>0</v>
      </c>
      <c r="I462" s="2">
        <f>IFERROR(IF($C$5="الكل", INDEX(البيانات_الأساسية!G:G, MATCH(449, البيانات_الأساسية!$I:$I, 0)), $C$5), "")</f>
        <v>0</v>
      </c>
    </row>
    <row r="463" spans="2:9" s="4" customFormat="1" ht="20" customHeight="1">
      <c r="B463" s="2">
        <f>IF(C463="","", 450)</f>
        <v>0</v>
      </c>
      <c r="C463" s="2">
        <f>IFERROR(INDEX(البيانات_الأساسية!A:A, MATCH(450, البيانات_الأساسية!$I:$I, 0)), "")</f>
        <v>0</v>
      </c>
      <c r="D463" s="2">
        <f>IFERROR(INDEX(البيانات_الأساسية!B:B, MATCH(450, البيانات_الأساسية!$I:$I, 0)), "")</f>
        <v>0</v>
      </c>
      <c r="E463" s="2">
        <f>IFERROR(IF($C$5="الكل", INDEX(البيانات_الأساسية!D:D, MATCH(450, البيانات_الأساسية!$I:$I, 0)), INDEX(البيانات_الأساسية!$V:$AG, MATCH(450, البيانات_الأساسية!$I:$I, 0), VALUE($C$5))), "")</f>
        <v>0</v>
      </c>
      <c r="F463" s="2">
        <f>IFERROR(IF($C$5="الكل", INDEX(البيانات_الأساسية!C:C, MATCH(450, البيانات_الأساسية!$I:$I, 0)), INDEX(البيانات_الأساسية!$J:$U, MATCH(450, البيانات_الأساسية!$I:$I, 0), VALUE($C$5))), "")</f>
        <v>0</v>
      </c>
      <c r="G463" s="2">
        <f>IFERROR(ROUND(F463/60, 2), "")</f>
        <v>0</v>
      </c>
      <c r="H463" s="2">
        <f>IFERROR(ROUND(F463/E463, 2), "")</f>
        <v>0</v>
      </c>
      <c r="I463" s="2">
        <f>IFERROR(IF($C$5="الكل", INDEX(البيانات_الأساسية!G:G, MATCH(450, البيانات_الأساسية!$I:$I, 0)), $C$5), "")</f>
        <v>0</v>
      </c>
    </row>
    <row r="464" spans="2:9" s="4" customFormat="1" ht="20" customHeight="1"/>
    <row r="465" s="4" customFormat="1" ht="20" customHeight="1"/>
    <row r="466" s="4" customFormat="1" ht="20" customHeight="1"/>
    <row r="467" s="4" customFormat="1" ht="20" customHeight="1"/>
    <row r="468" s="4" customFormat="1" ht="20" customHeight="1"/>
    <row r="469" s="4" customFormat="1" ht="20" customHeight="1"/>
    <row r="470" s="4" customFormat="1" ht="20" customHeight="1"/>
    <row r="471" s="4" customFormat="1" ht="20" customHeight="1"/>
    <row r="472" s="4" customFormat="1" ht="20" customHeight="1"/>
    <row r="473" s="4" customFormat="1" ht="20" customHeight="1"/>
    <row r="474" s="4" customFormat="1" ht="20" customHeight="1"/>
    <row r="475" s="4" customFormat="1" ht="20" customHeight="1"/>
    <row r="476" s="4" customFormat="1" ht="20" customHeight="1"/>
    <row r="477" s="4" customFormat="1" ht="20" customHeight="1"/>
    <row r="478" s="4" customFormat="1" ht="20" customHeight="1"/>
    <row r="479" s="4" customFormat="1" ht="20" customHeight="1"/>
    <row r="480" s="4" customFormat="1" ht="20" customHeight="1"/>
    <row r="481" s="4" customFormat="1" ht="20" customHeight="1"/>
    <row r="482" s="4" customFormat="1" ht="20" customHeight="1"/>
    <row r="483" s="4" customFormat="1" ht="20" customHeight="1"/>
    <row r="484" s="4" customFormat="1" ht="20" customHeight="1"/>
    <row r="485" s="4" customFormat="1" ht="20" customHeight="1"/>
    <row r="486" s="4" customFormat="1" ht="20" customHeight="1"/>
    <row r="487" s="4" customFormat="1" ht="20" customHeight="1"/>
    <row r="488" s="4" customFormat="1" ht="20" customHeight="1"/>
    <row r="489" s="4" customFormat="1" ht="20" customHeight="1"/>
    <row r="490" s="4" customFormat="1" ht="20" customHeight="1"/>
    <row r="491" s="4" customFormat="1" ht="20" customHeight="1"/>
    <row r="492" s="4" customFormat="1" ht="20" customHeight="1"/>
    <row r="493" s="4" customFormat="1" ht="20" customHeight="1"/>
    <row r="494" s="4" customFormat="1" ht="20" customHeight="1"/>
    <row r="495" s="4" customFormat="1" ht="20" customHeight="1"/>
    <row r="496" s="4" customFormat="1" ht="20" customHeight="1"/>
    <row r="497" s="4" customFormat="1" ht="20" customHeight="1"/>
    <row r="498" s="4" customFormat="1" ht="20" customHeight="1"/>
    <row r="499" s="4" customFormat="1" ht="20" customHeight="1"/>
    <row r="500" s="4" customFormat="1" ht="20" customHeight="1"/>
  </sheetData>
  <mergeCells count="2">
    <mergeCell ref="B2:J3"/>
    <mergeCell ref="B11:J11"/>
  </mergeCells>
  <dataValidations count="2">
    <dataValidation type="list" allowBlank="1" showInputMessage="1" showErrorMessage="1" sqref="C4">
      <formula1>قوائم_النطاقات!$A$1:$A$23</formula1>
    </dataValidation>
    <dataValidation type="list" allowBlank="1" showInputMessage="1" showErrorMessage="1" sqref="C5">
      <formula1>قوائم_النطاقات!$B$1:$B$13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قوائم_النطاقات</vt:lpstr>
      <vt:lpstr>البيانات_الأساسية</vt:lpstr>
      <vt:lpstr>ملخص_الفروع</vt:lpstr>
      <vt:lpstr>لوحة_القيادة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2026-07-13T22:16:50Z</dcterms:created>
  <dcterms:modified xsi:type="dcterms:W3CDTF">2026-07-13T22:16:50Z</dcterms:modified>
</cp:coreProperties>
</file>