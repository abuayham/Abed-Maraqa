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قوائم_النظام" sheetId="1" r:id="rId1"/>
    <sheet name="البيانات_الأساسية" sheetId="2" state="hidden" r:id="rId2"/>
    <sheet name="لوحة_القيادة" sheetId="3" r:id="rId3"/>
  </sheets>
  <calcPr calcId="124519" fullCalcOnLoad="1"/>
</workbook>
</file>

<file path=xl/sharedStrings.xml><?xml version="1.0" encoding="utf-8"?>
<sst xmlns="http://schemas.openxmlformats.org/spreadsheetml/2006/main" count="1409" uniqueCount="572">
  <si>
    <t>الكل</t>
  </si>
  <si>
    <t>الإدارة العامة - القدس</t>
  </si>
  <si>
    <t>البرنامج الدولي</t>
  </si>
  <si>
    <t>العلاقات العامة</t>
  </si>
  <si>
    <t>دائرة التخطيط والجودة</t>
  </si>
  <si>
    <t>شؤون الطلبة</t>
  </si>
  <si>
    <t>عمادة الدراسات العليا والبحث العلمي_compressed (1)</t>
  </si>
  <si>
    <t>عمادة القبول والتسجيل والامتحانات_compressed (1)</t>
  </si>
  <si>
    <t>فرع الخليل</t>
  </si>
  <si>
    <t>فرع القدس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</si>
  <si>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</si>
  <si>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</si>
  <si>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</si>
  <si>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</si>
  <si>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</si>
  <si>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</si>
  <si>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</si>
  <si>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</si>
  <si>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</si>
  <si>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</si>
  <si>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مركز التعليم الرقمي</t>
  </si>
  <si>
    <t>مركز التعليم المستمر وخدمة المجتمع</t>
  </si>
  <si>
    <t xml:space="preserve">مركز تكنولوجيا المعلومات </t>
  </si>
  <si>
    <t>الفرع</t>
  </si>
  <si>
    <t>اسم الموظف</t>
  </si>
  <si>
    <t>إجمالي الدقائق</t>
  </si>
  <si>
    <t>إجمالي الساعات</t>
  </si>
  <si>
    <t>عدد التأخيرات</t>
  </si>
  <si>
    <t>متوسط التأخير</t>
  </si>
  <si>
    <t>الأشهر المسجلة</t>
  </si>
  <si>
    <t>Match_Flag</t>
  </si>
  <si>
    <t>Running_Count</t>
  </si>
  <si>
    <t>عز الدين محمد مصطفى أبو نزهة</t>
  </si>
  <si>
    <t>01، 02، 03، 04، 05، 06، 07</t>
  </si>
  <si>
    <t>محمد رزق رشيد دارأحمد</t>
  </si>
  <si>
    <t>رامي نجيب محمود خليل</t>
  </si>
  <si>
    <t>ابراهيم محمد ابراهيم ابو تركي</t>
  </si>
  <si>
    <t>احمد ابراهيم محمد دلال</t>
  </si>
  <si>
    <t>فؤاد محمد مصطفى صالح</t>
  </si>
  <si>
    <t>باسمة احمد محمد ابوعواد</t>
  </si>
  <si>
    <t>حسن فايز حسن قصراوي</t>
  </si>
  <si>
    <t>احمد حسني حسن سلمان</t>
  </si>
  <si>
    <t>ميسون محمد موسى حموده</t>
  </si>
  <si>
    <t>جهاد تحسين أحمد طقاطقة</t>
  </si>
  <si>
    <t>كميل غالب محمد زيد</t>
  </si>
  <si>
    <t>يوسف ابراهيم يوسف الرفاعي</t>
  </si>
  <si>
    <t>محمد سليمان ابراهيم الخليل</t>
  </si>
  <si>
    <t>عبد العزيز عصام عبد العزيز خليل</t>
  </si>
  <si>
    <t>01، 02، 04، 05، 06، 07</t>
  </si>
  <si>
    <t>ثائر عيسى محمد وشاحي</t>
  </si>
  <si>
    <t>سنية جهاد علي صادق</t>
  </si>
  <si>
    <t>نبيل عاطف خليل أبو حمدان</t>
  </si>
  <si>
    <t>امجد عبد الله يونس شومان</t>
  </si>
  <si>
    <t>خليل زيدان خليل ترجمان</t>
  </si>
  <si>
    <t>عبيدة اسعد عثمان اسعد</t>
  </si>
  <si>
    <t>01، 05، 06، 07</t>
  </si>
  <si>
    <t>محمد بكر سعد الدين كالوتي</t>
  </si>
  <si>
    <t>اماني جمعة عبد الخالق عبد الهادي</t>
  </si>
  <si>
    <t>صبا زهير حسن فرحانه</t>
  </si>
  <si>
    <t>سمير سامي فتحي عسراوي</t>
  </si>
  <si>
    <t>01، 02، 03، 04، 06، 07</t>
  </si>
  <si>
    <t>فادي فكري حسني قرط</t>
  </si>
  <si>
    <t>نادر سليمان عوض أبو حسين</t>
  </si>
  <si>
    <t>07</t>
  </si>
  <si>
    <t>رواء نظمي عبد الرحمن حمدالله</t>
  </si>
  <si>
    <t>عمر حافظ محمد عبد الجليل</t>
  </si>
  <si>
    <t>مجاهد مشهور خليل خزيميه</t>
  </si>
  <si>
    <t>محمد سالم عبد المجيد عجارمة</t>
  </si>
  <si>
    <t>سمير محمود أسعد أبو علي</t>
  </si>
  <si>
    <t>يوسف خيري ابراهيم عسكر</t>
  </si>
  <si>
    <t>بهاء احمد عبد الرحيم الخطيب</t>
  </si>
  <si>
    <t>ياسر عبد الباقي عبد الحميد مرار</t>
  </si>
  <si>
    <t>وسيم فرحان نايف يوسف</t>
  </si>
  <si>
    <t>01، 03، 05، 06، 07</t>
  </si>
  <si>
    <t>محمد ثمين محمد جرار</t>
  </si>
  <si>
    <t>هديل خالد شفيق بدران</t>
  </si>
  <si>
    <t>عبدالرحمن خليل لطفي دارالشيخ</t>
  </si>
  <si>
    <t>محمد عبداللطيف فريد ابوسفاقة</t>
  </si>
  <si>
    <t>علي رفيق إبراهيم السمان</t>
  </si>
  <si>
    <t>رنا انطون حنا مصلح</t>
  </si>
  <si>
    <t>01، 02، 04، 05، 07</t>
  </si>
  <si>
    <t>عصام احمد قاسم ابو فرحة</t>
  </si>
  <si>
    <t>01، 02، 03، 04، 05، 07</t>
  </si>
  <si>
    <t>نسرين عزمي علي القاضي</t>
  </si>
  <si>
    <t>محمد سعدي عبد الرحمن ابو ساكور</t>
  </si>
  <si>
    <t>نضال أنور محمد عليان</t>
  </si>
  <si>
    <t>نرمين ميلاد منصور عواد</t>
  </si>
  <si>
    <t>أحمد حامد شاكر خواجة</t>
  </si>
  <si>
    <t>عائدة خميس جميل عيسى</t>
  </si>
  <si>
    <t>يامن عمر محمد عساف</t>
  </si>
  <si>
    <t>بلال محمد حسين مشارقة</t>
  </si>
  <si>
    <t>02، 03، 06، 07</t>
  </si>
  <si>
    <t>بهادر شاهر محمد رزق الله</t>
  </si>
  <si>
    <t>احمد عبد المجيد عبد العزيز سعادة</t>
  </si>
  <si>
    <t>وسام محمد بكر ابو فرحة</t>
  </si>
  <si>
    <t>وسيم وائل علي نظيف</t>
  </si>
  <si>
    <t>مها أحمد صالح حثناوي</t>
  </si>
  <si>
    <t>محمد سليم عاهد عبدالرازق</t>
  </si>
  <si>
    <t>وديع سامي محمد مسيمي</t>
  </si>
  <si>
    <t>ليث محمد يحيى ابو نمرة</t>
  </si>
  <si>
    <t>معتز حسين صالح "علي قرعوش"</t>
  </si>
  <si>
    <t>محمد عفيف محمد دقة</t>
  </si>
  <si>
    <t>هبة مروان باسم بربار</t>
  </si>
  <si>
    <t>عهد غازي محمود واوي</t>
  </si>
  <si>
    <t>01، 04، 05، 06، 07</t>
  </si>
  <si>
    <t>محمد باسم سعيد سعادة</t>
  </si>
  <si>
    <t>علاءالدين جودت مسعود محمود</t>
  </si>
  <si>
    <t>إبراهيم محمد علي بدحة</t>
  </si>
  <si>
    <t>فلة عبد المنعم ياسين اغبر</t>
  </si>
  <si>
    <t>سناء فارس حسين سمارة</t>
  </si>
  <si>
    <t>سناء عبد الكريم حسن الدلو</t>
  </si>
  <si>
    <t>أمين ماضي محمود ماضي</t>
  </si>
  <si>
    <t>01، 03، 04، 05، 06، 07</t>
  </si>
  <si>
    <t>سهى"محمد مروان" الكردي</t>
  </si>
  <si>
    <t>نادرة احمد جمعة ابو زيد</t>
  </si>
  <si>
    <t>ازهار جميل محمد جرار</t>
  </si>
  <si>
    <t>شيرين محمود عبد الله عائدة</t>
  </si>
  <si>
    <t>ريم نجيب محمود اخليل</t>
  </si>
  <si>
    <t>مصطفى زياد مصطفى حمد</t>
  </si>
  <si>
    <t>موسى محمد موسى ابو حلوة</t>
  </si>
  <si>
    <t>محمد أمين محمد ضباية</t>
  </si>
  <si>
    <t>سليم عبد محمد نصار</t>
  </si>
  <si>
    <t>سهى محمد احمد حشاش</t>
  </si>
  <si>
    <t>نجوى سليمان موسى تركمان</t>
  </si>
  <si>
    <t>أحمد سعد نمر صبح</t>
  </si>
  <si>
    <t>أنس حيان حلمي إدريسي</t>
  </si>
  <si>
    <t>هديل مصطفى موسى أبو ليل</t>
  </si>
  <si>
    <t>فادي اسماعيل محمد خضر</t>
  </si>
  <si>
    <t>شروق بهاء الدين خطاب خطاب</t>
  </si>
  <si>
    <t>فادي شاهر عبدالقادر شتيه</t>
  </si>
  <si>
    <t>رياض مصطفى ناجي ابو عرة</t>
  </si>
  <si>
    <t>جهاد شاهين محمود سحويل</t>
  </si>
  <si>
    <t>فراس صبحي لطفي تلالوة</t>
  </si>
  <si>
    <t>وسام محمد عاصي محمود</t>
  </si>
  <si>
    <t>شريف رجا صالح ابومريم</t>
  </si>
  <si>
    <t>حمزة احمد محمد عبيات</t>
  </si>
  <si>
    <t>أحمد راجح شحادة حمد</t>
  </si>
  <si>
    <t>هبه عبد الله علي بهتي</t>
  </si>
  <si>
    <t>شهد محمد أحمد عمارنه</t>
  </si>
  <si>
    <t>أمير محمود نمر واوي</t>
  </si>
  <si>
    <t>01، 02، 05، 06، 07</t>
  </si>
  <si>
    <t>سهاد ربحي سعيد الحسيني</t>
  </si>
  <si>
    <t>جمال إبراهيم عبد الفتاح نعالوه</t>
  </si>
  <si>
    <t>01، 02، 03، 05، 07</t>
  </si>
  <si>
    <t>نضال محسن خضر مهداوي</t>
  </si>
  <si>
    <t>خلف خليل يوسف ادعيس</t>
  </si>
  <si>
    <t>حنين خضر حسن زيادة</t>
  </si>
  <si>
    <t>تحرير سمير عبدالله دوابشة</t>
  </si>
  <si>
    <t>مهند عبيد محمد الجواريش</t>
  </si>
  <si>
    <t>03، 05، 06</t>
  </si>
  <si>
    <t>محمد خالد اديب ابو بكر</t>
  </si>
  <si>
    <t>03، 05، 06، 07</t>
  </si>
  <si>
    <t>طارق ميخائيل رضا فواضلة</t>
  </si>
  <si>
    <t>فراس محمد حسين عليان</t>
  </si>
  <si>
    <t>دلال نايف محمود ضبايه</t>
  </si>
  <si>
    <t>صفاء ساطي ياسين سعدي</t>
  </si>
  <si>
    <t>ماهر عبد الحميد يونس أبو ساكور</t>
  </si>
  <si>
    <t>مهيوب غالب أحمد ابو هنود شولي</t>
  </si>
  <si>
    <t>إيهاب منير موسى عثمان</t>
  </si>
  <si>
    <t>عبد الفتاح محمد عبد الفتاح ابو</t>
  </si>
  <si>
    <t>نسرين محي الدين عابدين</t>
  </si>
  <si>
    <t>جمال محمد سعد ستيتي</t>
  </si>
  <si>
    <t>01</t>
  </si>
  <si>
    <t>فراس احسان محمد شريم</t>
  </si>
  <si>
    <t>أماني ابراهيم خالد الشناوي</t>
  </si>
  <si>
    <t>ماجد عبد العزيز شحادة عواد</t>
  </si>
  <si>
    <t>نسرين محمد علي عوض الله</t>
  </si>
  <si>
    <t>تهاني حرب عبدالرحيم داود</t>
  </si>
  <si>
    <t>موسى مصطفى موسى عثمان</t>
  </si>
  <si>
    <t>أيمن سامي أحمد رخ</t>
  </si>
  <si>
    <t>علا توفيق بدوي دجاني</t>
  </si>
  <si>
    <t>بلال محمد عوض دراغمة</t>
  </si>
  <si>
    <t>رنا فتحي نمر ريان</t>
  </si>
  <si>
    <t>01، 02، 03، 07</t>
  </si>
  <si>
    <t>مدحت عبد الرؤوف ناجي العمري</t>
  </si>
  <si>
    <t>ظريفه يوسف محمد العباسي</t>
  </si>
  <si>
    <t>نبيل علي حسين عودة</t>
  </si>
  <si>
    <t>01، 02، 03، 05، 06، 07</t>
  </si>
  <si>
    <t>شذى خليل تيسير خاروف</t>
  </si>
  <si>
    <t>عبير عماد عزات عثمان</t>
  </si>
  <si>
    <t>01، 02، 03، 04، 07</t>
  </si>
  <si>
    <t>سعده داود حسن الزير</t>
  </si>
  <si>
    <t>سمير عبد القادر ابراهيم خاروف</t>
  </si>
  <si>
    <t>عبد الله فوزي عبد الله نعيرات</t>
  </si>
  <si>
    <t>عميد نظمي يوسف مشاقي</t>
  </si>
  <si>
    <t>ربا عصام "محمد عزيز" أبوصاع</t>
  </si>
  <si>
    <t>01، 02، 06، 07</t>
  </si>
  <si>
    <t>عبد القادر محمود يونس ابو الرب</t>
  </si>
  <si>
    <t>أحمد صدقي عبد الرحمن الهباش</t>
  </si>
  <si>
    <t>وفاء قاسم محمود صالح</t>
  </si>
  <si>
    <t>راسم سعيد بدر اوحيدي</t>
  </si>
  <si>
    <t>نبيلة نبيل محمد غانم</t>
  </si>
  <si>
    <t>آمنة باسم محمد حبوب</t>
  </si>
  <si>
    <t>سمر مصطفى اسعد خدرج</t>
  </si>
  <si>
    <t>جمانه حمدان هزاع مسالمة</t>
  </si>
  <si>
    <t>حنا يعقوب حنا مشرقي</t>
  </si>
  <si>
    <t>محمد وديع ناجي ابو الرب</t>
  </si>
  <si>
    <t>الهام فؤاد محمد بارود</t>
  </si>
  <si>
    <t>أسماء خليل راشد الزربا</t>
  </si>
  <si>
    <t>نادية هشام عارف أبو عبيد</t>
  </si>
  <si>
    <t>نانسي نظمي عبد الرحمن حسن /</t>
  </si>
  <si>
    <t>معاذ محمد محمد تايه</t>
  </si>
  <si>
    <t>01، 02، 03، 06، 07</t>
  </si>
  <si>
    <t>أماني خالد محمد سمارة</t>
  </si>
  <si>
    <t>أحمد جبر اسماعيل ابو شنب</t>
  </si>
  <si>
    <t>سعيد محمد سعيد ابو ليل</t>
  </si>
  <si>
    <t>هنادي عدنان محمد عسلي</t>
  </si>
  <si>
    <t>حيدر أحمد حيدر كايد</t>
  </si>
  <si>
    <t>هنادي"محمد سليم"سعيد حلواني</t>
  </si>
  <si>
    <t>رجاء محمد عبد اللطيف أبو عليا</t>
  </si>
  <si>
    <t>فتح.الله صايل عبد الكريم جيوسي</t>
  </si>
  <si>
    <t>محمود فتحي حسين حمد</t>
  </si>
  <si>
    <t>خلود محمد قاسم عبد الحق</t>
  </si>
  <si>
    <t>هبة روحي محمد اعمير</t>
  </si>
  <si>
    <t>03، 06، 07</t>
  </si>
  <si>
    <t>حمزة نصر محمد عليان</t>
  </si>
  <si>
    <t>عامر محمد صالح زين الدين</t>
  </si>
  <si>
    <t>عبد الحافظ صالح عصفور البشر</t>
  </si>
  <si>
    <t>عبد الله راضي ظاهر حلبي</t>
  </si>
  <si>
    <t>أحمد محمود محمد حميدي</t>
  </si>
  <si>
    <t>عامر عبد الرحمن صالح زيد</t>
  </si>
  <si>
    <t>معتز سمير عبدالكريم سلامة</t>
  </si>
  <si>
    <t>عبدالغني صبحي لطفي تلالوة</t>
  </si>
  <si>
    <t>01، 04، 06، 07</t>
  </si>
  <si>
    <t>رمضان حسين حسن مزرعاوي</t>
  </si>
  <si>
    <t>01، 02، 04، 05، 06</t>
  </si>
  <si>
    <t>رحمة راشد محمد خطاب</t>
  </si>
  <si>
    <t>خالد وليد خالد غانم</t>
  </si>
  <si>
    <t>رايه احمد محمود أبو شقرة</t>
  </si>
  <si>
    <t>فراس محمد مصطفى دويكات</t>
  </si>
  <si>
    <t>02، 03، 04</t>
  </si>
  <si>
    <t>ميساء فاروق محمد خليل</t>
  </si>
  <si>
    <t>محمد عبدالعزيز كامل حمدان</t>
  </si>
  <si>
    <t>عبدالله صابر بهزاد فيومي</t>
  </si>
  <si>
    <t>01، 02، 03، 04، 05، 06</t>
  </si>
  <si>
    <t>رضوان سعيد عيسى ابو حسن</t>
  </si>
  <si>
    <t>نافذة عطا الله سالم بدارين</t>
  </si>
  <si>
    <t>مراد ماجد أحمد حمايل</t>
  </si>
  <si>
    <t>علاء عبد المنعم محمد التميمي</t>
  </si>
  <si>
    <t>ديانا ماجد حسين ندى</t>
  </si>
  <si>
    <t>02</t>
  </si>
  <si>
    <t>هند علي حسن حبرون</t>
  </si>
  <si>
    <t>هادي داود علي حجازي</t>
  </si>
  <si>
    <t>عامر موسى عمر دحادحة</t>
  </si>
  <si>
    <t>01، 03، 04، 05، 07</t>
  </si>
  <si>
    <t>فاتن عبد الحق محمد اقرع</t>
  </si>
  <si>
    <t>أشرف محمد عبدالقادر ابو عرقوب</t>
  </si>
  <si>
    <t>رانيه توفيق بدوي عيد</t>
  </si>
  <si>
    <t>يوسف وائل يوسف نوفل</t>
  </si>
  <si>
    <t>سعد سامي اسعد نعسان</t>
  </si>
  <si>
    <t>نائل حسين عبد القادر ديري</t>
  </si>
  <si>
    <t>رهام ماهر عيسى دنون</t>
  </si>
  <si>
    <t>محمد مصطفى إبراهيم أبو الهوس</t>
  </si>
  <si>
    <t>بثينة موسى ابراهيم ابو لافي</t>
  </si>
  <si>
    <t>لينا محمود عبد الله ابوهلال</t>
  </si>
  <si>
    <t>لوسي نصري شكري حشمة</t>
  </si>
  <si>
    <t>تسنيم أحمد ابراهيم زغموري</t>
  </si>
  <si>
    <t>عماد سعيد حسين شجاعية</t>
  </si>
  <si>
    <t>مهند ظاهر احمد الشروف</t>
  </si>
  <si>
    <t>ميس ابراهيم محمد عمارنه</t>
  </si>
  <si>
    <t>لؤي ابراهيم عطا ابو شيخ</t>
  </si>
  <si>
    <t>وسيم محمد راشد الظاهر</t>
  </si>
  <si>
    <t>رأفت ابراهيم عبدالفتاح بلاطيه</t>
  </si>
  <si>
    <t>سهير داوود غالب كمال</t>
  </si>
  <si>
    <t>رمزي حسين محمود تميمي</t>
  </si>
  <si>
    <t>01، 02، 07</t>
  </si>
  <si>
    <t>عماد أحمد عيسى أبو حسان</t>
  </si>
  <si>
    <t>سفيان محمد سلمان الطرشان</t>
  </si>
  <si>
    <t>رائد محمد أحمد بنات</t>
  </si>
  <si>
    <t>02، 03، 04، 05، 07</t>
  </si>
  <si>
    <t>أمجد جميل راغب ملحم</t>
  </si>
  <si>
    <t>فوزية احمد توفيق زكارنة</t>
  </si>
  <si>
    <t>01، 02، 03، 04، 06</t>
  </si>
  <si>
    <t>صالح محمود محمد شنيور</t>
  </si>
  <si>
    <t>وصال جورج حنا قمصية</t>
  </si>
  <si>
    <t>مأمون صادق مصطفى أبو عليا</t>
  </si>
  <si>
    <t>نضال عبد الله محمد رابي</t>
  </si>
  <si>
    <t>سمير محمد عبد علان</t>
  </si>
  <si>
    <t>رامي محمد إبراهيم معمر</t>
  </si>
  <si>
    <t>مصطفى عبد الكريم يوسف الخالدي</t>
  </si>
  <si>
    <t>01، 03، 07</t>
  </si>
  <si>
    <t>أحلام محمد جمعه عامر</t>
  </si>
  <si>
    <t>01، 02، 03، 04، 05</t>
  </si>
  <si>
    <t>عبدالله شاهر شكري داود</t>
  </si>
  <si>
    <t>أحمد عبد الرحيم شحادة أبو دية</t>
  </si>
  <si>
    <t>خالد إبراهيم أحمد عيسى</t>
  </si>
  <si>
    <t>02، 03، 05، 07</t>
  </si>
  <si>
    <t>سونيا عبد الله عبد الرحيم عمر</t>
  </si>
  <si>
    <t>حسام الدين فتحي حسن شرقاوي</t>
  </si>
  <si>
    <t>02، 04</t>
  </si>
  <si>
    <t>رشدي احمد رشيد خوالد</t>
  </si>
  <si>
    <t>راوية جميل حسين زيدة</t>
  </si>
  <si>
    <t>03، 05</t>
  </si>
  <si>
    <t>ماجد عبد الرزاق أحمد فراونه</t>
  </si>
  <si>
    <t>أحمد ادعيس أحمد فرحة</t>
  </si>
  <si>
    <t>نضال "محمد وحيد" عبد اللطيف</t>
  </si>
  <si>
    <t>02، 03، 04، 06</t>
  </si>
  <si>
    <t>عدنان جمعه حسن موسى</t>
  </si>
  <si>
    <t>01، 02، 05، 07</t>
  </si>
  <si>
    <t>مهدي أحمد محمد جرار</t>
  </si>
  <si>
    <t>اميلي سلفادور خورخي حنضل</t>
  </si>
  <si>
    <t>عرابي بشير سعيد نزال</t>
  </si>
  <si>
    <t>فهد محمد حسن طنينة</t>
  </si>
  <si>
    <t>دعاء عيسى يوسف مرعي</t>
  </si>
  <si>
    <t>عمار "محمد علي" زهدي</t>
  </si>
  <si>
    <t>عمر يوسف رشيد الرجوب</t>
  </si>
  <si>
    <t>مأمون محمد عبد الرحمن حمدان</t>
  </si>
  <si>
    <t>ابراهيم محمود ابراهيم عاصي</t>
  </si>
  <si>
    <t>عامر نعيم شكري ابو رجب</t>
  </si>
  <si>
    <t>02، 03، 05</t>
  </si>
  <si>
    <t>جاد خضر يوسف فريج</t>
  </si>
  <si>
    <t>سامر مصطفى محمد مطاحن</t>
  </si>
  <si>
    <t>مها عدنان عايد رواجبة</t>
  </si>
  <si>
    <t>منى احسان حسان مصطفى</t>
  </si>
  <si>
    <t>فداء محمد إسحق الغول</t>
  </si>
  <si>
    <t>هند مصطفى اسحق بشيتي</t>
  </si>
  <si>
    <t>شيماء سعيد عبد الله بيشاوي</t>
  </si>
  <si>
    <t>دارين عبد الاله عبد الحميد يونس</t>
  </si>
  <si>
    <t>01، 02، 03، 04</t>
  </si>
  <si>
    <t>دعاء محمد راتب شبانه</t>
  </si>
  <si>
    <t>فاتنة جودت رضا يحيى</t>
  </si>
  <si>
    <t>فادي فواز فايز عودة</t>
  </si>
  <si>
    <t>02، 03</t>
  </si>
  <si>
    <t>ربا عادل عبد الهادي ابو هولا</t>
  </si>
  <si>
    <t>01، 07</t>
  </si>
  <si>
    <t>محمد رأفت محمد عودة</t>
  </si>
  <si>
    <t>كفاية عزيز نايف عاشور</t>
  </si>
  <si>
    <t>إبراهيم عواد احمد ابو الرب</t>
  </si>
  <si>
    <t>06</t>
  </si>
  <si>
    <t>كمال محمد رباح أبوعلي</t>
  </si>
  <si>
    <t>كمال ماهر حامد ابوالسعود</t>
  </si>
  <si>
    <t>مراد كامل سعيد سليمان</t>
  </si>
  <si>
    <t>علي سعدي احمد اسعد</t>
  </si>
  <si>
    <t>علا عزت رزق ريان</t>
  </si>
  <si>
    <t>رياض نمر محمود الواوي</t>
  </si>
  <si>
    <t>عمر ادريس خليل أقطم</t>
  </si>
  <si>
    <t>سليمان محمد سلامة شريعة</t>
  </si>
  <si>
    <t>بشار باسل فؤاد مبارك</t>
  </si>
  <si>
    <t>حسن جبر احمد الرجوب</t>
  </si>
  <si>
    <t>03، 07</t>
  </si>
  <si>
    <t>داود شاهر حسن العبيات</t>
  </si>
  <si>
    <t>إنتصار ياسين عبد القادر ياسين</t>
  </si>
  <si>
    <t>ميادة مصطفى ذبلان غنام</t>
  </si>
  <si>
    <t>رائد فضل رضا الزير</t>
  </si>
  <si>
    <t>سعيد عبدالله عبدالرحيم عمر</t>
  </si>
  <si>
    <t>محمود أحمد فضل طقاطقة</t>
  </si>
  <si>
    <t>ياسر علي جميل سفاريني</t>
  </si>
  <si>
    <t>منذر محمد عطية اغوير</t>
  </si>
  <si>
    <t>02، 05، 06</t>
  </si>
  <si>
    <t>يسرى محمد سعيد عمرو</t>
  </si>
  <si>
    <t>01، 03، 05</t>
  </si>
  <si>
    <t>ياسين محمد ياسين حمد</t>
  </si>
  <si>
    <t>سامر )محمد يونس(سليم علقم</t>
  </si>
  <si>
    <t>سمير إسماعيل عبد الله شقير</t>
  </si>
  <si>
    <t>نجاح عبداللطيف أحمد رباح</t>
  </si>
  <si>
    <t>ديانا خالد صلاح عبد الحق</t>
  </si>
  <si>
    <t>جهاد عبد الحميد حسن حماد</t>
  </si>
  <si>
    <t>مؤمن باسم سليمان شريم</t>
  </si>
  <si>
    <t>عنان غسان مروان دروزة</t>
  </si>
  <si>
    <t>عبيدة عبد الهادي عبد القادر الأقرع</t>
  </si>
  <si>
    <t>هبه عبد الرازق محمد حردان</t>
  </si>
  <si>
    <t>بلال سمير أحمد فقها</t>
  </si>
  <si>
    <t>مفيد فايز محمد الهروش</t>
  </si>
  <si>
    <t>شاكر فايز مرتضى سنقرط</t>
  </si>
  <si>
    <t>سائد عبد السلام ساري شومان</t>
  </si>
  <si>
    <t>أحمد إبراهيم عبد الرحمن الحاج</t>
  </si>
  <si>
    <t>02، 03، 04، 05</t>
  </si>
  <si>
    <t>محمد حمدي محمد خضير</t>
  </si>
  <si>
    <t>امين عماد شهاب سموم</t>
  </si>
  <si>
    <t>محمد صالح )محمد سعيد(الحاج</t>
  </si>
  <si>
    <t>05</t>
  </si>
  <si>
    <t>بلال كساب هاشم داود</t>
  </si>
  <si>
    <t>رنا خليل محمد الشرعب</t>
  </si>
  <si>
    <t>01، 02، 04، 06</t>
  </si>
  <si>
    <t>ربا عبد الرحمن عبد المحسن قطينه</t>
  </si>
  <si>
    <t>إيهاب محمود إسماعيل عيسى</t>
  </si>
  <si>
    <t>سلام اسحاق اسماعيل الخطيب</t>
  </si>
  <si>
    <t>شاكر ذياب ابراهيم عواد</t>
  </si>
  <si>
    <t>رندة "عطا موسى" احمد بركات</t>
  </si>
  <si>
    <t>سعيد عبد الكريم محمد الرزيقات</t>
  </si>
  <si>
    <t>سمير "محمد وليد" سالم سلامه</t>
  </si>
  <si>
    <t>ليلى حسن اسماعيل الهريني</t>
  </si>
  <si>
    <t>داليه نعمان عاطف عمرو</t>
  </si>
  <si>
    <t>02، 03، 04، 06، 07</t>
  </si>
  <si>
    <t>رانيه محمود تيسير الشخشير</t>
  </si>
  <si>
    <t>بهاء بسام محمد حسونة</t>
  </si>
  <si>
    <t>خليل ادوارد خليل رنتيسي</t>
  </si>
  <si>
    <t>شروق رفيق علي سعاده</t>
  </si>
  <si>
    <t>نائل محمود أحمد عواد</t>
  </si>
  <si>
    <t>عمار "محمد عطا" محمد فران</t>
  </si>
  <si>
    <t>محمد عبد الرحمن ابراهيم رزق الله</t>
  </si>
  <si>
    <t>ياسين محمد ياسين سوالمة</t>
  </si>
  <si>
    <t>أحمد محمد أحمد الحوامده</t>
  </si>
  <si>
    <t>01، 06</t>
  </si>
  <si>
    <t>فوزي رجا عبد الله ابو عيسى</t>
  </si>
  <si>
    <t>رؤوف عاكف عبد الرؤوف جمعه</t>
  </si>
  <si>
    <t>نادرة صبحي عواد جبر</t>
  </si>
  <si>
    <t>بهاء خالد محمد ابراهيم</t>
  </si>
  <si>
    <t>01، 04، 07</t>
  </si>
  <si>
    <t>جهاد احمد اسماعيل المقدسي</t>
  </si>
  <si>
    <t>ايمان سامي علي رشيد</t>
  </si>
  <si>
    <t>01، 03، 06، 07</t>
  </si>
  <si>
    <t>محمد محمود فايز عوفي</t>
  </si>
  <si>
    <t>شاهر نمر أسعد بغدادي</t>
  </si>
  <si>
    <t>01، 04</t>
  </si>
  <si>
    <t>علي محمود محمد مصلح</t>
  </si>
  <si>
    <t>وفاء محمد محمود أبو سمرة</t>
  </si>
  <si>
    <t>عثمان أحمد ذيب أبو حلاسي</t>
  </si>
  <si>
    <t>منى صالح عثمان عابد</t>
  </si>
  <si>
    <t>عبداللطيف لطفي عبداللطيف محسن</t>
  </si>
  <si>
    <t>نسيم كمال "محمد صالح" حمايدة</t>
  </si>
  <si>
    <t>سماح تيسير حامد ابو زينة</t>
  </si>
  <si>
    <t>ذياب موسى محمد أبو الرب</t>
  </si>
  <si>
    <t>عفاف مصطفى عبد الرحيم سلامه</t>
  </si>
  <si>
    <t>خالد سعيد محمد زغل</t>
  </si>
  <si>
    <t>رمزي وليد عبدالمجيد سحويل</t>
  </si>
  <si>
    <t>مجدي ابراهيم نجيب مقطوش</t>
  </si>
  <si>
    <t>فراس محمد عبد الفتاح الحوامدة</t>
  </si>
  <si>
    <t>سامي محمد عبد الكريم كنعان</t>
  </si>
  <si>
    <t>01، 02، 04، 06، 07</t>
  </si>
  <si>
    <t>وجدي أحمد محمد البرهم</t>
  </si>
  <si>
    <t>ناصر أنور محمد عمير</t>
  </si>
  <si>
    <t>01، 06، 07</t>
  </si>
  <si>
    <t>يسرى وفيق حكمت حموري</t>
  </si>
  <si>
    <t>بثينة جمال صبحي متولي</t>
  </si>
  <si>
    <t>محمد عبد المجيد محمد عودة</t>
  </si>
  <si>
    <t>سيما نعمان كامل حمدان</t>
  </si>
  <si>
    <t>عماد خليل عبد الله عمرو</t>
  </si>
  <si>
    <t>غادة رشاد اسعد أبو عبيد</t>
  </si>
  <si>
    <t>خالد عمر علي شحادة</t>
  </si>
  <si>
    <t>01، 02، 03، 05</t>
  </si>
  <si>
    <t>تهاني صدقي عمر دارابراهيم</t>
  </si>
  <si>
    <t>01، 04، 05، 06</t>
  </si>
  <si>
    <t>فيحاء وائل أسعد قب</t>
  </si>
  <si>
    <t>01، 03، 04، 07</t>
  </si>
  <si>
    <t>وردة مصطفى محمد دلال</t>
  </si>
  <si>
    <t>حسناء عبد العزيز موسى بزبز</t>
  </si>
  <si>
    <t>حسن منصور محمد أبو زاهر</t>
  </si>
  <si>
    <t>محفوظ محمد حافظ صوافطة</t>
  </si>
  <si>
    <t>أيمن عقل مصطفى خليل</t>
  </si>
  <si>
    <t>أحمد محمد تيسير كامل حنتولي</t>
  </si>
  <si>
    <t>01، 02، 03</t>
  </si>
  <si>
    <t>نورا طلال عودة حامد</t>
  </si>
  <si>
    <t>وليد داود إبراهيم سليمان</t>
  </si>
  <si>
    <t>03</t>
  </si>
  <si>
    <t>إيمان جميل مسعود خضيري</t>
  </si>
  <si>
    <t>فادية داود علي حجازي</t>
  </si>
  <si>
    <t>مجدي عمر أحمد نزال</t>
  </si>
  <si>
    <t>محمد ياسر إبراهيم محمد</t>
  </si>
  <si>
    <t>03، 04</t>
  </si>
  <si>
    <t>عرفات صبحي طالب ذوقان</t>
  </si>
  <si>
    <t>فادية سليم اسماعيل عياش</t>
  </si>
  <si>
    <t>05، 07</t>
  </si>
  <si>
    <t>سمية فاضل محمود درويش</t>
  </si>
  <si>
    <t>02، 04، 05، 07</t>
  </si>
  <si>
    <t>ذكريات مشهور حمدان دلعب</t>
  </si>
  <si>
    <t>01، 02، 04، 07</t>
  </si>
  <si>
    <t>نور منير عبدالرحمن ابو سمرة</t>
  </si>
  <si>
    <t>محمد عبد الكريم محمد ابو دية</t>
  </si>
  <si>
    <t>فادي خيري صادق شيخ ابراهيم</t>
  </si>
  <si>
    <t>إياد عيسى محمد النجار</t>
  </si>
  <si>
    <t>ماهر خليل شحاده نجار</t>
  </si>
  <si>
    <t>مجير حسن محمد صباح</t>
  </si>
  <si>
    <t>يسرى سميح هاشم أبو عيشة</t>
  </si>
  <si>
    <t>02، 04، 06</t>
  </si>
  <si>
    <t>إبراهيم يوسف عبد القادر أبو جادو</t>
  </si>
  <si>
    <t>عماد عزت محمد الجاروشي</t>
  </si>
  <si>
    <t>معزوز منصور عبد الرحيم عبد الله</t>
  </si>
  <si>
    <t>02، 03، 04، 05، 06، 07</t>
  </si>
  <si>
    <t>نيفين سليم اسعد صلاح</t>
  </si>
  <si>
    <t>عطيات فتحي اسماعيل الطيف</t>
  </si>
  <si>
    <t>عمر أحمد حماد أبو زهرة</t>
  </si>
  <si>
    <t>باسل عزمي عبد الفتاح المرقطن</t>
  </si>
  <si>
    <t>زاهر )محمد عدنان ( عبد اللطيف</t>
  </si>
  <si>
    <t>افنان حسن محمد الحسن</t>
  </si>
  <si>
    <t>05، 06</t>
  </si>
  <si>
    <t>عصام عبود محمد الترتير</t>
  </si>
  <si>
    <t>رشا رشاد اسعد أبو عبيد</t>
  </si>
  <si>
    <t>ياسر عبد الرحمن محمد ابو رميشان</t>
  </si>
  <si>
    <t>معتصم صلاح عبد الغافر معكوسة</t>
  </si>
  <si>
    <t>عفت عبدالقادر ابراهيم شهاب</t>
  </si>
  <si>
    <t>01، 02، 04</t>
  </si>
  <si>
    <t>محمد بشير احمد موسى</t>
  </si>
  <si>
    <t>فاطمة محمود عبدالقادر ولويل</t>
  </si>
  <si>
    <t>02، 03، 05، 06، 07</t>
  </si>
  <si>
    <t>رفعت نضال شوكت مسودي</t>
  </si>
  <si>
    <t>خليل عزات خليل شريتح</t>
  </si>
  <si>
    <t>عنايه عبد الخالق خليل السعدي</t>
  </si>
  <si>
    <t>هديل فاروق نظمي باكير</t>
  </si>
  <si>
    <t>الياس يوسف يعقوب توما</t>
  </si>
  <si>
    <t>01، 03، 06</t>
  </si>
  <si>
    <t>سحاب عبد الفتاح سليمان زهد</t>
  </si>
  <si>
    <t>فتحية نائل مصطفى داود</t>
  </si>
  <si>
    <t>سماح محي الدين محمد نعمان سيد</t>
  </si>
  <si>
    <t>فداء تيسير محمود طه</t>
  </si>
  <si>
    <t>منال أمين محمود جبر</t>
  </si>
  <si>
    <t>أحمد جميل حسن أبو سرور</t>
  </si>
  <si>
    <t>فؤاد غازي فريد الزير</t>
  </si>
  <si>
    <t>ايمن محمد عبد القادر دمدوم</t>
  </si>
  <si>
    <t>03، 04، 05</t>
  </si>
  <si>
    <t>إياد محمد حسن حمد</t>
  </si>
  <si>
    <t>عبدالرحيم يوسف عبدالرحيم نزال</t>
  </si>
  <si>
    <t>01، 04، 05</t>
  </si>
  <si>
    <t>عزام عبد القادر يوسف الساحلي</t>
  </si>
  <si>
    <t>يحيى جميل محمد ضمرة</t>
  </si>
  <si>
    <t>رمزي محمد أحمد الحيح</t>
  </si>
  <si>
    <t>محمد يوسف ابراهيم ابو شنار</t>
  </si>
  <si>
    <t>إبراهيم فايز حسن قصراوي</t>
  </si>
  <si>
    <t>عامر إبراهيم عامر عمرو</t>
  </si>
  <si>
    <t>رمضان محمود رمضان مطر</t>
  </si>
  <si>
    <t>نادر عبد الرازق حسين شاهين</t>
  </si>
  <si>
    <t>محمد برهان عارف محمود</t>
  </si>
  <si>
    <t>نضال ماجد محمد أبو عيشة</t>
  </si>
  <si>
    <t>نجاح كاظم هاشم الحموري</t>
  </si>
  <si>
    <t>وسام أحمد محمود مصلح</t>
  </si>
  <si>
    <t>رشا رشدي عبدالله دراغمة</t>
  </si>
  <si>
    <t>01، 02، 05</t>
  </si>
  <si>
    <t>ناصر عبد الله بكر ياسين</t>
  </si>
  <si>
    <t>01، 05</t>
  </si>
  <si>
    <t>محمد فهمي محمد ابو عون</t>
  </si>
  <si>
    <t>بدر موسى حسين أبورياش</t>
  </si>
  <si>
    <t>02، 05</t>
  </si>
  <si>
    <t>علا عمران صبحي الحلواني</t>
  </si>
  <si>
    <t>برهان يوسف حسن ملوح</t>
  </si>
  <si>
    <t>أمجد يوسف نمر احمد</t>
  </si>
  <si>
    <t>02، 04، 05</t>
  </si>
  <si>
    <t>مازن نظمي كامل برق</t>
  </si>
  <si>
    <t>عباده موسى حسين عمرو</t>
  </si>
  <si>
    <t>سامية جمال صائل صوافطة</t>
  </si>
  <si>
    <t>زهية عبد الرؤوف عبد الله القواسمي</t>
  </si>
  <si>
    <t>فاتنة محمد علي موسى</t>
  </si>
  <si>
    <t>01، 03، 05، 07</t>
  </si>
  <si>
    <t>روان يوسف ابراهيم ناصر</t>
  </si>
  <si>
    <t>ليالي حسين محمود الغول</t>
  </si>
  <si>
    <t>سماح محمود عبد اللطيف مصطفى</t>
  </si>
  <si>
    <t>منال طه خضر زبيدية</t>
  </si>
  <si>
    <t>ناصر مصطفى احمد بكر</t>
  </si>
  <si>
    <t>بشير خالد بشير زيد</t>
  </si>
  <si>
    <t>رؤى زياد عبد الله فقهاء</t>
  </si>
  <si>
    <t>حياة حسن مصطفى عبدالحليم</t>
  </si>
  <si>
    <t>محمد ابراهيم كمال حنتولي</t>
  </si>
  <si>
    <t>هنيدة محمد جمعة حشاش</t>
  </si>
  <si>
    <t>جبر عودة علي المخامرة</t>
  </si>
  <si>
    <t>01، 03</t>
  </si>
  <si>
    <t>برهان اسماعيل طه فرح</t>
  </si>
  <si>
    <t>هيا حسين عبد الله ربايعه</t>
  </si>
  <si>
    <t>يونس زياد محمد سعيد عمر</t>
  </si>
  <si>
    <t>جهاد عبد اللطيف نمر عوايصة</t>
  </si>
  <si>
    <t>محمد ماجد عبد الحافظ وراسنه</t>
  </si>
  <si>
    <t>ايمن محمد محمود جابر</t>
  </si>
  <si>
    <t>محمد عيسى محمد إبراهيم</t>
  </si>
  <si>
    <t>رياض ياسر عواد أبو عرام</t>
  </si>
  <si>
    <t>مهند محمود حسين صوافطة</t>
  </si>
  <si>
    <t>سمر عارف عبدالله دراغمة</t>
  </si>
  <si>
    <t>04</t>
  </si>
  <si>
    <t>لينا جمال مصطفى كنعان</t>
  </si>
  <si>
    <t>سعيد معاوية سعيد نزال</t>
  </si>
  <si>
    <t>معاذ عبد الرحيم احمد برهومي</t>
  </si>
  <si>
    <t>01، 04، 05، 07</t>
  </si>
  <si>
    <t>خالد محمد ابراهيم ابراهيم</t>
  </si>
  <si>
    <t>رانية يوسف ابراهيم ناصر</t>
  </si>
  <si>
    <t>منال احمد ذيب البزور</t>
  </si>
  <si>
    <t>ثائر قاسم عبد الرحيم سعدي</t>
  </si>
  <si>
    <t>وفاء لطفي فخري بشير</t>
  </si>
  <si>
    <t>رائدة صبحي محمد ياسين</t>
  </si>
  <si>
    <t>يحيى نعيم محمود بني عودة</t>
  </si>
  <si>
    <t>سعادة خالد محمد ابو شملة</t>
  </si>
  <si>
    <t>المنصة الإدارية الذكية لتحليل الالتزام (بدون Pivot)</t>
  </si>
  <si>
    <t>اختر الفرع للتحليل:</t>
  </si>
  <si>
    <t>إجمالي الموظفين</t>
  </si>
  <si>
    <t>إجمالي التأخيرات</t>
  </si>
  <si>
    <t>الجدول التفاعلي للموظفين (يتغير فوراً باختيار الفرع من الأعلى)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</si>
</sst>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4"/>
      <color rgb="FF111827"/>
      <name val="Calibri"/>
      <family val="2"/>
      <scheme val="minor"/>
    </font>
    <font>
      <b/>
      <sz val="14"/>
      <color rgb="FF111827"/>
      <name val="Calibri"/>
      <family val="2"/>
      <scheme val="minor"/>
    </font>
    <font>
      <b/>
      <sz val="14"/>
      <color rgb="FF047857"/>
      <name val="Calibri"/>
      <family val="2"/>
      <scheme val="minor"/>
    </font>
    <font>
      <b/>
      <sz val="12"/>
      <color rgb="FF6B7280"/>
      <name val="Calibri"/>
      <family val="2"/>
      <scheme val="minor"/>
    </font>
    <font>
      <b/>
      <sz val="20"/>
      <color rgb="FF1D4ED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</fills>
  <borders count="6">
    <border>
      <left/>
      <right/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4D399"/>
      </left>
      <right style="thin">
        <color rgb="FF34D399"/>
      </right>
      <top style="thin">
        <color rgb="FF34D399"/>
      </top>
      <bottom style="thin">
        <color rgb="FF34D39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rightToLeft="1"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5"/>
  <sheetViews>
    <sheetView rightToLeft="1" workbookViewId="0"/>
  </sheetViews>
  <sheetFormatPr defaultRowHeight="15"/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s="2" t="s">
        <v>13</v>
      </c>
      <c r="B2" s="2" t="s">
        <v>32</v>
      </c>
      <c r="C2" s="2">
        <v>7969</v>
      </c>
      <c r="D2" s="2">
        <v>132.82</v>
      </c>
      <c r="E2" s="2">
        <v>90</v>
      </c>
      <c r="F2" s="2">
        <v>88.54000000000001</v>
      </c>
      <c r="G2" s="2" t="s">
        <v>33</v>
      </c>
      <c r="H2">
        <f>IF(OR(لوحة_القيادة!$C$4="الكل", A2=لوحة_القيادة!$C$4), 1, 0)</f>
        <v>0</v>
      </c>
      <c r="I2">
        <f>IF(H2=1, SUM($H$2:H2), "")</f>
        <v>0</v>
      </c>
    </row>
    <row r="3" spans="1:9">
      <c r="A3" s="2" t="s">
        <v>13</v>
      </c>
      <c r="B3" s="2" t="s">
        <v>34</v>
      </c>
      <c r="C3" s="2">
        <v>6358</v>
      </c>
      <c r="D3" s="2">
        <v>105.97</v>
      </c>
      <c r="E3" s="2">
        <v>76</v>
      </c>
      <c r="F3" s="2">
        <v>83.66</v>
      </c>
      <c r="G3" s="2" t="s">
        <v>33</v>
      </c>
      <c r="H3">
        <f>IF(OR(لوحة_القيادة!$C$4="الكل", A3=لوحة_القيادة!$C$4), 1, 0)</f>
        <v>0</v>
      </c>
      <c r="I3">
        <f>IF(H3=1, SUM($H$2:H3), "")</f>
        <v>0</v>
      </c>
    </row>
    <row r="4" spans="1:9">
      <c r="A4" s="2" t="s">
        <v>1</v>
      </c>
      <c r="B4" s="2" t="s">
        <v>35</v>
      </c>
      <c r="C4" s="2">
        <v>5561</v>
      </c>
      <c r="D4" s="2">
        <v>92.68000000000001</v>
      </c>
      <c r="E4" s="2">
        <v>73</v>
      </c>
      <c r="F4" s="2">
        <v>76.18000000000001</v>
      </c>
      <c r="G4" s="2" t="s">
        <v>33</v>
      </c>
      <c r="H4">
        <f>IF(OR(لوحة_القيادة!$C$4="الكل", A4=لوحة_القيادة!$C$4), 1, 0)</f>
        <v>0</v>
      </c>
      <c r="I4">
        <f>IF(H4=1, SUM($H$2:H4), "")</f>
        <v>0</v>
      </c>
    </row>
    <row r="5" spans="1:9">
      <c r="A5" s="2" t="s">
        <v>20</v>
      </c>
      <c r="B5" s="2" t="s">
        <v>36</v>
      </c>
      <c r="C5" s="2">
        <v>4976</v>
      </c>
      <c r="D5" s="2">
        <v>82.93000000000001</v>
      </c>
      <c r="E5" s="2">
        <v>105</v>
      </c>
      <c r="F5" s="2">
        <v>47.39</v>
      </c>
      <c r="G5" s="2" t="s">
        <v>33</v>
      </c>
      <c r="H5">
        <f>IF(OR(لوحة_القيادة!$C$4="الكل", A5=لوحة_القيادة!$C$4), 1, 0)</f>
        <v>0</v>
      </c>
      <c r="I5">
        <f>IF(H5=1, SUM($H$2:H5), "")</f>
        <v>0</v>
      </c>
    </row>
    <row r="6" spans="1:9">
      <c r="A6" s="2" t="s">
        <v>7</v>
      </c>
      <c r="B6" s="2" t="s">
        <v>37</v>
      </c>
      <c r="C6" s="2">
        <v>4940</v>
      </c>
      <c r="D6" s="2">
        <v>82.33</v>
      </c>
      <c r="E6" s="2">
        <v>96</v>
      </c>
      <c r="F6" s="2">
        <v>51.46</v>
      </c>
      <c r="G6" s="2" t="s">
        <v>33</v>
      </c>
      <c r="H6">
        <f>IF(OR(لوحة_القيادة!$C$4="الكل", A6=لوحة_القيادة!$C$4), 1, 0)</f>
        <v>0</v>
      </c>
      <c r="I6">
        <f>IF(H6=1, SUM($H$2:H6), "")</f>
        <v>0</v>
      </c>
    </row>
    <row r="7" spans="1:9">
      <c r="A7" s="2" t="s">
        <v>20</v>
      </c>
      <c r="B7" s="2" t="s">
        <v>38</v>
      </c>
      <c r="C7" s="2">
        <v>4026</v>
      </c>
      <c r="D7" s="2">
        <v>67.09999999999999</v>
      </c>
      <c r="E7" s="2">
        <v>101</v>
      </c>
      <c r="F7" s="2">
        <v>39.86</v>
      </c>
      <c r="G7" s="2" t="s">
        <v>33</v>
      </c>
      <c r="H7">
        <f>IF(OR(لوحة_القيادة!$C$4="الكل", A7=لوحة_القيادة!$C$4), 1, 0)</f>
        <v>0</v>
      </c>
      <c r="I7">
        <f>IF(H7=1, SUM($H$2:H7), "")</f>
        <v>0</v>
      </c>
    </row>
    <row r="8" spans="1:9">
      <c r="A8" s="2" t="s">
        <v>1</v>
      </c>
      <c r="B8" s="2" t="s">
        <v>39</v>
      </c>
      <c r="C8" s="2">
        <v>3922</v>
      </c>
      <c r="D8" s="2">
        <v>65.37</v>
      </c>
      <c r="E8" s="2">
        <v>90</v>
      </c>
      <c r="F8" s="2">
        <v>43.58</v>
      </c>
      <c r="G8" s="2" t="s">
        <v>33</v>
      </c>
      <c r="H8">
        <f>IF(OR(لوحة_القيادة!$C$4="الكل", A8=لوحة_القيادة!$C$4), 1, 0)</f>
        <v>0</v>
      </c>
      <c r="I8">
        <f>IF(H8=1, SUM($H$2:H8), "")</f>
        <v>0</v>
      </c>
    </row>
    <row r="9" spans="1:9">
      <c r="A9" s="2" t="s">
        <v>11</v>
      </c>
      <c r="B9" s="2" t="s">
        <v>40</v>
      </c>
      <c r="C9" s="2">
        <v>3511</v>
      </c>
      <c r="D9" s="2">
        <v>58.52</v>
      </c>
      <c r="E9" s="2">
        <v>64</v>
      </c>
      <c r="F9" s="2">
        <v>54.86</v>
      </c>
      <c r="G9" s="2" t="s">
        <v>33</v>
      </c>
      <c r="H9">
        <f>IF(OR(لوحة_القيادة!$C$4="الكل", A9=لوحة_القيادة!$C$4), 1, 0)</f>
        <v>0</v>
      </c>
      <c r="I9">
        <f>IF(H9=1, SUM($H$2:H9), "")</f>
        <v>0</v>
      </c>
    </row>
    <row r="10" spans="1:9">
      <c r="A10" s="2" t="s">
        <v>7</v>
      </c>
      <c r="B10" s="2" t="s">
        <v>41</v>
      </c>
      <c r="C10" s="2">
        <v>3475</v>
      </c>
      <c r="D10" s="2">
        <v>57.92</v>
      </c>
      <c r="E10" s="2">
        <v>90</v>
      </c>
      <c r="F10" s="2">
        <v>38.61</v>
      </c>
      <c r="G10" s="2" t="s">
        <v>33</v>
      </c>
      <c r="H10">
        <f>IF(OR(لوحة_القيادة!$C$4="الكل", A10=لوحة_القيادة!$C$4), 1, 0)</f>
        <v>0</v>
      </c>
      <c r="I10">
        <f>IF(H10=1, SUM($H$2:H10), "")</f>
        <v>0</v>
      </c>
    </row>
    <row r="11" spans="1:9">
      <c r="A11" s="2" t="s">
        <v>7</v>
      </c>
      <c r="B11" s="2" t="s">
        <v>42</v>
      </c>
      <c r="C11" s="2">
        <v>3394</v>
      </c>
      <c r="D11" s="2">
        <v>56.57</v>
      </c>
      <c r="E11" s="2">
        <v>98</v>
      </c>
      <c r="F11" s="2">
        <v>34.63</v>
      </c>
      <c r="G11" s="2" t="s">
        <v>33</v>
      </c>
      <c r="H11">
        <f>IF(OR(لوحة_القيادة!$C$4="الكل", A11=لوحة_القيادة!$C$4), 1, 0)</f>
        <v>0</v>
      </c>
      <c r="I11">
        <f>IF(H11=1, SUM($H$2:H11), "")</f>
        <v>0</v>
      </c>
    </row>
    <row r="12" spans="1:9">
      <c r="A12" s="2" t="s">
        <v>16</v>
      </c>
      <c r="B12" s="2" t="s">
        <v>43</v>
      </c>
      <c r="C12" s="2">
        <v>3356</v>
      </c>
      <c r="D12" s="2">
        <v>55.93</v>
      </c>
      <c r="E12" s="2">
        <v>69</v>
      </c>
      <c r="F12" s="2">
        <v>48.64</v>
      </c>
      <c r="G12" s="2" t="s">
        <v>33</v>
      </c>
      <c r="H12">
        <f>IF(OR(لوحة_القيادة!$C$4="الكل", A12=لوحة_القيادة!$C$4), 1, 0)</f>
        <v>0</v>
      </c>
      <c r="I12">
        <f>IF(H12=1, SUM($H$2:H12), "")</f>
        <v>0</v>
      </c>
    </row>
    <row r="13" spans="1:9">
      <c r="A13" s="2" t="s">
        <v>6</v>
      </c>
      <c r="B13" s="2" t="s">
        <v>44</v>
      </c>
      <c r="C13" s="2">
        <v>3355</v>
      </c>
      <c r="D13" s="2">
        <v>55.92</v>
      </c>
      <c r="E13" s="2">
        <v>91</v>
      </c>
      <c r="F13" s="2">
        <v>36.87</v>
      </c>
      <c r="G13" s="2" t="s">
        <v>33</v>
      </c>
      <c r="H13">
        <f>IF(OR(لوحة_القيادة!$C$4="الكل", A13=لوحة_القيادة!$C$4), 1, 0)</f>
        <v>0</v>
      </c>
      <c r="I13">
        <f>IF(H13=1, SUM($H$2:H13), "")</f>
        <v>0</v>
      </c>
    </row>
    <row r="14" spans="1:9">
      <c r="A14" s="2" t="s">
        <v>3</v>
      </c>
      <c r="B14" s="2" t="s">
        <v>45</v>
      </c>
      <c r="C14" s="2">
        <v>3243</v>
      </c>
      <c r="D14" s="2">
        <v>54.05</v>
      </c>
      <c r="E14" s="2">
        <v>93</v>
      </c>
      <c r="F14" s="2">
        <v>34.87</v>
      </c>
      <c r="G14" s="2" t="s">
        <v>33</v>
      </c>
      <c r="H14">
        <f>IF(OR(لوحة_القيادة!$C$4="الكل", A14=لوحة_القيادة!$C$4), 1, 0)</f>
        <v>0</v>
      </c>
      <c r="I14">
        <f>IF(H14=1, SUM($H$2:H14), "")</f>
        <v>0</v>
      </c>
    </row>
    <row r="15" spans="1:9">
      <c r="A15" s="2" t="s">
        <v>22</v>
      </c>
      <c r="B15" s="2" t="s">
        <v>46</v>
      </c>
      <c r="C15" s="2">
        <v>2950</v>
      </c>
      <c r="D15" s="2">
        <v>49.17</v>
      </c>
      <c r="E15" s="2">
        <v>70</v>
      </c>
      <c r="F15" s="2">
        <v>42.14</v>
      </c>
      <c r="G15" s="2" t="s">
        <v>33</v>
      </c>
      <c r="H15">
        <f>IF(OR(لوحة_القيادة!$C$4="الكل", A15=لوحة_القيادة!$C$4), 1, 0)</f>
        <v>0</v>
      </c>
      <c r="I15">
        <f>IF(H15=1, SUM($H$2:H15), "")</f>
        <v>0</v>
      </c>
    </row>
    <row r="16" spans="1:9">
      <c r="A16" s="2" t="s">
        <v>22</v>
      </c>
      <c r="B16" s="2" t="s">
        <v>47</v>
      </c>
      <c r="C16" s="2">
        <v>2934</v>
      </c>
      <c r="D16" s="2">
        <v>48.9</v>
      </c>
      <c r="E16" s="2">
        <v>45</v>
      </c>
      <c r="F16" s="2">
        <v>65.2</v>
      </c>
      <c r="G16" s="2" t="s">
        <v>48</v>
      </c>
      <c r="H16">
        <f>IF(OR(لوحة_القيادة!$C$4="الكل", A16=لوحة_القيادة!$C$4), 1, 0)</f>
        <v>0</v>
      </c>
      <c r="I16">
        <f>IF(H16=1, SUM($H$2:H16), "")</f>
        <v>0</v>
      </c>
    </row>
    <row r="17" spans="1:9">
      <c r="A17" s="2" t="s">
        <v>11</v>
      </c>
      <c r="B17" s="2" t="s">
        <v>49</v>
      </c>
      <c r="C17" s="2">
        <v>2853</v>
      </c>
      <c r="D17" s="2">
        <v>47.55</v>
      </c>
      <c r="E17" s="2">
        <v>49</v>
      </c>
      <c r="F17" s="2">
        <v>58.22</v>
      </c>
      <c r="G17" s="2" t="s">
        <v>33</v>
      </c>
      <c r="H17">
        <f>IF(OR(لوحة_القيادة!$C$4="الكل", A17=لوحة_القيادة!$C$4), 1, 0)</f>
        <v>0</v>
      </c>
      <c r="I17">
        <f>IF(H17=1, SUM($H$2:H17), "")</f>
        <v>0</v>
      </c>
    </row>
    <row r="18" spans="1:9">
      <c r="A18" s="2" t="s">
        <v>3</v>
      </c>
      <c r="B18" s="2" t="s">
        <v>50</v>
      </c>
      <c r="C18" s="2">
        <v>2811</v>
      </c>
      <c r="D18" s="2">
        <v>46.85</v>
      </c>
      <c r="E18" s="2">
        <v>106</v>
      </c>
      <c r="F18" s="2">
        <v>26.52</v>
      </c>
      <c r="G18" s="2" t="s">
        <v>33</v>
      </c>
      <c r="H18">
        <f>IF(OR(لوحة_القيادة!$C$4="الكل", A18=لوحة_القيادة!$C$4), 1, 0)</f>
        <v>0</v>
      </c>
      <c r="I18">
        <f>IF(H18=1, SUM($H$2:H18), "")</f>
        <v>0</v>
      </c>
    </row>
    <row r="19" spans="1:9">
      <c r="A19" s="2" t="s">
        <v>13</v>
      </c>
      <c r="B19" s="2" t="s">
        <v>51</v>
      </c>
      <c r="C19" s="2">
        <v>2737</v>
      </c>
      <c r="D19" s="2">
        <v>45.62</v>
      </c>
      <c r="E19" s="2">
        <v>54</v>
      </c>
      <c r="F19" s="2">
        <v>50.69</v>
      </c>
      <c r="G19" s="2" t="s">
        <v>33</v>
      </c>
      <c r="H19">
        <f>IF(OR(لوحة_القيادة!$C$4="الكل", A19=لوحة_القيادة!$C$4), 1, 0)</f>
        <v>0</v>
      </c>
      <c r="I19">
        <f>IF(H19=1, SUM($H$2:H19), "")</f>
        <v>0</v>
      </c>
    </row>
    <row r="20" spans="1:9">
      <c r="A20" s="2" t="s">
        <v>20</v>
      </c>
      <c r="B20" s="2" t="s">
        <v>52</v>
      </c>
      <c r="C20" s="2">
        <v>2726</v>
      </c>
      <c r="D20" s="2">
        <v>45.43</v>
      </c>
      <c r="E20" s="2">
        <v>94</v>
      </c>
      <c r="F20" s="2">
        <v>29</v>
      </c>
      <c r="G20" s="2" t="s">
        <v>33</v>
      </c>
      <c r="H20">
        <f>IF(OR(لوحة_القيادة!$C$4="الكل", A20=لوحة_القيادة!$C$4), 1, 0)</f>
        <v>0</v>
      </c>
      <c r="I20">
        <f>IF(H20=1, SUM($H$2:H20), "")</f>
        <v>0</v>
      </c>
    </row>
    <row r="21" spans="1:9">
      <c r="A21" s="2" t="s">
        <v>3</v>
      </c>
      <c r="B21" s="2" t="s">
        <v>53</v>
      </c>
      <c r="C21" s="2">
        <v>2721</v>
      </c>
      <c r="D21" s="2">
        <v>45.35</v>
      </c>
      <c r="E21" s="2">
        <v>82</v>
      </c>
      <c r="F21" s="2">
        <v>33.18</v>
      </c>
      <c r="G21" s="2" t="s">
        <v>33</v>
      </c>
      <c r="H21">
        <f>IF(OR(لوحة_القيادة!$C$4="الكل", A21=لوحة_القيادة!$C$4), 1, 0)</f>
        <v>0</v>
      </c>
      <c r="I21">
        <f>IF(H21=1, SUM($H$2:H21), "")</f>
        <v>0</v>
      </c>
    </row>
    <row r="22" spans="1:9">
      <c r="A22" s="2" t="s">
        <v>6</v>
      </c>
      <c r="B22" s="2" t="s">
        <v>54</v>
      </c>
      <c r="C22" s="2">
        <v>2651</v>
      </c>
      <c r="D22" s="2">
        <v>44.18</v>
      </c>
      <c r="E22" s="2">
        <v>34</v>
      </c>
      <c r="F22" s="2">
        <v>77.97</v>
      </c>
      <c r="G22" s="2" t="s">
        <v>55</v>
      </c>
      <c r="H22">
        <f>IF(OR(لوحة_القيادة!$C$4="الكل", A22=لوحة_القيادة!$C$4), 1, 0)</f>
        <v>0</v>
      </c>
      <c r="I22">
        <f>IF(H22=1, SUM($H$2:H22), "")</f>
        <v>0</v>
      </c>
    </row>
    <row r="23" spans="1:9">
      <c r="A23" s="2" t="s">
        <v>1</v>
      </c>
      <c r="B23" s="2" t="s">
        <v>56</v>
      </c>
      <c r="C23" s="2">
        <v>2503</v>
      </c>
      <c r="D23" s="2">
        <v>41.72</v>
      </c>
      <c r="E23" s="2">
        <v>75</v>
      </c>
      <c r="F23" s="2">
        <v>33.37</v>
      </c>
      <c r="G23" s="2" t="s">
        <v>33</v>
      </c>
      <c r="H23">
        <f>IF(OR(لوحة_القيادة!$C$4="الكل", A23=لوحة_القيادة!$C$4), 1, 0)</f>
        <v>0</v>
      </c>
      <c r="I23">
        <f>IF(H23=1, SUM($H$2:H23), "")</f>
        <v>0</v>
      </c>
    </row>
    <row r="24" spans="1:9">
      <c r="A24" s="2" t="s">
        <v>21</v>
      </c>
      <c r="B24" s="2" t="s">
        <v>57</v>
      </c>
      <c r="C24" s="2">
        <v>2355</v>
      </c>
      <c r="D24" s="2">
        <v>39.25</v>
      </c>
      <c r="E24" s="2">
        <v>67</v>
      </c>
      <c r="F24" s="2">
        <v>35.15</v>
      </c>
      <c r="G24" s="2" t="s">
        <v>33</v>
      </c>
      <c r="H24">
        <f>IF(OR(لوحة_القيادة!$C$4="الكل", A24=لوحة_القيادة!$C$4), 1, 0)</f>
        <v>0</v>
      </c>
      <c r="I24">
        <f>IF(H24=1, SUM($H$2:H24), "")</f>
        <v>0</v>
      </c>
    </row>
    <row r="25" spans="1:9">
      <c r="A25" s="2" t="s">
        <v>20</v>
      </c>
      <c r="B25" s="2" t="s">
        <v>58</v>
      </c>
      <c r="C25" s="2">
        <v>2354</v>
      </c>
      <c r="D25" s="2">
        <v>39.23</v>
      </c>
      <c r="E25" s="2">
        <v>64</v>
      </c>
      <c r="F25" s="2">
        <v>36.78</v>
      </c>
      <c r="G25" s="2" t="s">
        <v>33</v>
      </c>
      <c r="H25">
        <f>IF(OR(لوحة_القيادة!$C$4="الكل", A25=لوحة_القيادة!$C$4), 1, 0)</f>
        <v>0</v>
      </c>
      <c r="I25">
        <f>IF(H25=1, SUM($H$2:H25), "")</f>
        <v>0</v>
      </c>
    </row>
    <row r="26" spans="1:9">
      <c r="A26" s="2" t="s">
        <v>22</v>
      </c>
      <c r="B26" s="2" t="s">
        <v>59</v>
      </c>
      <c r="C26" s="2">
        <v>2004</v>
      </c>
      <c r="D26" s="2">
        <v>33.4</v>
      </c>
      <c r="E26" s="2">
        <v>50</v>
      </c>
      <c r="F26" s="2">
        <v>40.08</v>
      </c>
      <c r="G26" s="2" t="s">
        <v>60</v>
      </c>
      <c r="H26">
        <f>IF(OR(لوحة_القيادة!$C$4="الكل", A26=لوحة_القيادة!$C$4), 1, 0)</f>
        <v>0</v>
      </c>
      <c r="I26">
        <f>IF(H26=1, SUM($H$2:H26), "")</f>
        <v>0</v>
      </c>
    </row>
    <row r="27" spans="1:9">
      <c r="A27" s="2" t="s">
        <v>13</v>
      </c>
      <c r="B27" s="2" t="s">
        <v>61</v>
      </c>
      <c r="C27" s="2">
        <v>1884</v>
      </c>
      <c r="D27" s="2">
        <v>31.4</v>
      </c>
      <c r="E27" s="2">
        <v>62</v>
      </c>
      <c r="F27" s="2">
        <v>30.39</v>
      </c>
      <c r="G27" s="2" t="s">
        <v>33</v>
      </c>
      <c r="H27">
        <f>IF(OR(لوحة_القيادة!$C$4="الكل", A27=لوحة_القيادة!$C$4), 1, 0)</f>
        <v>0</v>
      </c>
      <c r="I27">
        <f>IF(H27=1, SUM($H$2:H27), "")</f>
        <v>0</v>
      </c>
    </row>
    <row r="28" spans="1:9">
      <c r="A28" s="2" t="s">
        <v>8</v>
      </c>
      <c r="B28" s="2" t="s">
        <v>62</v>
      </c>
      <c r="C28" s="2">
        <v>1855</v>
      </c>
      <c r="D28" s="2">
        <v>30.92</v>
      </c>
      <c r="E28" s="2">
        <v>2</v>
      </c>
      <c r="F28" s="2">
        <v>927.5</v>
      </c>
      <c r="G28" s="2" t="s">
        <v>63</v>
      </c>
      <c r="H28">
        <f>IF(OR(لوحة_القيادة!$C$4="الكل", A28=لوحة_القيادة!$C$4), 1, 0)</f>
        <v>0</v>
      </c>
      <c r="I28">
        <f>IF(H28=1, SUM($H$2:H28), "")</f>
        <v>0</v>
      </c>
    </row>
    <row r="29" spans="1:9">
      <c r="A29" s="2" t="s">
        <v>3</v>
      </c>
      <c r="B29" s="2" t="s">
        <v>64</v>
      </c>
      <c r="C29" s="2">
        <v>1706</v>
      </c>
      <c r="D29" s="2">
        <v>28.43</v>
      </c>
      <c r="E29" s="2">
        <v>68</v>
      </c>
      <c r="F29" s="2">
        <v>25.09</v>
      </c>
      <c r="G29" s="2" t="s">
        <v>33</v>
      </c>
      <c r="H29">
        <f>IF(OR(لوحة_القيادة!$C$4="الكل", A29=لوحة_القيادة!$C$4), 1, 0)</f>
        <v>0</v>
      </c>
      <c r="I29">
        <f>IF(H29=1, SUM($H$2:H29), "")</f>
        <v>0</v>
      </c>
    </row>
    <row r="30" spans="1:9">
      <c r="A30" s="2" t="s">
        <v>16</v>
      </c>
      <c r="B30" s="2" t="s">
        <v>65</v>
      </c>
      <c r="C30" s="2">
        <v>1690</v>
      </c>
      <c r="D30" s="2">
        <v>28.17</v>
      </c>
      <c r="E30" s="2">
        <v>63</v>
      </c>
      <c r="F30" s="2">
        <v>26.83</v>
      </c>
      <c r="G30" s="2" t="s">
        <v>33</v>
      </c>
      <c r="H30">
        <f>IF(OR(لوحة_القيادة!$C$4="الكل", A30=لوحة_القيادة!$C$4), 1, 0)</f>
        <v>0</v>
      </c>
      <c r="I30">
        <f>IF(H30=1, SUM($H$2:H30), "")</f>
        <v>0</v>
      </c>
    </row>
    <row r="31" spans="1:9">
      <c r="A31" s="2" t="s">
        <v>11</v>
      </c>
      <c r="B31" s="2" t="s">
        <v>66</v>
      </c>
      <c r="C31" s="2">
        <v>1658</v>
      </c>
      <c r="D31" s="2">
        <v>27.63</v>
      </c>
      <c r="E31" s="2">
        <v>14</v>
      </c>
      <c r="F31" s="2">
        <v>118.43</v>
      </c>
      <c r="G31" s="2" t="s">
        <v>33</v>
      </c>
      <c r="H31">
        <f>IF(OR(لوحة_القيادة!$C$4="الكل", A31=لوحة_القيادة!$C$4), 1, 0)</f>
        <v>0</v>
      </c>
      <c r="I31">
        <f>IF(H31=1, SUM($H$2:H31), "")</f>
        <v>0</v>
      </c>
    </row>
    <row r="32" spans="1:9">
      <c r="A32" s="2" t="s">
        <v>7</v>
      </c>
      <c r="B32" s="2" t="s">
        <v>67</v>
      </c>
      <c r="C32" s="2">
        <v>1649</v>
      </c>
      <c r="D32" s="2">
        <v>27.48</v>
      </c>
      <c r="E32" s="2">
        <v>83</v>
      </c>
      <c r="F32" s="2">
        <v>19.87</v>
      </c>
      <c r="G32" s="2" t="s">
        <v>33</v>
      </c>
      <c r="H32">
        <f>IF(OR(لوحة_القيادة!$C$4="الكل", A32=لوحة_القيادة!$C$4), 1, 0)</f>
        <v>0</v>
      </c>
      <c r="I32">
        <f>IF(H32=1, SUM($H$2:H32), "")</f>
        <v>0</v>
      </c>
    </row>
    <row r="33" spans="1:9">
      <c r="A33" s="2" t="s">
        <v>11</v>
      </c>
      <c r="B33" s="2" t="s">
        <v>68</v>
      </c>
      <c r="C33" s="2">
        <v>1629</v>
      </c>
      <c r="D33" s="2">
        <v>27.15</v>
      </c>
      <c r="E33" s="2">
        <v>38</v>
      </c>
      <c r="F33" s="2">
        <v>42.87</v>
      </c>
      <c r="G33" s="2" t="s">
        <v>33</v>
      </c>
      <c r="H33">
        <f>IF(OR(لوحة_القيادة!$C$4="الكل", A33=لوحة_القيادة!$C$4), 1, 0)</f>
        <v>0</v>
      </c>
      <c r="I33">
        <f>IF(H33=1, SUM($H$2:H33), "")</f>
        <v>0</v>
      </c>
    </row>
    <row r="34" spans="1:9">
      <c r="A34" s="2" t="s">
        <v>9</v>
      </c>
      <c r="B34" s="2" t="s">
        <v>69</v>
      </c>
      <c r="C34" s="2">
        <v>1621</v>
      </c>
      <c r="D34" s="2">
        <v>27.02</v>
      </c>
      <c r="E34" s="2">
        <v>43</v>
      </c>
      <c r="F34" s="2">
        <v>37.7</v>
      </c>
      <c r="G34" s="2" t="s">
        <v>33</v>
      </c>
      <c r="H34">
        <f>IF(OR(لوحة_القيادة!$C$4="الكل", A34=لوحة_القيادة!$C$4), 1, 0)</f>
        <v>0</v>
      </c>
      <c r="I34">
        <f>IF(H34=1, SUM($H$2:H34), "")</f>
        <v>0</v>
      </c>
    </row>
    <row r="35" spans="1:9">
      <c r="A35" s="2" t="s">
        <v>6</v>
      </c>
      <c r="B35" s="2" t="s">
        <v>70</v>
      </c>
      <c r="C35" s="2">
        <v>1573</v>
      </c>
      <c r="D35" s="2">
        <v>26.22</v>
      </c>
      <c r="E35" s="2">
        <v>64</v>
      </c>
      <c r="F35" s="2">
        <v>24.58</v>
      </c>
      <c r="G35" s="2" t="s">
        <v>33</v>
      </c>
      <c r="H35">
        <f>IF(OR(لوحة_القيادة!$C$4="الكل", A35=لوحة_القيادة!$C$4), 1, 0)</f>
        <v>0</v>
      </c>
      <c r="I35">
        <f>IF(H35=1, SUM($H$2:H35), "")</f>
        <v>0</v>
      </c>
    </row>
    <row r="36" spans="1:9">
      <c r="A36" s="2" t="s">
        <v>13</v>
      </c>
      <c r="B36" s="2" t="s">
        <v>71</v>
      </c>
      <c r="C36" s="2">
        <v>1556</v>
      </c>
      <c r="D36" s="2">
        <v>25.93</v>
      </c>
      <c r="E36" s="2">
        <v>99</v>
      </c>
      <c r="F36" s="2">
        <v>15.72</v>
      </c>
      <c r="G36" s="2" t="s">
        <v>33</v>
      </c>
      <c r="H36">
        <f>IF(OR(لوحة_القيادة!$C$4="الكل", A36=لوحة_القيادة!$C$4), 1, 0)</f>
        <v>0</v>
      </c>
      <c r="I36">
        <f>IF(H36=1, SUM($H$2:H36), "")</f>
        <v>0</v>
      </c>
    </row>
    <row r="37" spans="1:9">
      <c r="A37" s="2" t="s">
        <v>11</v>
      </c>
      <c r="B37" s="2" t="s">
        <v>72</v>
      </c>
      <c r="C37" s="2">
        <v>1427</v>
      </c>
      <c r="D37" s="2">
        <v>23.78</v>
      </c>
      <c r="E37" s="2">
        <v>11</v>
      </c>
      <c r="F37" s="2">
        <v>129.73</v>
      </c>
      <c r="G37" s="2" t="s">
        <v>73</v>
      </c>
      <c r="H37">
        <f>IF(OR(لوحة_القيادة!$C$4="الكل", A37=لوحة_القيادة!$C$4), 1, 0)</f>
        <v>0</v>
      </c>
      <c r="I37">
        <f>IF(H37=1, SUM($H$2:H37), "")</f>
        <v>0</v>
      </c>
    </row>
    <row r="38" spans="1:9">
      <c r="A38" s="2" t="s">
        <v>13</v>
      </c>
      <c r="B38" s="2" t="s">
        <v>74</v>
      </c>
      <c r="C38" s="2">
        <v>1420</v>
      </c>
      <c r="D38" s="2">
        <v>23.67</v>
      </c>
      <c r="E38" s="2">
        <v>61</v>
      </c>
      <c r="F38" s="2">
        <v>23.28</v>
      </c>
      <c r="G38" s="2" t="s">
        <v>33</v>
      </c>
      <c r="H38">
        <f>IF(OR(لوحة_القيادة!$C$4="الكل", A38=لوحة_القيادة!$C$4), 1, 0)</f>
        <v>0</v>
      </c>
      <c r="I38">
        <f>IF(H38=1, SUM($H$2:H38), "")</f>
        <v>0</v>
      </c>
    </row>
    <row r="39" spans="1:9">
      <c r="A39" s="2" t="s">
        <v>22</v>
      </c>
      <c r="B39" s="2" t="s">
        <v>75</v>
      </c>
      <c r="C39" s="2">
        <v>1396</v>
      </c>
      <c r="D39" s="2">
        <v>23.27</v>
      </c>
      <c r="E39" s="2">
        <v>38</v>
      </c>
      <c r="F39" s="2">
        <v>36.74</v>
      </c>
      <c r="G39" s="2" t="s">
        <v>33</v>
      </c>
      <c r="H39">
        <f>IF(OR(لوحة_القيادة!$C$4="الكل", A39=لوحة_القيادة!$C$4), 1, 0)</f>
        <v>0</v>
      </c>
      <c r="I39">
        <f>IF(H39=1, SUM($H$2:H39), "")</f>
        <v>0</v>
      </c>
    </row>
    <row r="40" spans="1:9">
      <c r="A40" s="2" t="s">
        <v>13</v>
      </c>
      <c r="B40" s="2" t="s">
        <v>76</v>
      </c>
      <c r="C40" s="2">
        <v>1269</v>
      </c>
      <c r="D40" s="2">
        <v>21.15</v>
      </c>
      <c r="E40" s="2">
        <v>94</v>
      </c>
      <c r="F40" s="2">
        <v>13.5</v>
      </c>
      <c r="G40" s="2" t="s">
        <v>33</v>
      </c>
      <c r="H40">
        <f>IF(OR(لوحة_القيادة!$C$4="الكل", A40=لوحة_القيادة!$C$4), 1, 0)</f>
        <v>0</v>
      </c>
      <c r="I40">
        <f>IF(H40=1, SUM($H$2:H40), "")</f>
        <v>0</v>
      </c>
    </row>
    <row r="41" spans="1:9">
      <c r="A41" s="2" t="s">
        <v>16</v>
      </c>
      <c r="B41" s="2" t="s">
        <v>77</v>
      </c>
      <c r="C41" s="2">
        <v>1241</v>
      </c>
      <c r="D41" s="2">
        <v>20.68</v>
      </c>
      <c r="E41" s="2">
        <v>34</v>
      </c>
      <c r="F41" s="2">
        <v>36.5</v>
      </c>
      <c r="G41" s="2" t="s">
        <v>33</v>
      </c>
      <c r="H41">
        <f>IF(OR(لوحة_القيادة!$C$4="الكل", A41=لوحة_القيادة!$C$4), 1, 0)</f>
        <v>0</v>
      </c>
      <c r="I41">
        <f>IF(H41=1, SUM($H$2:H41), "")</f>
        <v>0</v>
      </c>
    </row>
    <row r="42" spans="1:9">
      <c r="A42" s="2" t="s">
        <v>1</v>
      </c>
      <c r="B42" s="2" t="s">
        <v>78</v>
      </c>
      <c r="C42" s="2">
        <v>1228</v>
      </c>
      <c r="D42" s="2">
        <v>20.47</v>
      </c>
      <c r="E42" s="2">
        <v>60</v>
      </c>
      <c r="F42" s="2">
        <v>20.47</v>
      </c>
      <c r="G42" s="2" t="s">
        <v>33</v>
      </c>
      <c r="H42">
        <f>IF(OR(لوحة_القيادة!$C$4="الكل", A42=لوحة_القيادة!$C$4), 1, 0)</f>
        <v>0</v>
      </c>
      <c r="I42">
        <f>IF(H42=1, SUM($H$2:H42), "")</f>
        <v>0</v>
      </c>
    </row>
    <row r="43" spans="1:9">
      <c r="A43" s="2" t="s">
        <v>10</v>
      </c>
      <c r="B43" s="2" t="s">
        <v>79</v>
      </c>
      <c r="C43" s="2">
        <v>1224</v>
      </c>
      <c r="D43" s="2">
        <v>20.4</v>
      </c>
      <c r="E43" s="2">
        <v>19</v>
      </c>
      <c r="F43" s="2">
        <v>64.42</v>
      </c>
      <c r="G43" s="2" t="s">
        <v>80</v>
      </c>
      <c r="H43">
        <f>IF(OR(لوحة_القيادة!$C$4="الكل", A43=لوحة_القيادة!$C$4), 1, 0)</f>
        <v>0</v>
      </c>
      <c r="I43">
        <f>IF(H43=1, SUM($H$2:H43), "")</f>
        <v>0</v>
      </c>
    </row>
    <row r="44" spans="1:9">
      <c r="A44" s="2" t="s">
        <v>11</v>
      </c>
      <c r="B44" s="2" t="s">
        <v>81</v>
      </c>
      <c r="C44" s="2">
        <v>1221</v>
      </c>
      <c r="D44" s="2">
        <v>20.35</v>
      </c>
      <c r="E44" s="2">
        <v>55</v>
      </c>
      <c r="F44" s="2">
        <v>22.2</v>
      </c>
      <c r="G44" s="2" t="s">
        <v>82</v>
      </c>
      <c r="H44">
        <f>IF(OR(لوحة_القيادة!$C$4="الكل", A44=لوحة_القيادة!$C$4), 1, 0)</f>
        <v>0</v>
      </c>
      <c r="I44">
        <f>IF(H44=1, SUM($H$2:H44), "")</f>
        <v>0</v>
      </c>
    </row>
    <row r="45" spans="1:9">
      <c r="A45" s="2" t="s">
        <v>8</v>
      </c>
      <c r="B45" s="2" t="s">
        <v>83</v>
      </c>
      <c r="C45" s="2">
        <v>1187</v>
      </c>
      <c r="D45" s="2">
        <v>19.78</v>
      </c>
      <c r="E45" s="2">
        <v>54</v>
      </c>
      <c r="F45" s="2">
        <v>21.98</v>
      </c>
      <c r="G45" s="2" t="s">
        <v>33</v>
      </c>
      <c r="H45">
        <f>IF(OR(لوحة_القيادة!$C$4="الكل", A45=لوحة_القيادة!$C$4), 1, 0)</f>
        <v>0</v>
      </c>
      <c r="I45">
        <f>IF(H45=1, SUM($H$2:H45), "")</f>
        <v>0</v>
      </c>
    </row>
    <row r="46" spans="1:9">
      <c r="A46" s="2" t="s">
        <v>8</v>
      </c>
      <c r="B46" s="2" t="s">
        <v>84</v>
      </c>
      <c r="C46" s="2">
        <v>1167</v>
      </c>
      <c r="D46" s="2">
        <v>19.45</v>
      </c>
      <c r="E46" s="2">
        <v>3</v>
      </c>
      <c r="F46" s="2">
        <v>389</v>
      </c>
      <c r="G46" s="2" t="s">
        <v>63</v>
      </c>
      <c r="H46">
        <f>IF(OR(لوحة_القيادة!$C$4="الكل", A46=لوحة_القيادة!$C$4), 1, 0)</f>
        <v>0</v>
      </c>
      <c r="I46">
        <f>IF(H46=1, SUM($H$2:H46), "")</f>
        <v>0</v>
      </c>
    </row>
    <row r="47" spans="1:9">
      <c r="A47" s="2" t="s">
        <v>6</v>
      </c>
      <c r="B47" s="2" t="s">
        <v>85</v>
      </c>
      <c r="C47" s="2">
        <v>1130</v>
      </c>
      <c r="D47" s="2">
        <v>18.83</v>
      </c>
      <c r="E47" s="2">
        <v>86</v>
      </c>
      <c r="F47" s="2">
        <v>13.14</v>
      </c>
      <c r="G47" s="2" t="s">
        <v>33</v>
      </c>
      <c r="H47">
        <f>IF(OR(لوحة_القيادة!$C$4="الكل", A47=لوحة_القيادة!$C$4), 1, 0)</f>
        <v>0</v>
      </c>
      <c r="I47">
        <f>IF(H47=1, SUM($H$2:H47), "")</f>
        <v>0</v>
      </c>
    </row>
    <row r="48" spans="1:9">
      <c r="A48" s="2" t="s">
        <v>21</v>
      </c>
      <c r="B48" s="2" t="s">
        <v>86</v>
      </c>
      <c r="C48" s="2">
        <v>1119</v>
      </c>
      <c r="D48" s="2">
        <v>18.65</v>
      </c>
      <c r="E48" s="2">
        <v>51</v>
      </c>
      <c r="F48" s="2">
        <v>21.94</v>
      </c>
      <c r="G48" s="2" t="s">
        <v>33</v>
      </c>
      <c r="H48">
        <f>IF(OR(لوحة_القيادة!$C$4="الكل", A48=لوحة_القيادة!$C$4), 1, 0)</f>
        <v>0</v>
      </c>
      <c r="I48">
        <f>IF(H48=1, SUM($H$2:H48), "")</f>
        <v>0</v>
      </c>
    </row>
    <row r="49" spans="1:9">
      <c r="A49" s="2" t="s">
        <v>13</v>
      </c>
      <c r="B49" s="2" t="s">
        <v>87</v>
      </c>
      <c r="C49" s="2">
        <v>1117</v>
      </c>
      <c r="D49" s="2">
        <v>18.62</v>
      </c>
      <c r="E49" s="2">
        <v>89</v>
      </c>
      <c r="F49" s="2">
        <v>12.55</v>
      </c>
      <c r="G49" s="2" t="s">
        <v>33</v>
      </c>
      <c r="H49">
        <f>IF(OR(لوحة_القيادة!$C$4="الكل", A49=لوحة_القيادة!$C$4), 1, 0)</f>
        <v>0</v>
      </c>
      <c r="I49">
        <f>IF(H49=1, SUM($H$2:H49), "")</f>
        <v>0</v>
      </c>
    </row>
    <row r="50" spans="1:9">
      <c r="A50" s="2" t="s">
        <v>13</v>
      </c>
      <c r="B50" s="2" t="s">
        <v>88</v>
      </c>
      <c r="C50" s="2">
        <v>1115</v>
      </c>
      <c r="D50" s="2">
        <v>18.58</v>
      </c>
      <c r="E50" s="2">
        <v>52</v>
      </c>
      <c r="F50" s="2">
        <v>21.44</v>
      </c>
      <c r="G50" s="2" t="s">
        <v>33</v>
      </c>
      <c r="H50">
        <f>IF(OR(لوحة_القيادة!$C$4="الكل", A50=لوحة_القيادة!$C$4), 1, 0)</f>
        <v>0</v>
      </c>
      <c r="I50">
        <f>IF(H50=1, SUM($H$2:H50), "")</f>
        <v>0</v>
      </c>
    </row>
    <row r="51" spans="1:9">
      <c r="A51" s="2" t="s">
        <v>11</v>
      </c>
      <c r="B51" s="2" t="s">
        <v>89</v>
      </c>
      <c r="C51" s="2">
        <v>1111</v>
      </c>
      <c r="D51" s="2">
        <v>18.52</v>
      </c>
      <c r="E51" s="2">
        <v>28</v>
      </c>
      <c r="F51" s="2">
        <v>39.68</v>
      </c>
      <c r="G51" s="2" t="s">
        <v>33</v>
      </c>
      <c r="H51">
        <f>IF(OR(لوحة_القيادة!$C$4="الكل", A51=لوحة_القيادة!$C$4), 1, 0)</f>
        <v>0</v>
      </c>
      <c r="I51">
        <f>IF(H51=1, SUM($H$2:H51), "")</f>
        <v>0</v>
      </c>
    </row>
    <row r="52" spans="1:9">
      <c r="A52" s="2" t="s">
        <v>18</v>
      </c>
      <c r="B52" s="2" t="s">
        <v>90</v>
      </c>
      <c r="C52" s="2">
        <v>1104</v>
      </c>
      <c r="D52" s="2">
        <v>18.4</v>
      </c>
      <c r="E52" s="2">
        <v>5</v>
      </c>
      <c r="F52" s="2">
        <v>220.8</v>
      </c>
      <c r="G52" s="2" t="s">
        <v>91</v>
      </c>
      <c r="H52">
        <f>IF(OR(لوحة_القيادة!$C$4="الكل", A52=لوحة_القيادة!$C$4), 1, 0)</f>
        <v>0</v>
      </c>
      <c r="I52">
        <f>IF(H52=1, SUM($H$2:H52), "")</f>
        <v>0</v>
      </c>
    </row>
    <row r="53" spans="1:9">
      <c r="A53" s="2" t="s">
        <v>16</v>
      </c>
      <c r="B53" s="2" t="s">
        <v>92</v>
      </c>
      <c r="C53" s="2">
        <v>1088</v>
      </c>
      <c r="D53" s="2">
        <v>18.13</v>
      </c>
      <c r="E53" s="2">
        <v>30</v>
      </c>
      <c r="F53" s="2">
        <v>36.27</v>
      </c>
      <c r="G53" s="2" t="s">
        <v>33</v>
      </c>
      <c r="H53">
        <f>IF(OR(لوحة_القيادة!$C$4="الكل", A53=لوحة_القيادة!$C$4), 1, 0)</f>
        <v>0</v>
      </c>
      <c r="I53">
        <f>IF(H53=1, SUM($H$2:H53), "")</f>
        <v>0</v>
      </c>
    </row>
    <row r="54" spans="1:9">
      <c r="A54" s="2" t="s">
        <v>7</v>
      </c>
      <c r="B54" s="2" t="s">
        <v>93</v>
      </c>
      <c r="C54" s="2">
        <v>1081</v>
      </c>
      <c r="D54" s="2">
        <v>18.02</v>
      </c>
      <c r="E54" s="2">
        <v>43</v>
      </c>
      <c r="F54" s="2">
        <v>25.14</v>
      </c>
      <c r="G54" s="2" t="s">
        <v>33</v>
      </c>
      <c r="H54">
        <f>IF(OR(لوحة_القيادة!$C$4="الكل", A54=لوحة_القيادة!$C$4), 1, 0)</f>
        <v>0</v>
      </c>
      <c r="I54">
        <f>IF(H54=1, SUM($H$2:H54), "")</f>
        <v>0</v>
      </c>
    </row>
    <row r="55" spans="1:9">
      <c r="A55" s="2" t="s">
        <v>21</v>
      </c>
      <c r="B55" s="2" t="s">
        <v>94</v>
      </c>
      <c r="C55" s="2">
        <v>1078</v>
      </c>
      <c r="D55" s="2">
        <v>17.97</v>
      </c>
      <c r="E55" s="2">
        <v>62</v>
      </c>
      <c r="F55" s="2">
        <v>17.39</v>
      </c>
      <c r="G55" s="2" t="s">
        <v>33</v>
      </c>
      <c r="H55">
        <f>IF(OR(لوحة_القيادة!$C$4="الكل", A55=لوحة_القيادة!$C$4), 1, 0)</f>
        <v>0</v>
      </c>
      <c r="I55">
        <f>IF(H55=1, SUM($H$2:H55), "")</f>
        <v>0</v>
      </c>
    </row>
    <row r="56" spans="1:9">
      <c r="A56" s="2" t="s">
        <v>22</v>
      </c>
      <c r="B56" s="2" t="s">
        <v>95</v>
      </c>
      <c r="C56" s="2">
        <v>1029</v>
      </c>
      <c r="D56" s="2">
        <v>17.15</v>
      </c>
      <c r="E56" s="2">
        <v>70</v>
      </c>
      <c r="F56" s="2">
        <v>14.7</v>
      </c>
      <c r="G56" s="2" t="s">
        <v>33</v>
      </c>
      <c r="H56">
        <f>IF(OR(لوحة_القيادة!$C$4="الكل", A56=لوحة_القيادة!$C$4), 1, 0)</f>
        <v>0</v>
      </c>
      <c r="I56">
        <f>IF(H56=1, SUM($H$2:H56), "")</f>
        <v>0</v>
      </c>
    </row>
    <row r="57" spans="1:9">
      <c r="A57" s="2" t="s">
        <v>11</v>
      </c>
      <c r="B57" s="2" t="s">
        <v>96</v>
      </c>
      <c r="C57" s="2">
        <v>1028</v>
      </c>
      <c r="D57" s="2">
        <v>17.13</v>
      </c>
      <c r="E57" s="2">
        <v>35</v>
      </c>
      <c r="F57" s="2">
        <v>29.37</v>
      </c>
      <c r="G57" s="2" t="s">
        <v>33</v>
      </c>
      <c r="H57">
        <f>IF(OR(لوحة_القيادة!$C$4="الكل", A57=لوحة_القيادة!$C$4), 1, 0)</f>
        <v>0</v>
      </c>
      <c r="I57">
        <f>IF(H57=1, SUM($H$2:H57), "")</f>
        <v>0</v>
      </c>
    </row>
    <row r="58" spans="1:9">
      <c r="A58" s="2" t="s">
        <v>17</v>
      </c>
      <c r="B58" s="2" t="s">
        <v>97</v>
      </c>
      <c r="C58" s="2">
        <v>1015</v>
      </c>
      <c r="D58" s="2">
        <v>16.92</v>
      </c>
      <c r="E58" s="2">
        <v>25</v>
      </c>
      <c r="F58" s="2">
        <v>40.6</v>
      </c>
      <c r="G58" s="2" t="s">
        <v>33</v>
      </c>
      <c r="H58">
        <f>IF(OR(لوحة_القيادة!$C$4="الكل", A58=لوحة_القيادة!$C$4), 1, 0)</f>
        <v>0</v>
      </c>
      <c r="I58">
        <f>IF(H58=1, SUM($H$2:H58), "")</f>
        <v>0</v>
      </c>
    </row>
    <row r="59" spans="1:9">
      <c r="A59" s="2" t="s">
        <v>18</v>
      </c>
      <c r="B59" s="2" t="s">
        <v>98</v>
      </c>
      <c r="C59" s="2">
        <v>977</v>
      </c>
      <c r="D59" s="2">
        <v>16.28</v>
      </c>
      <c r="E59" s="2">
        <v>36</v>
      </c>
      <c r="F59" s="2">
        <v>27.14</v>
      </c>
      <c r="G59" s="2" t="s">
        <v>33</v>
      </c>
      <c r="H59">
        <f>IF(OR(لوحة_القيادة!$C$4="الكل", A59=لوحة_القيادة!$C$4), 1, 0)</f>
        <v>0</v>
      </c>
      <c r="I59">
        <f>IF(H59=1, SUM($H$2:H59), "")</f>
        <v>0</v>
      </c>
    </row>
    <row r="60" spans="1:9">
      <c r="A60" s="2" t="s">
        <v>13</v>
      </c>
      <c r="B60" s="2" t="s">
        <v>99</v>
      </c>
      <c r="C60" s="2">
        <v>976</v>
      </c>
      <c r="D60" s="2">
        <v>16.27</v>
      </c>
      <c r="E60" s="2">
        <v>30</v>
      </c>
      <c r="F60" s="2">
        <v>32.53</v>
      </c>
      <c r="G60" s="2" t="s">
        <v>33</v>
      </c>
      <c r="H60">
        <f>IF(OR(لوحة_القيادة!$C$4="الكل", A60=لوحة_القيادة!$C$4), 1, 0)</f>
        <v>0</v>
      </c>
      <c r="I60">
        <f>IF(H60=1, SUM($H$2:H60), "")</f>
        <v>0</v>
      </c>
    </row>
    <row r="61" spans="1:9">
      <c r="A61" s="2" t="s">
        <v>22</v>
      </c>
      <c r="B61" s="2" t="s">
        <v>100</v>
      </c>
      <c r="C61" s="2">
        <v>933</v>
      </c>
      <c r="D61" s="2">
        <v>15.55</v>
      </c>
      <c r="E61" s="2">
        <v>50</v>
      </c>
      <c r="F61" s="2">
        <v>18.66</v>
      </c>
      <c r="G61" s="2" t="s">
        <v>33</v>
      </c>
      <c r="H61">
        <f>IF(OR(لوحة_القيادة!$C$4="الكل", A61=لوحة_القيادة!$C$4), 1, 0)</f>
        <v>0</v>
      </c>
      <c r="I61">
        <f>IF(H61=1, SUM($H$2:H61), "")</f>
        <v>0</v>
      </c>
    </row>
    <row r="62" spans="1:9">
      <c r="A62" s="2" t="s">
        <v>16</v>
      </c>
      <c r="B62" s="2" t="s">
        <v>101</v>
      </c>
      <c r="C62" s="2">
        <v>926</v>
      </c>
      <c r="D62" s="2">
        <v>15.43</v>
      </c>
      <c r="E62" s="2">
        <v>54</v>
      </c>
      <c r="F62" s="2">
        <v>17.15</v>
      </c>
      <c r="G62" s="2" t="s">
        <v>33</v>
      </c>
      <c r="H62">
        <f>IF(OR(لوحة_القيادة!$C$4="الكل", A62=لوحة_القيادة!$C$4), 1, 0)</f>
        <v>0</v>
      </c>
      <c r="I62">
        <f>IF(H62=1, SUM($H$2:H62), "")</f>
        <v>0</v>
      </c>
    </row>
    <row r="63" spans="1:9">
      <c r="A63" s="2" t="s">
        <v>3</v>
      </c>
      <c r="B63" s="2" t="s">
        <v>102</v>
      </c>
      <c r="C63" s="2">
        <v>885</v>
      </c>
      <c r="D63" s="2">
        <v>14.75</v>
      </c>
      <c r="E63" s="2">
        <v>45</v>
      </c>
      <c r="F63" s="2">
        <v>19.67</v>
      </c>
      <c r="G63" s="2" t="s">
        <v>33</v>
      </c>
      <c r="H63">
        <f>IF(OR(لوحة_القيادة!$C$4="الكل", A63=لوحة_القيادة!$C$4), 1, 0)</f>
        <v>0</v>
      </c>
      <c r="I63">
        <f>IF(H63=1, SUM($H$2:H63), "")</f>
        <v>0</v>
      </c>
    </row>
    <row r="64" spans="1:9">
      <c r="A64" s="2" t="s">
        <v>13</v>
      </c>
      <c r="B64" s="2" t="s">
        <v>103</v>
      </c>
      <c r="C64" s="2">
        <v>863</v>
      </c>
      <c r="D64" s="2">
        <v>14.38</v>
      </c>
      <c r="E64" s="2">
        <v>6</v>
      </c>
      <c r="F64" s="2">
        <v>143.83</v>
      </c>
      <c r="G64" s="2" t="s">
        <v>104</v>
      </c>
      <c r="H64">
        <f>IF(OR(لوحة_القيادة!$C$4="الكل", A64=لوحة_القيادة!$C$4), 1, 0)</f>
        <v>0</v>
      </c>
      <c r="I64">
        <f>IF(H64=1, SUM($H$2:H64), "")</f>
        <v>0</v>
      </c>
    </row>
    <row r="65" spans="1:9">
      <c r="A65" s="2" t="s">
        <v>13</v>
      </c>
      <c r="B65" s="2" t="s">
        <v>105</v>
      </c>
      <c r="C65" s="2">
        <v>853</v>
      </c>
      <c r="D65" s="2">
        <v>14.22</v>
      </c>
      <c r="E65" s="2">
        <v>56</v>
      </c>
      <c r="F65" s="2">
        <v>15.23</v>
      </c>
      <c r="G65" s="2" t="s">
        <v>33</v>
      </c>
      <c r="H65">
        <f>IF(OR(لوحة_القيادة!$C$4="الكل", A65=لوحة_القيادة!$C$4), 1, 0)</f>
        <v>0</v>
      </c>
      <c r="I65">
        <f>IF(H65=1, SUM($H$2:H65), "")</f>
        <v>0</v>
      </c>
    </row>
    <row r="66" spans="1:9">
      <c r="A66" s="2" t="s">
        <v>22</v>
      </c>
      <c r="B66" s="2" t="s">
        <v>106</v>
      </c>
      <c r="C66" s="2">
        <v>850</v>
      </c>
      <c r="D66" s="2">
        <v>14.17</v>
      </c>
      <c r="E66" s="2">
        <v>23</v>
      </c>
      <c r="F66" s="2">
        <v>36.96</v>
      </c>
      <c r="G66" s="2" t="s">
        <v>33</v>
      </c>
      <c r="H66">
        <f>IF(OR(لوحة_القيادة!$C$4="الكل", A66=لوحة_القيادة!$C$4), 1, 0)</f>
        <v>0</v>
      </c>
      <c r="I66">
        <f>IF(H66=1, SUM($H$2:H66), "")</f>
        <v>0</v>
      </c>
    </row>
    <row r="67" spans="1:9">
      <c r="A67" s="2" t="s">
        <v>13</v>
      </c>
      <c r="B67" s="2" t="s">
        <v>107</v>
      </c>
      <c r="C67" s="2">
        <v>832</v>
      </c>
      <c r="D67" s="2">
        <v>13.87</v>
      </c>
      <c r="E67" s="2">
        <v>62</v>
      </c>
      <c r="F67" s="2">
        <v>13.42</v>
      </c>
      <c r="G67" s="2" t="s">
        <v>33</v>
      </c>
      <c r="H67">
        <f>IF(OR(لوحة_القيادة!$C$4="الكل", A67=لوحة_القيادة!$C$4), 1, 0)</f>
        <v>0</v>
      </c>
      <c r="I67">
        <f>IF(H67=1, SUM($H$2:H67), "")</f>
        <v>0</v>
      </c>
    </row>
    <row r="68" spans="1:9">
      <c r="A68" s="2" t="s">
        <v>3</v>
      </c>
      <c r="B68" s="2" t="s">
        <v>108</v>
      </c>
      <c r="C68" s="2">
        <v>827</v>
      </c>
      <c r="D68" s="2">
        <v>13.78</v>
      </c>
      <c r="E68" s="2">
        <v>61</v>
      </c>
      <c r="F68" s="2">
        <v>13.56</v>
      </c>
      <c r="G68" s="2" t="s">
        <v>33</v>
      </c>
      <c r="H68">
        <f>IF(OR(لوحة_القيادة!$C$4="الكل", A68=لوحة_القيادة!$C$4), 1, 0)</f>
        <v>0</v>
      </c>
      <c r="I68">
        <f>IF(H68=1, SUM($H$2:H68), "")</f>
        <v>0</v>
      </c>
    </row>
    <row r="69" spans="1:9">
      <c r="A69" s="2" t="s">
        <v>6</v>
      </c>
      <c r="B69" s="2" t="s">
        <v>109</v>
      </c>
      <c r="C69" s="2">
        <v>817</v>
      </c>
      <c r="D69" s="2">
        <v>13.62</v>
      </c>
      <c r="E69" s="2">
        <v>51</v>
      </c>
      <c r="F69" s="2">
        <v>16.02</v>
      </c>
      <c r="G69" s="2" t="s">
        <v>33</v>
      </c>
      <c r="H69">
        <f>IF(OR(لوحة_القيادة!$C$4="الكل", A69=لوحة_القيادة!$C$4), 1, 0)</f>
        <v>0</v>
      </c>
      <c r="I69">
        <f>IF(H69=1, SUM($H$2:H69), "")</f>
        <v>0</v>
      </c>
    </row>
    <row r="70" spans="1:9">
      <c r="A70" s="2" t="s">
        <v>16</v>
      </c>
      <c r="B70" s="2" t="s">
        <v>110</v>
      </c>
      <c r="C70" s="2">
        <v>808</v>
      </c>
      <c r="D70" s="2">
        <v>13.47</v>
      </c>
      <c r="E70" s="2">
        <v>24</v>
      </c>
      <c r="F70" s="2">
        <v>33.67</v>
      </c>
      <c r="G70" s="2" t="s">
        <v>33</v>
      </c>
      <c r="H70">
        <f>IF(OR(لوحة_القيادة!$C$4="الكل", A70=لوحة_القيادة!$C$4), 1, 0)</f>
        <v>0</v>
      </c>
      <c r="I70">
        <f>IF(H70=1, SUM($H$2:H70), "")</f>
        <v>0</v>
      </c>
    </row>
    <row r="71" spans="1:9">
      <c r="A71" s="2" t="s">
        <v>16</v>
      </c>
      <c r="B71" s="2" t="s">
        <v>111</v>
      </c>
      <c r="C71" s="2">
        <v>791</v>
      </c>
      <c r="D71" s="2">
        <v>13.18</v>
      </c>
      <c r="E71" s="2">
        <v>14</v>
      </c>
      <c r="F71" s="2">
        <v>56.5</v>
      </c>
      <c r="G71" s="2" t="s">
        <v>112</v>
      </c>
      <c r="H71">
        <f>IF(OR(لوحة_القيادة!$C$4="الكل", A71=لوحة_القيادة!$C$4), 1, 0)</f>
        <v>0</v>
      </c>
      <c r="I71">
        <f>IF(H71=1, SUM($H$2:H71), "")</f>
        <v>0</v>
      </c>
    </row>
    <row r="72" spans="1:9">
      <c r="A72" s="2" t="s">
        <v>1</v>
      </c>
      <c r="B72" s="2" t="s">
        <v>113</v>
      </c>
      <c r="C72" s="2">
        <v>776</v>
      </c>
      <c r="D72" s="2">
        <v>12.93</v>
      </c>
      <c r="E72" s="2">
        <v>48</v>
      </c>
      <c r="F72" s="2">
        <v>16.17</v>
      </c>
      <c r="G72" s="2" t="s">
        <v>33</v>
      </c>
      <c r="H72">
        <f>IF(OR(لوحة_القيادة!$C$4="الكل", A72=لوحة_القيادة!$C$4), 1, 0)</f>
        <v>0</v>
      </c>
      <c r="I72">
        <f>IF(H72=1, SUM($H$2:H72), "")</f>
        <v>0</v>
      </c>
    </row>
    <row r="73" spans="1:9">
      <c r="A73" s="2" t="s">
        <v>2</v>
      </c>
      <c r="B73" s="2" t="s">
        <v>114</v>
      </c>
      <c r="C73" s="2">
        <v>772</v>
      </c>
      <c r="D73" s="2">
        <v>12.87</v>
      </c>
      <c r="E73" s="2">
        <v>58</v>
      </c>
      <c r="F73" s="2">
        <v>13.31</v>
      </c>
      <c r="G73" s="2" t="s">
        <v>33</v>
      </c>
      <c r="H73">
        <f>IF(OR(لوحة_القيادة!$C$4="الكل", A73=لوحة_القيادة!$C$4), 1, 0)</f>
        <v>0</v>
      </c>
      <c r="I73">
        <f>IF(H73=1, SUM($H$2:H73), "")</f>
        <v>0</v>
      </c>
    </row>
    <row r="74" spans="1:9">
      <c r="A74" s="2" t="s">
        <v>6</v>
      </c>
      <c r="B74" s="2" t="s">
        <v>115</v>
      </c>
      <c r="C74" s="2">
        <v>769</v>
      </c>
      <c r="D74" s="2">
        <v>12.82</v>
      </c>
      <c r="E74" s="2">
        <v>67</v>
      </c>
      <c r="F74" s="2">
        <v>11.48</v>
      </c>
      <c r="G74" s="2" t="s">
        <v>33</v>
      </c>
      <c r="H74">
        <f>IF(OR(لوحة_القيادة!$C$4="الكل", A74=لوحة_القيادة!$C$4), 1, 0)</f>
        <v>0</v>
      </c>
      <c r="I74">
        <f>IF(H74=1, SUM($H$2:H74), "")</f>
        <v>0</v>
      </c>
    </row>
    <row r="75" spans="1:9">
      <c r="A75" s="2" t="s">
        <v>13</v>
      </c>
      <c r="B75" s="2" t="s">
        <v>116</v>
      </c>
      <c r="C75" s="2">
        <v>765</v>
      </c>
      <c r="D75" s="2">
        <v>12.75</v>
      </c>
      <c r="E75" s="2">
        <v>43</v>
      </c>
      <c r="F75" s="2">
        <v>17.79</v>
      </c>
      <c r="G75" s="2" t="s">
        <v>33</v>
      </c>
      <c r="H75">
        <f>IF(OR(لوحة_القيادة!$C$4="الكل", A75=لوحة_القيادة!$C$4), 1, 0)</f>
        <v>0</v>
      </c>
      <c r="I75">
        <f>IF(H75=1, SUM($H$2:H75), "")</f>
        <v>0</v>
      </c>
    </row>
    <row r="76" spans="1:9">
      <c r="A76" s="2" t="s">
        <v>1</v>
      </c>
      <c r="B76" s="2" t="s">
        <v>117</v>
      </c>
      <c r="C76" s="2">
        <v>750</v>
      </c>
      <c r="D76" s="2">
        <v>12.5</v>
      </c>
      <c r="E76" s="2">
        <v>41</v>
      </c>
      <c r="F76" s="2">
        <v>18.29</v>
      </c>
      <c r="G76" s="2" t="s">
        <v>33</v>
      </c>
      <c r="H76">
        <f>IF(OR(لوحة_القيادة!$C$4="الكل", A76=لوحة_القيادة!$C$4), 1, 0)</f>
        <v>0</v>
      </c>
      <c r="I76">
        <f>IF(H76=1, SUM($H$2:H76), "")</f>
        <v>0</v>
      </c>
    </row>
    <row r="77" spans="1:9">
      <c r="A77" s="2" t="s">
        <v>7</v>
      </c>
      <c r="B77" s="2" t="s">
        <v>118</v>
      </c>
      <c r="C77" s="2">
        <v>737</v>
      </c>
      <c r="D77" s="2">
        <v>12.28</v>
      </c>
      <c r="E77" s="2">
        <v>20</v>
      </c>
      <c r="F77" s="2">
        <v>36.85</v>
      </c>
      <c r="G77" s="2" t="s">
        <v>33</v>
      </c>
      <c r="H77">
        <f>IF(OR(لوحة_القيادة!$C$4="الكل", A77=لوحة_القيادة!$C$4), 1, 0)</f>
        <v>0</v>
      </c>
      <c r="I77">
        <f>IF(H77=1, SUM($H$2:H77), "")</f>
        <v>0</v>
      </c>
    </row>
    <row r="78" spans="1:9">
      <c r="A78" s="2" t="s">
        <v>22</v>
      </c>
      <c r="B78" s="2" t="s">
        <v>119</v>
      </c>
      <c r="C78" s="2">
        <v>725</v>
      </c>
      <c r="D78" s="2">
        <v>12.08</v>
      </c>
      <c r="E78" s="2">
        <v>60</v>
      </c>
      <c r="F78" s="2">
        <v>12.08</v>
      </c>
      <c r="G78" s="2" t="s">
        <v>33</v>
      </c>
      <c r="H78">
        <f>IF(OR(لوحة_القيادة!$C$4="الكل", A78=لوحة_القيادة!$C$4), 1, 0)</f>
        <v>0</v>
      </c>
      <c r="I78">
        <f>IF(H78=1, SUM($H$2:H78), "")</f>
        <v>0</v>
      </c>
    </row>
    <row r="79" spans="1:9">
      <c r="A79" s="2" t="s">
        <v>11</v>
      </c>
      <c r="B79" s="2" t="s">
        <v>120</v>
      </c>
      <c r="C79" s="2">
        <v>723</v>
      </c>
      <c r="D79" s="2">
        <v>12.05</v>
      </c>
      <c r="E79" s="2">
        <v>24</v>
      </c>
      <c r="F79" s="2">
        <v>30.12</v>
      </c>
      <c r="G79" s="2" t="s">
        <v>60</v>
      </c>
      <c r="H79">
        <f>IF(OR(لوحة_القيادة!$C$4="الكل", A79=لوحة_القيادة!$C$4), 1, 0)</f>
        <v>0</v>
      </c>
      <c r="I79">
        <f>IF(H79=1, SUM($H$2:H79), "")</f>
        <v>0</v>
      </c>
    </row>
    <row r="80" spans="1:9">
      <c r="A80" s="2" t="s">
        <v>11</v>
      </c>
      <c r="B80" s="2" t="s">
        <v>121</v>
      </c>
      <c r="C80" s="2">
        <v>720</v>
      </c>
      <c r="D80" s="2">
        <v>12</v>
      </c>
      <c r="E80" s="2">
        <v>13</v>
      </c>
      <c r="F80" s="2">
        <v>55.38</v>
      </c>
      <c r="G80" s="2" t="s">
        <v>33</v>
      </c>
      <c r="H80">
        <f>IF(OR(لوحة_القيادة!$C$4="الكل", A80=لوحة_القيادة!$C$4), 1, 0)</f>
        <v>0</v>
      </c>
      <c r="I80">
        <f>IF(H80=1, SUM($H$2:H80), "")</f>
        <v>0</v>
      </c>
    </row>
    <row r="81" spans="1:9">
      <c r="A81" s="2" t="s">
        <v>11</v>
      </c>
      <c r="B81" s="2" t="s">
        <v>122</v>
      </c>
      <c r="C81" s="2">
        <v>715</v>
      </c>
      <c r="D81" s="2">
        <v>11.92</v>
      </c>
      <c r="E81" s="2">
        <v>49</v>
      </c>
      <c r="F81" s="2">
        <v>14.59</v>
      </c>
      <c r="G81" s="2" t="s">
        <v>82</v>
      </c>
      <c r="H81">
        <f>IF(OR(لوحة_القيادة!$C$4="الكل", A81=لوحة_القيادة!$C$4), 1, 0)</f>
        <v>0</v>
      </c>
      <c r="I81">
        <f>IF(H81=1, SUM($H$2:H81), "")</f>
        <v>0</v>
      </c>
    </row>
    <row r="82" spans="1:9">
      <c r="A82" s="2" t="s">
        <v>11</v>
      </c>
      <c r="B82" s="2" t="s">
        <v>123</v>
      </c>
      <c r="C82" s="2">
        <v>708</v>
      </c>
      <c r="D82" s="2">
        <v>11.8</v>
      </c>
      <c r="E82" s="2">
        <v>40</v>
      </c>
      <c r="F82" s="2">
        <v>17.7</v>
      </c>
      <c r="G82" s="2" t="s">
        <v>33</v>
      </c>
      <c r="H82">
        <f>IF(OR(لوحة_القيادة!$C$4="الكل", A82=لوحة_القيادة!$C$4), 1, 0)</f>
        <v>0</v>
      </c>
      <c r="I82">
        <f>IF(H82=1, SUM($H$2:H82), "")</f>
        <v>0</v>
      </c>
    </row>
    <row r="83" spans="1:9">
      <c r="A83" s="2" t="s">
        <v>15</v>
      </c>
      <c r="B83" s="2" t="s">
        <v>124</v>
      </c>
      <c r="C83" s="2">
        <v>660</v>
      </c>
      <c r="D83" s="2">
        <v>11</v>
      </c>
      <c r="E83" s="2">
        <v>23</v>
      </c>
      <c r="F83" s="2">
        <v>28.7</v>
      </c>
      <c r="G83" s="2" t="s">
        <v>33</v>
      </c>
      <c r="H83">
        <f>IF(OR(لوحة_القيادة!$C$4="الكل", A83=لوحة_القيادة!$C$4), 1, 0)</f>
        <v>0</v>
      </c>
      <c r="I83">
        <f>IF(H83=1, SUM($H$2:H83), "")</f>
        <v>0</v>
      </c>
    </row>
    <row r="84" spans="1:9">
      <c r="A84" s="2" t="s">
        <v>2</v>
      </c>
      <c r="B84" s="2" t="s">
        <v>125</v>
      </c>
      <c r="C84" s="2">
        <v>659</v>
      </c>
      <c r="D84" s="2">
        <v>10.98</v>
      </c>
      <c r="E84" s="2">
        <v>48</v>
      </c>
      <c r="F84" s="2">
        <v>13.73</v>
      </c>
      <c r="G84" s="2" t="s">
        <v>33</v>
      </c>
      <c r="H84">
        <f>IF(OR(لوحة_القيادة!$C$4="الكل", A84=لوحة_القيادة!$C$4), 1, 0)</f>
        <v>0</v>
      </c>
      <c r="I84">
        <f>IF(H84=1, SUM($H$2:H84), "")</f>
        <v>0</v>
      </c>
    </row>
    <row r="85" spans="1:9">
      <c r="A85" s="2" t="s">
        <v>7</v>
      </c>
      <c r="B85" s="2" t="s">
        <v>126</v>
      </c>
      <c r="C85" s="2">
        <v>658</v>
      </c>
      <c r="D85" s="2">
        <v>10.97</v>
      </c>
      <c r="E85" s="2">
        <v>31</v>
      </c>
      <c r="F85" s="2">
        <v>21.23</v>
      </c>
      <c r="G85" s="2" t="s">
        <v>55</v>
      </c>
      <c r="H85">
        <f>IF(OR(لوحة_القيادة!$C$4="الكل", A85=لوحة_القيادة!$C$4), 1, 0)</f>
        <v>0</v>
      </c>
      <c r="I85">
        <f>IF(H85=1, SUM($H$2:H85), "")</f>
        <v>0</v>
      </c>
    </row>
    <row r="86" spans="1:9">
      <c r="A86" s="2" t="s">
        <v>13</v>
      </c>
      <c r="B86" s="2" t="s">
        <v>127</v>
      </c>
      <c r="C86" s="2">
        <v>647</v>
      </c>
      <c r="D86" s="2">
        <v>10.78</v>
      </c>
      <c r="E86" s="2">
        <v>41</v>
      </c>
      <c r="F86" s="2">
        <v>15.78</v>
      </c>
      <c r="G86" s="2" t="s">
        <v>33</v>
      </c>
      <c r="H86">
        <f>IF(OR(لوحة_القيادة!$C$4="الكل", A86=لوحة_القيادة!$C$4), 1, 0)</f>
        <v>0</v>
      </c>
      <c r="I86">
        <f>IF(H86=1, SUM($H$2:H86), "")</f>
        <v>0</v>
      </c>
    </row>
    <row r="87" spans="1:9">
      <c r="A87" s="2" t="s">
        <v>20</v>
      </c>
      <c r="B87" s="2" t="s">
        <v>128</v>
      </c>
      <c r="C87" s="2">
        <v>640</v>
      </c>
      <c r="D87" s="2">
        <v>10.67</v>
      </c>
      <c r="E87" s="2">
        <v>39</v>
      </c>
      <c r="F87" s="2">
        <v>16.41</v>
      </c>
      <c r="G87" s="2" t="s">
        <v>33</v>
      </c>
      <c r="H87">
        <f>IF(OR(لوحة_القيادة!$C$4="الكل", A87=لوحة_القيادة!$C$4), 1, 0)</f>
        <v>0</v>
      </c>
      <c r="I87">
        <f>IF(H87=1, SUM($H$2:H87), "")</f>
        <v>0</v>
      </c>
    </row>
    <row r="88" spans="1:9">
      <c r="A88" s="2" t="s">
        <v>13</v>
      </c>
      <c r="B88" s="2" t="s">
        <v>129</v>
      </c>
      <c r="C88" s="2">
        <v>633</v>
      </c>
      <c r="D88" s="2">
        <v>10.55</v>
      </c>
      <c r="E88" s="2">
        <v>37</v>
      </c>
      <c r="F88" s="2">
        <v>17.11</v>
      </c>
      <c r="G88" s="2" t="s">
        <v>33</v>
      </c>
      <c r="H88">
        <f>IF(OR(لوحة_القيادة!$C$4="الكل", A88=لوحة_القيادة!$C$4), 1, 0)</f>
        <v>0</v>
      </c>
      <c r="I88">
        <f>IF(H88=1, SUM($H$2:H88), "")</f>
        <v>0</v>
      </c>
    </row>
    <row r="89" spans="1:9">
      <c r="A89" s="2" t="s">
        <v>15</v>
      </c>
      <c r="B89" s="2" t="s">
        <v>130</v>
      </c>
      <c r="C89" s="2">
        <v>615</v>
      </c>
      <c r="D89" s="2">
        <v>10.25</v>
      </c>
      <c r="E89" s="2">
        <v>13</v>
      </c>
      <c r="F89" s="2">
        <v>47.31</v>
      </c>
      <c r="G89" s="2" t="s">
        <v>33</v>
      </c>
      <c r="H89">
        <f>IF(OR(لوحة_القيادة!$C$4="الكل", A89=لوحة_القيادة!$C$4), 1, 0)</f>
        <v>0</v>
      </c>
      <c r="I89">
        <f>IF(H89=1, SUM($H$2:H89), "")</f>
        <v>0</v>
      </c>
    </row>
    <row r="90" spans="1:9">
      <c r="A90" s="2" t="s">
        <v>13</v>
      </c>
      <c r="B90" s="2" t="s">
        <v>131</v>
      </c>
      <c r="C90" s="2">
        <v>587</v>
      </c>
      <c r="D90" s="2">
        <v>9.779999999999999</v>
      </c>
      <c r="E90" s="2">
        <v>41</v>
      </c>
      <c r="F90" s="2">
        <v>14.32</v>
      </c>
      <c r="G90" s="2" t="s">
        <v>33</v>
      </c>
      <c r="H90">
        <f>IF(OR(لوحة_القيادة!$C$4="الكل", A90=لوحة_القيادة!$C$4), 1, 0)</f>
        <v>0</v>
      </c>
      <c r="I90">
        <f>IF(H90=1, SUM($H$2:H90), "")</f>
        <v>0</v>
      </c>
    </row>
    <row r="91" spans="1:9">
      <c r="A91" s="2" t="s">
        <v>18</v>
      </c>
      <c r="B91" s="2" t="s">
        <v>132</v>
      </c>
      <c r="C91" s="2">
        <v>584</v>
      </c>
      <c r="D91" s="2">
        <v>9.73</v>
      </c>
      <c r="E91" s="2">
        <v>43</v>
      </c>
      <c r="F91" s="2">
        <v>13.58</v>
      </c>
      <c r="G91" s="2" t="s">
        <v>33</v>
      </c>
      <c r="H91">
        <f>IF(OR(لوحة_القيادة!$C$4="الكل", A91=لوحة_القيادة!$C$4), 1, 0)</f>
        <v>0</v>
      </c>
      <c r="I91">
        <f>IF(H91=1, SUM($H$2:H91), "")</f>
        <v>0</v>
      </c>
    </row>
    <row r="92" spans="1:9">
      <c r="A92" s="2" t="s">
        <v>3</v>
      </c>
      <c r="B92" s="2" t="s">
        <v>133</v>
      </c>
      <c r="C92" s="2">
        <v>567</v>
      </c>
      <c r="D92" s="2">
        <v>9.449999999999999</v>
      </c>
      <c r="E92" s="2">
        <v>30</v>
      </c>
      <c r="F92" s="2">
        <v>18.9</v>
      </c>
      <c r="G92" s="2" t="s">
        <v>33</v>
      </c>
      <c r="H92">
        <f>IF(OR(لوحة_القيادة!$C$4="الكل", A92=لوحة_القيادة!$C$4), 1, 0)</f>
        <v>0</v>
      </c>
      <c r="I92">
        <f>IF(H92=1, SUM($H$2:H92), "")</f>
        <v>0</v>
      </c>
    </row>
    <row r="93" spans="1:9">
      <c r="A93" s="2" t="s">
        <v>16</v>
      </c>
      <c r="B93" s="2" t="s">
        <v>134</v>
      </c>
      <c r="C93" s="2">
        <v>565</v>
      </c>
      <c r="D93" s="2">
        <v>9.42</v>
      </c>
      <c r="E93" s="2">
        <v>9</v>
      </c>
      <c r="F93" s="2">
        <v>62.78</v>
      </c>
      <c r="G93" s="2" t="s">
        <v>33</v>
      </c>
      <c r="H93">
        <f>IF(OR(لوحة_القيادة!$C$4="الكل", A93=لوحة_القيادة!$C$4), 1, 0)</f>
        <v>0</v>
      </c>
      <c r="I93">
        <f>IF(H93=1, SUM($H$2:H93), "")</f>
        <v>0</v>
      </c>
    </row>
    <row r="94" spans="1:9">
      <c r="A94" s="2" t="s">
        <v>10</v>
      </c>
      <c r="B94" s="2" t="s">
        <v>135</v>
      </c>
      <c r="C94" s="2">
        <v>561</v>
      </c>
      <c r="D94" s="2">
        <v>9.35</v>
      </c>
      <c r="E94" s="2">
        <v>48</v>
      </c>
      <c r="F94" s="2">
        <v>11.69</v>
      </c>
      <c r="G94" s="2" t="s">
        <v>33</v>
      </c>
      <c r="H94">
        <f>IF(OR(لوحة_القيادة!$C$4="الكل", A94=لوحة_القيادة!$C$4), 1, 0)</f>
        <v>0</v>
      </c>
      <c r="I94">
        <f>IF(H94=1, SUM($H$2:H94), "")</f>
        <v>0</v>
      </c>
    </row>
    <row r="95" spans="1:9">
      <c r="A95" s="2" t="s">
        <v>22</v>
      </c>
      <c r="B95" s="2" t="s">
        <v>136</v>
      </c>
      <c r="C95" s="2">
        <v>551</v>
      </c>
      <c r="D95" s="2">
        <v>9.18</v>
      </c>
      <c r="E95" s="2">
        <v>52</v>
      </c>
      <c r="F95" s="2">
        <v>10.6</v>
      </c>
      <c r="G95" s="2" t="s">
        <v>33</v>
      </c>
      <c r="H95">
        <f>IF(OR(لوحة_القيادة!$C$4="الكل", A95=لوحة_القيادة!$C$4), 1, 0)</f>
        <v>0</v>
      </c>
      <c r="I95">
        <f>IF(H95=1, SUM($H$2:H95), "")</f>
        <v>0</v>
      </c>
    </row>
    <row r="96" spans="1:9">
      <c r="A96" s="2" t="s">
        <v>13</v>
      </c>
      <c r="B96" s="2" t="s">
        <v>137</v>
      </c>
      <c r="C96" s="2">
        <v>531</v>
      </c>
      <c r="D96" s="2">
        <v>8.85</v>
      </c>
      <c r="E96" s="2">
        <v>24</v>
      </c>
      <c r="F96" s="2">
        <v>22.12</v>
      </c>
      <c r="G96" s="2" t="s">
        <v>104</v>
      </c>
      <c r="H96">
        <f>IF(OR(لوحة_القيادة!$C$4="الكل", A96=لوحة_القيادة!$C$4), 1, 0)</f>
        <v>0</v>
      </c>
      <c r="I96">
        <f>IF(H96=1, SUM($H$2:H96), "")</f>
        <v>0</v>
      </c>
    </row>
    <row r="97" spans="1:9">
      <c r="A97" s="2" t="s">
        <v>7</v>
      </c>
      <c r="B97" s="2" t="s">
        <v>138</v>
      </c>
      <c r="C97" s="2">
        <v>528</v>
      </c>
      <c r="D97" s="2">
        <v>8.800000000000001</v>
      </c>
      <c r="E97" s="2">
        <v>59</v>
      </c>
      <c r="F97" s="2">
        <v>8.949999999999999</v>
      </c>
      <c r="G97" s="2" t="s">
        <v>33</v>
      </c>
      <c r="H97">
        <f>IF(OR(لوحة_القيادة!$C$4="الكل", A97=لوحة_القيادة!$C$4), 1, 0)</f>
        <v>0</v>
      </c>
      <c r="I97">
        <f>IF(H97=1, SUM($H$2:H97), "")</f>
        <v>0</v>
      </c>
    </row>
    <row r="98" spans="1:9">
      <c r="A98" s="2" t="s">
        <v>16</v>
      </c>
      <c r="B98" s="2" t="s">
        <v>139</v>
      </c>
      <c r="C98" s="2">
        <v>526</v>
      </c>
      <c r="D98" s="2">
        <v>8.77</v>
      </c>
      <c r="E98" s="2">
        <v>12</v>
      </c>
      <c r="F98" s="2">
        <v>43.83</v>
      </c>
      <c r="G98" s="2" t="s">
        <v>140</v>
      </c>
      <c r="H98">
        <f>IF(OR(لوحة_القيادة!$C$4="الكل", A98=لوحة_القيادة!$C$4), 1, 0)</f>
        <v>0</v>
      </c>
      <c r="I98">
        <f>IF(H98=1, SUM($H$2:H98), "")</f>
        <v>0</v>
      </c>
    </row>
    <row r="99" spans="1:9">
      <c r="A99" s="2" t="s">
        <v>7</v>
      </c>
      <c r="B99" s="2" t="s">
        <v>141</v>
      </c>
      <c r="C99" s="2">
        <v>518</v>
      </c>
      <c r="D99" s="2">
        <v>8.630000000000001</v>
      </c>
      <c r="E99" s="2">
        <v>58</v>
      </c>
      <c r="F99" s="2">
        <v>8.93</v>
      </c>
      <c r="G99" s="2" t="s">
        <v>33</v>
      </c>
      <c r="H99">
        <f>IF(OR(لوحة_القيادة!$C$4="الكل", A99=لوحة_القيادة!$C$4), 1, 0)</f>
        <v>0</v>
      </c>
      <c r="I99">
        <f>IF(H99=1, SUM($H$2:H99), "")</f>
        <v>0</v>
      </c>
    </row>
    <row r="100" spans="1:9">
      <c r="A100" s="2" t="s">
        <v>16</v>
      </c>
      <c r="B100" s="2" t="s">
        <v>142</v>
      </c>
      <c r="C100" s="2">
        <v>518</v>
      </c>
      <c r="D100" s="2">
        <v>8.630000000000001</v>
      </c>
      <c r="E100" s="2">
        <v>3</v>
      </c>
      <c r="F100" s="2">
        <v>172.67</v>
      </c>
      <c r="G100" s="2" t="s">
        <v>143</v>
      </c>
      <c r="H100">
        <f>IF(OR(لوحة_القيادة!$C$4="الكل", A100=لوحة_القيادة!$C$4), 1, 0)</f>
        <v>0</v>
      </c>
      <c r="I100">
        <f>IF(H100=1, SUM($H$2:H100), "")</f>
        <v>0</v>
      </c>
    </row>
    <row r="101" spans="1:9">
      <c r="A101" s="2" t="s">
        <v>15</v>
      </c>
      <c r="B101" s="2" t="s">
        <v>144</v>
      </c>
      <c r="C101" s="2">
        <v>517</v>
      </c>
      <c r="D101" s="2">
        <v>8.619999999999999</v>
      </c>
      <c r="E101" s="2">
        <v>9</v>
      </c>
      <c r="F101" s="2">
        <v>57.44</v>
      </c>
      <c r="G101" s="2" t="s">
        <v>48</v>
      </c>
      <c r="H101">
        <f>IF(OR(لوحة_القيادة!$C$4="الكل", A101=لوحة_القيادة!$C$4), 1, 0)</f>
        <v>0</v>
      </c>
      <c r="I101">
        <f>IF(H101=1, SUM($H$2:H101), "")</f>
        <v>0</v>
      </c>
    </row>
    <row r="102" spans="1:9">
      <c r="A102" s="2" t="s">
        <v>12</v>
      </c>
      <c r="B102" s="2" t="s">
        <v>145</v>
      </c>
      <c r="C102" s="2">
        <v>511</v>
      </c>
      <c r="D102" s="2">
        <v>8.52</v>
      </c>
      <c r="E102" s="2">
        <v>45</v>
      </c>
      <c r="F102" s="2">
        <v>11.36</v>
      </c>
      <c r="G102" s="2" t="s">
        <v>33</v>
      </c>
      <c r="H102">
        <f>IF(OR(لوحة_القيادة!$C$4="الكل", A102=لوحة_القيادة!$C$4), 1, 0)</f>
        <v>0</v>
      </c>
      <c r="I102">
        <f>IF(H102=1, SUM($H$2:H102), "")</f>
        <v>0</v>
      </c>
    </row>
    <row r="103" spans="1:9">
      <c r="A103" s="2" t="s">
        <v>10</v>
      </c>
      <c r="B103" s="2" t="s">
        <v>146</v>
      </c>
      <c r="C103" s="2">
        <v>510</v>
      </c>
      <c r="D103" s="2">
        <v>8.5</v>
      </c>
      <c r="E103" s="2">
        <v>65</v>
      </c>
      <c r="F103" s="2">
        <v>7.85</v>
      </c>
      <c r="G103" s="2" t="s">
        <v>33</v>
      </c>
      <c r="H103">
        <f>IF(OR(لوحة_القيادة!$C$4="الكل", A103=لوحة_القيادة!$C$4), 1, 0)</f>
        <v>0</v>
      </c>
      <c r="I103">
        <f>IF(H103=1, SUM($H$2:H103), "")</f>
        <v>0</v>
      </c>
    </row>
    <row r="104" spans="1:9">
      <c r="A104" s="2" t="s">
        <v>18</v>
      </c>
      <c r="B104" s="2" t="s">
        <v>147</v>
      </c>
      <c r="C104" s="2">
        <v>504</v>
      </c>
      <c r="D104" s="2">
        <v>8.4</v>
      </c>
      <c r="E104" s="2">
        <v>18</v>
      </c>
      <c r="F104" s="2">
        <v>28</v>
      </c>
      <c r="G104" s="2" t="s">
        <v>48</v>
      </c>
      <c r="H104">
        <f>IF(OR(لوحة_القيادة!$C$4="الكل", A104=لوحة_القيادة!$C$4), 1, 0)</f>
        <v>0</v>
      </c>
      <c r="I104">
        <f>IF(H104=1, SUM($H$2:H104), "")</f>
        <v>0</v>
      </c>
    </row>
    <row r="105" spans="1:9">
      <c r="A105" s="2" t="s">
        <v>10</v>
      </c>
      <c r="B105" s="2" t="s">
        <v>148</v>
      </c>
      <c r="C105" s="2">
        <v>497</v>
      </c>
      <c r="D105" s="2">
        <v>8.279999999999999</v>
      </c>
      <c r="E105" s="2">
        <v>3</v>
      </c>
      <c r="F105" s="2">
        <v>165.67</v>
      </c>
      <c r="G105" s="2" t="s">
        <v>149</v>
      </c>
      <c r="H105">
        <f>IF(OR(لوحة_القيادة!$C$4="الكل", A105=لوحة_القيادة!$C$4), 1, 0)</f>
        <v>0</v>
      </c>
      <c r="I105">
        <f>IF(H105=1, SUM($H$2:H105), "")</f>
        <v>0</v>
      </c>
    </row>
    <row r="106" spans="1:9">
      <c r="A106" s="2" t="s">
        <v>11</v>
      </c>
      <c r="B106" s="2" t="s">
        <v>150</v>
      </c>
      <c r="C106" s="2">
        <v>491</v>
      </c>
      <c r="D106" s="2">
        <v>8.18</v>
      </c>
      <c r="E106" s="2">
        <v>6</v>
      </c>
      <c r="F106" s="2">
        <v>81.83</v>
      </c>
      <c r="G106" s="2" t="s">
        <v>151</v>
      </c>
      <c r="H106">
        <f>IF(OR(لوحة_القيادة!$C$4="الكل", A106=لوحة_القيادة!$C$4), 1, 0)</f>
        <v>0</v>
      </c>
      <c r="I106">
        <f>IF(H106=1, SUM($H$2:H106), "")</f>
        <v>0</v>
      </c>
    </row>
    <row r="107" spans="1:9">
      <c r="A107" s="2" t="s">
        <v>6</v>
      </c>
      <c r="B107" s="2" t="s">
        <v>152</v>
      </c>
      <c r="C107" s="2">
        <v>488</v>
      </c>
      <c r="D107" s="2">
        <v>8.130000000000001</v>
      </c>
      <c r="E107" s="2">
        <v>51</v>
      </c>
      <c r="F107" s="2">
        <v>9.57</v>
      </c>
      <c r="G107" s="2" t="s">
        <v>33</v>
      </c>
      <c r="H107">
        <f>IF(OR(لوحة_القيادة!$C$4="الكل", A107=لوحة_القيادة!$C$4), 1, 0)</f>
        <v>0</v>
      </c>
      <c r="I107">
        <f>IF(H107=1, SUM($H$2:H107), "")</f>
        <v>0</v>
      </c>
    </row>
    <row r="108" spans="1:9">
      <c r="A108" s="2" t="s">
        <v>9</v>
      </c>
      <c r="B108" s="2" t="s">
        <v>153</v>
      </c>
      <c r="C108" s="2">
        <v>487</v>
      </c>
      <c r="D108" s="2">
        <v>8.119999999999999</v>
      </c>
      <c r="E108" s="2">
        <v>20</v>
      </c>
      <c r="F108" s="2">
        <v>24.35</v>
      </c>
      <c r="G108" s="2" t="s">
        <v>33</v>
      </c>
      <c r="H108">
        <f>IF(OR(لوحة_القيادة!$C$4="الكل", A108=لوحة_القيادة!$C$4), 1, 0)</f>
        <v>0</v>
      </c>
      <c r="I108">
        <f>IF(H108=1, SUM($H$2:H108), "")</f>
        <v>0</v>
      </c>
    </row>
    <row r="109" spans="1:9">
      <c r="A109" s="2" t="s">
        <v>11</v>
      </c>
      <c r="B109" s="2" t="s">
        <v>154</v>
      </c>
      <c r="C109" s="2">
        <v>484</v>
      </c>
      <c r="D109" s="2">
        <v>8.07</v>
      </c>
      <c r="E109" s="2">
        <v>30</v>
      </c>
      <c r="F109" s="2">
        <v>16.13</v>
      </c>
      <c r="G109" s="2" t="s">
        <v>33</v>
      </c>
      <c r="H109">
        <f>IF(OR(لوحة_القيادة!$C$4="الكل", A109=لوحة_القيادة!$C$4), 1, 0)</f>
        <v>0</v>
      </c>
      <c r="I109">
        <f>IF(H109=1, SUM($H$2:H109), "")</f>
        <v>0</v>
      </c>
    </row>
    <row r="110" spans="1:9">
      <c r="A110" s="2" t="s">
        <v>6</v>
      </c>
      <c r="B110" s="2" t="s">
        <v>155</v>
      </c>
      <c r="C110" s="2">
        <v>480</v>
      </c>
      <c r="D110" s="2">
        <v>8</v>
      </c>
      <c r="E110" s="2">
        <v>39</v>
      </c>
      <c r="F110" s="2">
        <v>12.31</v>
      </c>
      <c r="G110" s="2" t="s">
        <v>33</v>
      </c>
      <c r="H110">
        <f>IF(OR(لوحة_القيادة!$C$4="الكل", A110=لوحة_القيادة!$C$4), 1, 0)</f>
        <v>0</v>
      </c>
      <c r="I110">
        <f>IF(H110=1, SUM($H$2:H110), "")</f>
        <v>0</v>
      </c>
    </row>
    <row r="111" spans="1:9">
      <c r="A111" s="2" t="s">
        <v>8</v>
      </c>
      <c r="B111" s="2" t="s">
        <v>156</v>
      </c>
      <c r="C111" s="2">
        <v>480</v>
      </c>
      <c r="D111" s="2">
        <v>8</v>
      </c>
      <c r="E111" s="2">
        <v>1</v>
      </c>
      <c r="F111" s="2">
        <v>480</v>
      </c>
      <c r="G111" s="2" t="s">
        <v>48</v>
      </c>
      <c r="H111">
        <f>IF(OR(لوحة_القيادة!$C$4="الكل", A111=لوحة_القيادة!$C$4), 1, 0)</f>
        <v>0</v>
      </c>
      <c r="I111">
        <f>IF(H111=1, SUM($H$2:H111), "")</f>
        <v>0</v>
      </c>
    </row>
    <row r="112" spans="1:9">
      <c r="A112" s="2" t="s">
        <v>18</v>
      </c>
      <c r="B112" s="2" t="s">
        <v>157</v>
      </c>
      <c r="C112" s="2">
        <v>479</v>
      </c>
      <c r="D112" s="2">
        <v>7.98</v>
      </c>
      <c r="E112" s="2">
        <v>4</v>
      </c>
      <c r="F112" s="2">
        <v>119.75</v>
      </c>
      <c r="G112" s="2" t="s">
        <v>33</v>
      </c>
      <c r="H112">
        <f>IF(OR(لوحة_القيادة!$C$4="الكل", A112=لوحة_القيادة!$C$4), 1, 0)</f>
        <v>0</v>
      </c>
      <c r="I112">
        <f>IF(H112=1, SUM($H$2:H112), "")</f>
        <v>0</v>
      </c>
    </row>
    <row r="113" spans="1:9">
      <c r="A113" s="2" t="s">
        <v>1</v>
      </c>
      <c r="B113" s="2" t="s">
        <v>158</v>
      </c>
      <c r="C113" s="2">
        <v>477</v>
      </c>
      <c r="D113" s="2">
        <v>7.95</v>
      </c>
      <c r="E113" s="2">
        <v>50</v>
      </c>
      <c r="F113" s="2">
        <v>9.539999999999999</v>
      </c>
      <c r="G113" s="2" t="s">
        <v>48</v>
      </c>
      <c r="H113">
        <f>IF(OR(لوحة_القيادة!$C$4="الكل", A113=لوحة_القيادة!$C$4), 1, 0)</f>
        <v>0</v>
      </c>
      <c r="I113">
        <f>IF(H113=1, SUM($H$2:H113), "")</f>
        <v>0</v>
      </c>
    </row>
    <row r="114" spans="1:9">
      <c r="A114" s="2" t="s">
        <v>16</v>
      </c>
      <c r="B114" s="2" t="s">
        <v>159</v>
      </c>
      <c r="C114" s="2">
        <v>476</v>
      </c>
      <c r="D114" s="2">
        <v>7.93</v>
      </c>
      <c r="E114" s="2">
        <v>31</v>
      </c>
      <c r="F114" s="2">
        <v>15.35</v>
      </c>
      <c r="G114" s="2" t="s">
        <v>33</v>
      </c>
      <c r="H114">
        <f>IF(OR(لوحة_القيادة!$C$4="الكل", A114=لوحة_القيادة!$C$4), 1, 0)</f>
        <v>0</v>
      </c>
      <c r="I114">
        <f>IF(H114=1, SUM($H$2:H114), "")</f>
        <v>0</v>
      </c>
    </row>
    <row r="115" spans="1:9">
      <c r="A115" s="2" t="s">
        <v>1</v>
      </c>
      <c r="B115" s="2" t="s">
        <v>160</v>
      </c>
      <c r="C115" s="2">
        <v>469</v>
      </c>
      <c r="D115" s="2">
        <v>7.82</v>
      </c>
      <c r="E115" s="2">
        <v>30</v>
      </c>
      <c r="F115" s="2">
        <v>15.63</v>
      </c>
      <c r="G115" s="2" t="s">
        <v>33</v>
      </c>
      <c r="H115">
        <f>IF(OR(لوحة_القيادة!$C$4="الكل", A115=لوحة_القيادة!$C$4), 1, 0)</f>
        <v>0</v>
      </c>
      <c r="I115">
        <f>IF(H115=1, SUM($H$2:H115), "")</f>
        <v>0</v>
      </c>
    </row>
    <row r="116" spans="1:9">
      <c r="A116" s="2" t="s">
        <v>11</v>
      </c>
      <c r="B116" s="2" t="s">
        <v>161</v>
      </c>
      <c r="C116" s="2">
        <v>467</v>
      </c>
      <c r="D116" s="2">
        <v>7.78</v>
      </c>
      <c r="E116" s="2">
        <v>1</v>
      </c>
      <c r="F116" s="2">
        <v>467</v>
      </c>
      <c r="G116" s="2" t="s">
        <v>162</v>
      </c>
      <c r="H116">
        <f>IF(OR(لوحة_القيادة!$C$4="الكل", A116=لوحة_القيادة!$C$4), 1, 0)</f>
        <v>0</v>
      </c>
      <c r="I116">
        <f>IF(H116=1, SUM($H$2:H116), "")</f>
        <v>0</v>
      </c>
    </row>
    <row r="117" spans="1:9">
      <c r="A117" s="2" t="s">
        <v>17</v>
      </c>
      <c r="B117" s="2" t="s">
        <v>163</v>
      </c>
      <c r="C117" s="2">
        <v>466</v>
      </c>
      <c r="D117" s="2">
        <v>7.77</v>
      </c>
      <c r="E117" s="2">
        <v>15</v>
      </c>
      <c r="F117" s="2">
        <v>31.07</v>
      </c>
      <c r="G117" s="2" t="s">
        <v>82</v>
      </c>
      <c r="H117">
        <f>IF(OR(لوحة_القيادة!$C$4="الكل", A117=لوحة_القيادة!$C$4), 1, 0)</f>
        <v>0</v>
      </c>
      <c r="I117">
        <f>IF(H117=1, SUM($H$2:H117), "")</f>
        <v>0</v>
      </c>
    </row>
    <row r="118" spans="1:9">
      <c r="A118" s="2" t="s">
        <v>5</v>
      </c>
      <c r="B118" s="2" t="s">
        <v>164</v>
      </c>
      <c r="C118" s="2">
        <v>456</v>
      </c>
      <c r="D118" s="2">
        <v>7.6</v>
      </c>
      <c r="E118" s="2">
        <v>41</v>
      </c>
      <c r="F118" s="2">
        <v>11.12</v>
      </c>
      <c r="G118" s="2" t="s">
        <v>33</v>
      </c>
      <c r="H118">
        <f>IF(OR(لوحة_القيادة!$C$4="الكل", A118=لوحة_القيادة!$C$4), 1, 0)</f>
        <v>0</v>
      </c>
      <c r="I118">
        <f>IF(H118=1, SUM($H$2:H118), "")</f>
        <v>0</v>
      </c>
    </row>
    <row r="119" spans="1:9">
      <c r="A119" s="2" t="s">
        <v>18</v>
      </c>
      <c r="B119" s="2" t="s">
        <v>165</v>
      </c>
      <c r="C119" s="2">
        <v>454</v>
      </c>
      <c r="D119" s="2">
        <v>7.57</v>
      </c>
      <c r="E119" s="2">
        <v>10</v>
      </c>
      <c r="F119" s="2">
        <v>45.4</v>
      </c>
      <c r="G119" s="2" t="s">
        <v>33</v>
      </c>
      <c r="H119">
        <f>IF(OR(لوحة_القيادة!$C$4="الكل", A119=لوحة_القيادة!$C$4), 1, 0)</f>
        <v>0</v>
      </c>
      <c r="I119">
        <f>IF(H119=1, SUM($H$2:H119), "")</f>
        <v>0</v>
      </c>
    </row>
    <row r="120" spans="1:9">
      <c r="A120" s="2" t="s">
        <v>6</v>
      </c>
      <c r="B120" s="2" t="s">
        <v>166</v>
      </c>
      <c r="C120" s="2">
        <v>448</v>
      </c>
      <c r="D120" s="2">
        <v>7.47</v>
      </c>
      <c r="E120" s="2">
        <v>46</v>
      </c>
      <c r="F120" s="2">
        <v>9.74</v>
      </c>
      <c r="G120" s="2" t="s">
        <v>33</v>
      </c>
      <c r="H120">
        <f>IF(OR(لوحة_القيادة!$C$4="الكل", A120=لوحة_القيادة!$C$4), 1, 0)</f>
        <v>0</v>
      </c>
      <c r="I120">
        <f>IF(H120=1, SUM($H$2:H120), "")</f>
        <v>0</v>
      </c>
    </row>
    <row r="121" spans="1:9">
      <c r="A121" s="2" t="s">
        <v>17</v>
      </c>
      <c r="B121" s="2" t="s">
        <v>167</v>
      </c>
      <c r="C121" s="2">
        <v>439</v>
      </c>
      <c r="D121" s="2">
        <v>7.32</v>
      </c>
      <c r="E121" s="2">
        <v>12</v>
      </c>
      <c r="F121" s="2">
        <v>36.58</v>
      </c>
      <c r="G121" s="2" t="s">
        <v>33</v>
      </c>
      <c r="H121">
        <f>IF(OR(لوحة_القيادة!$C$4="الكل", A121=لوحة_القيادة!$C$4), 1, 0)</f>
        <v>0</v>
      </c>
      <c r="I121">
        <f>IF(H121=1, SUM($H$2:H121), "")</f>
        <v>0</v>
      </c>
    </row>
    <row r="122" spans="1:9">
      <c r="A122" s="2" t="s">
        <v>1</v>
      </c>
      <c r="B122" s="2" t="s">
        <v>168</v>
      </c>
      <c r="C122" s="2">
        <v>437</v>
      </c>
      <c r="D122" s="2">
        <v>7.28</v>
      </c>
      <c r="E122" s="2">
        <v>27</v>
      </c>
      <c r="F122" s="2">
        <v>16.19</v>
      </c>
      <c r="G122" s="2" t="s">
        <v>48</v>
      </c>
      <c r="H122">
        <f>IF(OR(لوحة_القيادة!$C$4="الكل", A122=لوحة_القيادة!$C$4), 1, 0)</f>
        <v>0</v>
      </c>
      <c r="I122">
        <f>IF(H122=1, SUM($H$2:H122), "")</f>
        <v>0</v>
      </c>
    </row>
    <row r="123" spans="1:9">
      <c r="A123" s="2" t="s">
        <v>11</v>
      </c>
      <c r="B123" s="2" t="s">
        <v>169</v>
      </c>
      <c r="C123" s="2">
        <v>431</v>
      </c>
      <c r="D123" s="2">
        <v>7.18</v>
      </c>
      <c r="E123" s="2">
        <v>7</v>
      </c>
      <c r="F123" s="2">
        <v>61.57</v>
      </c>
      <c r="G123" s="2" t="s">
        <v>82</v>
      </c>
      <c r="H123">
        <f>IF(OR(لوحة_القيادة!$C$4="الكل", A123=لوحة_القيادة!$C$4), 1, 0)</f>
        <v>0</v>
      </c>
      <c r="I123">
        <f>IF(H123=1, SUM($H$2:H123), "")</f>
        <v>0</v>
      </c>
    </row>
    <row r="124" spans="1:9">
      <c r="A124" s="2" t="s">
        <v>1</v>
      </c>
      <c r="B124" s="2" t="s">
        <v>170</v>
      </c>
      <c r="C124" s="2">
        <v>423</v>
      </c>
      <c r="D124" s="2">
        <v>7.05</v>
      </c>
      <c r="E124" s="2">
        <v>41</v>
      </c>
      <c r="F124" s="2">
        <v>10.32</v>
      </c>
      <c r="G124" s="2" t="s">
        <v>48</v>
      </c>
      <c r="H124">
        <f>IF(OR(لوحة_القيادة!$C$4="الكل", A124=لوحة_القيادة!$C$4), 1, 0)</f>
        <v>0</v>
      </c>
      <c r="I124">
        <f>IF(H124=1, SUM($H$2:H124), "")</f>
        <v>0</v>
      </c>
    </row>
    <row r="125" spans="1:9">
      <c r="A125" s="2" t="s">
        <v>15</v>
      </c>
      <c r="B125" s="2" t="s">
        <v>171</v>
      </c>
      <c r="C125" s="2">
        <v>418</v>
      </c>
      <c r="D125" s="2">
        <v>6.97</v>
      </c>
      <c r="E125" s="2">
        <v>18</v>
      </c>
      <c r="F125" s="2">
        <v>23.22</v>
      </c>
      <c r="G125" s="2" t="s">
        <v>112</v>
      </c>
      <c r="H125">
        <f>IF(OR(لوحة_القيادة!$C$4="الكل", A125=لوحة_القيادة!$C$4), 1, 0)</f>
        <v>0</v>
      </c>
      <c r="I125">
        <f>IF(H125=1, SUM($H$2:H125), "")</f>
        <v>0</v>
      </c>
    </row>
    <row r="126" spans="1:9">
      <c r="A126" s="2" t="s">
        <v>16</v>
      </c>
      <c r="B126" s="2" t="s">
        <v>172</v>
      </c>
      <c r="C126" s="2">
        <v>417</v>
      </c>
      <c r="D126" s="2">
        <v>6.95</v>
      </c>
      <c r="E126" s="2">
        <v>21</v>
      </c>
      <c r="F126" s="2">
        <v>19.86</v>
      </c>
      <c r="G126" s="2" t="s">
        <v>173</v>
      </c>
      <c r="H126">
        <f>IF(OR(لوحة_القيادة!$C$4="الكل", A126=لوحة_القيادة!$C$4), 1, 0)</f>
        <v>0</v>
      </c>
      <c r="I126">
        <f>IF(H126=1, SUM($H$2:H126), "")</f>
        <v>0</v>
      </c>
    </row>
    <row r="127" spans="1:9">
      <c r="A127" s="2" t="s">
        <v>11</v>
      </c>
      <c r="B127" s="2" t="s">
        <v>174</v>
      </c>
      <c r="C127" s="2">
        <v>414</v>
      </c>
      <c r="D127" s="2">
        <v>6.9</v>
      </c>
      <c r="E127" s="2">
        <v>5</v>
      </c>
      <c r="F127" s="2">
        <v>82.8</v>
      </c>
      <c r="G127" s="2" t="s">
        <v>173</v>
      </c>
      <c r="H127">
        <f>IF(OR(لوحة_القيادة!$C$4="الكل", A127=لوحة_القيادة!$C$4), 1, 0)</f>
        <v>0</v>
      </c>
      <c r="I127">
        <f>IF(H127=1, SUM($H$2:H127), "")</f>
        <v>0</v>
      </c>
    </row>
    <row r="128" spans="1:9">
      <c r="A128" s="2" t="s">
        <v>9</v>
      </c>
      <c r="B128" s="2" t="s">
        <v>175</v>
      </c>
      <c r="C128" s="2">
        <v>413</v>
      </c>
      <c r="D128" s="2">
        <v>6.88</v>
      </c>
      <c r="E128" s="2">
        <v>28</v>
      </c>
      <c r="F128" s="2">
        <v>14.75</v>
      </c>
      <c r="G128" s="2" t="s">
        <v>33</v>
      </c>
      <c r="H128">
        <f>IF(OR(لوحة_القيادة!$C$4="الكل", A128=لوحة_القيادة!$C$4), 1, 0)</f>
        <v>0</v>
      </c>
      <c r="I128">
        <f>IF(H128=1, SUM($H$2:H128), "")</f>
        <v>0</v>
      </c>
    </row>
    <row r="129" spans="1:9">
      <c r="A129" s="2" t="s">
        <v>16</v>
      </c>
      <c r="B129" s="2" t="s">
        <v>176</v>
      </c>
      <c r="C129" s="2">
        <v>411</v>
      </c>
      <c r="D129" s="2">
        <v>6.85</v>
      </c>
      <c r="E129" s="2">
        <v>14</v>
      </c>
      <c r="F129" s="2">
        <v>29.36</v>
      </c>
      <c r="G129" s="2" t="s">
        <v>177</v>
      </c>
      <c r="H129">
        <f>IF(OR(لوحة_القيادة!$C$4="الكل", A129=لوحة_القيادة!$C$4), 1, 0)</f>
        <v>0</v>
      </c>
      <c r="I129">
        <f>IF(H129=1, SUM($H$2:H129), "")</f>
        <v>0</v>
      </c>
    </row>
    <row r="130" spans="1:9">
      <c r="A130" s="2" t="s">
        <v>2</v>
      </c>
      <c r="B130" s="2" t="s">
        <v>178</v>
      </c>
      <c r="C130" s="2">
        <v>407</v>
      </c>
      <c r="D130" s="2">
        <v>6.78</v>
      </c>
      <c r="E130" s="2">
        <v>19</v>
      </c>
      <c r="F130" s="2">
        <v>21.42</v>
      </c>
      <c r="G130" s="2" t="s">
        <v>112</v>
      </c>
      <c r="H130">
        <f>IF(OR(لوحة_القيادة!$C$4="الكل", A130=لوحة_القيادة!$C$4), 1, 0)</f>
        <v>0</v>
      </c>
      <c r="I130">
        <f>IF(H130=1, SUM($H$2:H130), "")</f>
        <v>0</v>
      </c>
    </row>
    <row r="131" spans="1:9">
      <c r="A131" s="2" t="s">
        <v>13</v>
      </c>
      <c r="B131" s="2" t="s">
        <v>179</v>
      </c>
      <c r="C131" s="2">
        <v>406</v>
      </c>
      <c r="D131" s="2">
        <v>6.77</v>
      </c>
      <c r="E131" s="2">
        <v>18</v>
      </c>
      <c r="F131" s="2">
        <v>22.56</v>
      </c>
      <c r="G131" s="2" t="s">
        <v>180</v>
      </c>
      <c r="H131">
        <f>IF(OR(لوحة_القيادة!$C$4="الكل", A131=لوحة_القيادة!$C$4), 1, 0)</f>
        <v>0</v>
      </c>
      <c r="I131">
        <f>IF(H131=1, SUM($H$2:H131), "")</f>
        <v>0</v>
      </c>
    </row>
    <row r="132" spans="1:9">
      <c r="A132" s="2" t="s">
        <v>10</v>
      </c>
      <c r="B132" s="2" t="s">
        <v>181</v>
      </c>
      <c r="C132" s="2">
        <v>403</v>
      </c>
      <c r="D132" s="2">
        <v>6.72</v>
      </c>
      <c r="E132" s="2">
        <v>66</v>
      </c>
      <c r="F132" s="2">
        <v>6.11</v>
      </c>
      <c r="G132" s="2" t="s">
        <v>33</v>
      </c>
      <c r="H132">
        <f>IF(OR(لوحة_القيادة!$C$4="الكل", A132=لوحة_القيادة!$C$4), 1, 0)</f>
        <v>0</v>
      </c>
      <c r="I132">
        <f>IF(H132=1, SUM($H$2:H132), "")</f>
        <v>0</v>
      </c>
    </row>
    <row r="133" spans="1:9">
      <c r="A133" s="2" t="s">
        <v>16</v>
      </c>
      <c r="B133" s="2" t="s">
        <v>182</v>
      </c>
      <c r="C133" s="2">
        <v>396</v>
      </c>
      <c r="D133" s="2">
        <v>6.6</v>
      </c>
      <c r="E133" s="2">
        <v>37</v>
      </c>
      <c r="F133" s="2">
        <v>10.7</v>
      </c>
      <c r="G133" s="2" t="s">
        <v>33</v>
      </c>
      <c r="H133">
        <f>IF(OR(لوحة_القيادة!$C$4="الكل", A133=لوحة_القيادة!$C$4), 1, 0)</f>
        <v>0</v>
      </c>
      <c r="I133">
        <f>IF(H133=1, SUM($H$2:H133), "")</f>
        <v>0</v>
      </c>
    </row>
    <row r="134" spans="1:9">
      <c r="A134" s="2" t="s">
        <v>11</v>
      </c>
      <c r="B134" s="2" t="s">
        <v>183</v>
      </c>
      <c r="C134" s="2">
        <v>392</v>
      </c>
      <c r="D134" s="2">
        <v>6.53</v>
      </c>
      <c r="E134" s="2">
        <v>32</v>
      </c>
      <c r="F134" s="2">
        <v>12.25</v>
      </c>
      <c r="G134" s="2" t="s">
        <v>33</v>
      </c>
      <c r="H134">
        <f>IF(OR(لوحة_القيادة!$C$4="الكل", A134=لوحة_القيادة!$C$4), 1, 0)</f>
        <v>0</v>
      </c>
      <c r="I134">
        <f>IF(H134=1, SUM($H$2:H134), "")</f>
        <v>0</v>
      </c>
    </row>
    <row r="135" spans="1:9">
      <c r="A135" s="2" t="s">
        <v>18</v>
      </c>
      <c r="B135" s="2" t="s">
        <v>184</v>
      </c>
      <c r="C135" s="2">
        <v>391</v>
      </c>
      <c r="D135" s="2">
        <v>6.52</v>
      </c>
      <c r="E135" s="2">
        <v>17</v>
      </c>
      <c r="F135" s="2">
        <v>23</v>
      </c>
      <c r="G135" s="2" t="s">
        <v>33</v>
      </c>
      <c r="H135">
        <f>IF(OR(لوحة_القيادة!$C$4="الكل", A135=لوحة_القيادة!$C$4), 1, 0)</f>
        <v>0</v>
      </c>
      <c r="I135">
        <f>IF(H135=1, SUM($H$2:H135), "")</f>
        <v>0</v>
      </c>
    </row>
    <row r="136" spans="1:9">
      <c r="A136" s="2" t="s">
        <v>16</v>
      </c>
      <c r="B136" s="2" t="s">
        <v>185</v>
      </c>
      <c r="C136" s="2">
        <v>383</v>
      </c>
      <c r="D136" s="2">
        <v>6.38</v>
      </c>
      <c r="E136" s="2">
        <v>11</v>
      </c>
      <c r="F136" s="2">
        <v>34.82</v>
      </c>
      <c r="G136" s="2" t="s">
        <v>186</v>
      </c>
      <c r="H136">
        <f>IF(OR(لوحة_القيادة!$C$4="الكل", A136=لوحة_القيادة!$C$4), 1, 0)</f>
        <v>0</v>
      </c>
      <c r="I136">
        <f>IF(H136=1, SUM($H$2:H136), "")</f>
        <v>0</v>
      </c>
    </row>
    <row r="137" spans="1:9">
      <c r="A137" s="2" t="s">
        <v>11</v>
      </c>
      <c r="B137" s="2" t="s">
        <v>187</v>
      </c>
      <c r="C137" s="2">
        <v>379</v>
      </c>
      <c r="D137" s="2">
        <v>6.32</v>
      </c>
      <c r="E137" s="2">
        <v>16</v>
      </c>
      <c r="F137" s="2">
        <v>23.69</v>
      </c>
      <c r="G137" s="2" t="s">
        <v>33</v>
      </c>
      <c r="H137">
        <f>IF(OR(لوحة_القيادة!$C$4="الكل", A137=لوحة_القيادة!$C$4), 1, 0)</f>
        <v>0</v>
      </c>
      <c r="I137">
        <f>IF(H137=1, SUM($H$2:H137), "")</f>
        <v>0</v>
      </c>
    </row>
    <row r="138" spans="1:9">
      <c r="A138" s="2" t="s">
        <v>7</v>
      </c>
      <c r="B138" s="2" t="s">
        <v>188</v>
      </c>
      <c r="C138" s="2">
        <v>376</v>
      </c>
      <c r="D138" s="2">
        <v>6.27</v>
      </c>
      <c r="E138" s="2">
        <v>57</v>
      </c>
      <c r="F138" s="2">
        <v>6.6</v>
      </c>
      <c r="G138" s="2" t="s">
        <v>33</v>
      </c>
      <c r="H138">
        <f>IF(OR(لوحة_القيادة!$C$4="الكل", A138=لوحة_القيادة!$C$4), 1, 0)</f>
        <v>0</v>
      </c>
      <c r="I138">
        <f>IF(H138=1, SUM($H$2:H138), "")</f>
        <v>0</v>
      </c>
    </row>
    <row r="139" spans="1:9">
      <c r="A139" s="2" t="s">
        <v>16</v>
      </c>
      <c r="B139" s="2" t="s">
        <v>189</v>
      </c>
      <c r="C139" s="2">
        <v>371</v>
      </c>
      <c r="D139" s="2">
        <v>6.18</v>
      </c>
      <c r="E139" s="2">
        <v>23</v>
      </c>
      <c r="F139" s="2">
        <v>16.13</v>
      </c>
      <c r="G139" s="2" t="s">
        <v>60</v>
      </c>
      <c r="H139">
        <f>IF(OR(لوحة_القيادة!$C$4="الكل", A139=لوحة_القيادة!$C$4), 1, 0)</f>
        <v>0</v>
      </c>
      <c r="I139">
        <f>IF(H139=1, SUM($H$2:H139), "")</f>
        <v>0</v>
      </c>
    </row>
    <row r="140" spans="1:9">
      <c r="A140" s="2" t="s">
        <v>16</v>
      </c>
      <c r="B140" s="2" t="s">
        <v>190</v>
      </c>
      <c r="C140" s="2">
        <v>370</v>
      </c>
      <c r="D140" s="2">
        <v>6.17</v>
      </c>
      <c r="E140" s="2">
        <v>15</v>
      </c>
      <c r="F140" s="2">
        <v>24.67</v>
      </c>
      <c r="G140" s="2" t="s">
        <v>112</v>
      </c>
      <c r="H140">
        <f>IF(OR(لوحة_القيادة!$C$4="الكل", A140=لوحة_القيادة!$C$4), 1, 0)</f>
        <v>0</v>
      </c>
      <c r="I140">
        <f>IF(H140=1, SUM($H$2:H140), "")</f>
        <v>0</v>
      </c>
    </row>
    <row r="141" spans="1:9">
      <c r="A141" s="2" t="s">
        <v>1</v>
      </c>
      <c r="B141" s="2" t="s">
        <v>191</v>
      </c>
      <c r="C141" s="2">
        <v>365</v>
      </c>
      <c r="D141" s="2">
        <v>6.08</v>
      </c>
      <c r="E141" s="2">
        <v>41</v>
      </c>
      <c r="F141" s="2">
        <v>8.9</v>
      </c>
      <c r="G141" s="2" t="s">
        <v>33</v>
      </c>
      <c r="H141">
        <f>IF(OR(لوحة_القيادة!$C$4="الكل", A141=لوحة_القيادة!$C$4), 1, 0)</f>
        <v>0</v>
      </c>
      <c r="I141">
        <f>IF(H141=1, SUM($H$2:H141), "")</f>
        <v>0</v>
      </c>
    </row>
    <row r="142" spans="1:9">
      <c r="A142" s="2" t="s">
        <v>20</v>
      </c>
      <c r="B142" s="2" t="s">
        <v>192</v>
      </c>
      <c r="C142" s="2">
        <v>354</v>
      </c>
      <c r="D142" s="2">
        <v>5.9</v>
      </c>
      <c r="E142" s="2">
        <v>62</v>
      </c>
      <c r="F142" s="2">
        <v>5.71</v>
      </c>
      <c r="G142" s="2" t="s">
        <v>33</v>
      </c>
      <c r="H142">
        <f>IF(OR(لوحة_القيادة!$C$4="الكل", A142=لوحة_القيادة!$C$4), 1, 0)</f>
        <v>0</v>
      </c>
      <c r="I142">
        <f>IF(H142=1, SUM($H$2:H142), "")</f>
        <v>0</v>
      </c>
    </row>
    <row r="143" spans="1:9">
      <c r="A143" s="2" t="s">
        <v>21</v>
      </c>
      <c r="B143" s="2" t="s">
        <v>193</v>
      </c>
      <c r="C143" s="2">
        <v>346</v>
      </c>
      <c r="D143" s="2">
        <v>5.77</v>
      </c>
      <c r="E143" s="2">
        <v>39</v>
      </c>
      <c r="F143" s="2">
        <v>8.869999999999999</v>
      </c>
      <c r="G143" s="2" t="s">
        <v>33</v>
      </c>
      <c r="H143">
        <f>IF(OR(لوحة_القيادة!$C$4="الكل", A143=لوحة_القيادة!$C$4), 1, 0)</f>
        <v>0</v>
      </c>
      <c r="I143">
        <f>IF(H143=1, SUM($H$2:H143), "")</f>
        <v>0</v>
      </c>
    </row>
    <row r="144" spans="1:9">
      <c r="A144" s="2" t="s">
        <v>9</v>
      </c>
      <c r="B144" s="2" t="s">
        <v>194</v>
      </c>
      <c r="C144" s="2">
        <v>342</v>
      </c>
      <c r="D144" s="2">
        <v>5.7</v>
      </c>
      <c r="E144" s="2">
        <v>35</v>
      </c>
      <c r="F144" s="2">
        <v>9.77</v>
      </c>
      <c r="G144" s="2" t="s">
        <v>33</v>
      </c>
      <c r="H144">
        <f>IF(OR(لوحة_القيادة!$C$4="الكل", A144=لوحة_القيادة!$C$4), 1, 0)</f>
        <v>0</v>
      </c>
      <c r="I144">
        <f>IF(H144=1, SUM($H$2:H144), "")</f>
        <v>0</v>
      </c>
    </row>
    <row r="145" spans="1:9">
      <c r="A145" s="2" t="s">
        <v>6</v>
      </c>
      <c r="B145" s="2" t="s">
        <v>195</v>
      </c>
      <c r="C145" s="2">
        <v>337</v>
      </c>
      <c r="D145" s="2">
        <v>5.62</v>
      </c>
      <c r="E145" s="2">
        <v>12</v>
      </c>
      <c r="F145" s="2">
        <v>28.08</v>
      </c>
      <c r="G145" s="2" t="s">
        <v>180</v>
      </c>
      <c r="H145">
        <f>IF(OR(لوحة_القيادة!$C$4="الكل", A145=لوحة_القيادة!$C$4), 1, 0)</f>
        <v>0</v>
      </c>
      <c r="I145">
        <f>IF(H145=1, SUM($H$2:H145), "")</f>
        <v>0</v>
      </c>
    </row>
    <row r="146" spans="1:9">
      <c r="A146" s="2" t="s">
        <v>11</v>
      </c>
      <c r="B146" s="2" t="s">
        <v>196</v>
      </c>
      <c r="C146" s="2">
        <v>332</v>
      </c>
      <c r="D146" s="2">
        <v>5.53</v>
      </c>
      <c r="E146" s="2">
        <v>7</v>
      </c>
      <c r="F146" s="2">
        <v>47.43</v>
      </c>
      <c r="G146" s="2" t="s">
        <v>82</v>
      </c>
      <c r="H146">
        <f>IF(OR(لوحة_القيادة!$C$4="الكل", A146=لوحة_القيادة!$C$4), 1, 0)</f>
        <v>0</v>
      </c>
      <c r="I146">
        <f>IF(H146=1, SUM($H$2:H146), "")</f>
        <v>0</v>
      </c>
    </row>
    <row r="147" spans="1:9">
      <c r="A147" s="2" t="s">
        <v>7</v>
      </c>
      <c r="B147" s="2" t="s">
        <v>197</v>
      </c>
      <c r="C147" s="2">
        <v>325</v>
      </c>
      <c r="D147" s="2">
        <v>5.42</v>
      </c>
      <c r="E147" s="2">
        <v>52</v>
      </c>
      <c r="F147" s="2">
        <v>6.25</v>
      </c>
      <c r="G147" s="2" t="s">
        <v>33</v>
      </c>
      <c r="H147">
        <f>IF(OR(لوحة_القيادة!$C$4="الكل", A147=لوحة_القيادة!$C$4), 1, 0)</f>
        <v>0</v>
      </c>
      <c r="I147">
        <f>IF(H147=1, SUM($H$2:H147), "")</f>
        <v>0</v>
      </c>
    </row>
    <row r="148" spans="1:9">
      <c r="A148" s="2" t="s">
        <v>6</v>
      </c>
      <c r="B148" s="2" t="s">
        <v>198</v>
      </c>
      <c r="C148" s="2">
        <v>324</v>
      </c>
      <c r="D148" s="2">
        <v>5.4</v>
      </c>
      <c r="E148" s="2">
        <v>24</v>
      </c>
      <c r="F148" s="2">
        <v>13.5</v>
      </c>
      <c r="G148" s="2" t="s">
        <v>33</v>
      </c>
      <c r="H148">
        <f>IF(OR(لوحة_القيادة!$C$4="الكل", A148=لوحة_القيادة!$C$4), 1, 0)</f>
        <v>0</v>
      </c>
      <c r="I148">
        <f>IF(H148=1, SUM($H$2:H148), "")</f>
        <v>0</v>
      </c>
    </row>
    <row r="149" spans="1:9">
      <c r="A149" s="2" t="s">
        <v>11</v>
      </c>
      <c r="B149" s="2" t="s">
        <v>199</v>
      </c>
      <c r="C149" s="2">
        <v>322</v>
      </c>
      <c r="D149" s="2">
        <v>5.37</v>
      </c>
      <c r="E149" s="2">
        <v>31</v>
      </c>
      <c r="F149" s="2">
        <v>10.39</v>
      </c>
      <c r="G149" s="2" t="s">
        <v>82</v>
      </c>
      <c r="H149">
        <f>IF(OR(لوحة_القيادة!$C$4="الكل", A149=لوحة_القيادة!$C$4), 1, 0)</f>
        <v>0</v>
      </c>
      <c r="I149">
        <f>IF(H149=1, SUM($H$2:H149), "")</f>
        <v>0</v>
      </c>
    </row>
    <row r="150" spans="1:9">
      <c r="A150" s="2" t="s">
        <v>7</v>
      </c>
      <c r="B150" s="2" t="s">
        <v>200</v>
      </c>
      <c r="C150" s="2">
        <v>319</v>
      </c>
      <c r="D150" s="2">
        <v>5.32</v>
      </c>
      <c r="E150" s="2">
        <v>33</v>
      </c>
      <c r="F150" s="2">
        <v>9.67</v>
      </c>
      <c r="G150" s="2" t="s">
        <v>33</v>
      </c>
      <c r="H150">
        <f>IF(OR(لوحة_القيادة!$C$4="الكل", A150=لوحة_القيادة!$C$4), 1, 0)</f>
        <v>0</v>
      </c>
      <c r="I150">
        <f>IF(H150=1, SUM($H$2:H150), "")</f>
        <v>0</v>
      </c>
    </row>
    <row r="151" spans="1:9">
      <c r="A151" s="2" t="s">
        <v>16</v>
      </c>
      <c r="B151" s="2" t="s">
        <v>201</v>
      </c>
      <c r="C151" s="2">
        <v>314</v>
      </c>
      <c r="D151" s="2">
        <v>5.23</v>
      </c>
      <c r="E151" s="2">
        <v>13</v>
      </c>
      <c r="F151" s="2">
        <v>24.15</v>
      </c>
      <c r="G151" s="2" t="s">
        <v>202</v>
      </c>
      <c r="H151">
        <f>IF(OR(لوحة_القيادة!$C$4="الكل", A151=لوحة_القيادة!$C$4), 1, 0)</f>
        <v>0</v>
      </c>
      <c r="I151">
        <f>IF(H151=1, SUM($H$2:H151), "")</f>
        <v>0</v>
      </c>
    </row>
    <row r="152" spans="1:9">
      <c r="A152" s="2" t="s">
        <v>11</v>
      </c>
      <c r="B152" s="2" t="s">
        <v>203</v>
      </c>
      <c r="C152" s="2">
        <v>308</v>
      </c>
      <c r="D152" s="2">
        <v>5.13</v>
      </c>
      <c r="E152" s="2">
        <v>24</v>
      </c>
      <c r="F152" s="2">
        <v>12.83</v>
      </c>
      <c r="G152" s="2" t="s">
        <v>33</v>
      </c>
      <c r="H152">
        <f>IF(OR(لوحة_القيادة!$C$4="الكل", A152=لوحة_القيادة!$C$4), 1, 0)</f>
        <v>0</v>
      </c>
      <c r="I152">
        <f>IF(H152=1, SUM($H$2:H152), "")</f>
        <v>0</v>
      </c>
    </row>
    <row r="153" spans="1:9">
      <c r="A153" s="2" t="s">
        <v>13</v>
      </c>
      <c r="B153" s="2" t="s">
        <v>204</v>
      </c>
      <c r="C153" s="2">
        <v>307</v>
      </c>
      <c r="D153" s="2">
        <v>5.12</v>
      </c>
      <c r="E153" s="2">
        <v>17</v>
      </c>
      <c r="F153" s="2">
        <v>18.06</v>
      </c>
      <c r="G153" s="2" t="s">
        <v>104</v>
      </c>
      <c r="H153">
        <f>IF(OR(لوحة_القيادة!$C$4="الكل", A153=لوحة_القيادة!$C$4), 1, 0)</f>
        <v>0</v>
      </c>
      <c r="I153">
        <f>IF(H153=1, SUM($H$2:H153), "")</f>
        <v>0</v>
      </c>
    </row>
    <row r="154" spans="1:9">
      <c r="A154" s="2" t="s">
        <v>5</v>
      </c>
      <c r="B154" s="2" t="s">
        <v>205</v>
      </c>
      <c r="C154" s="2">
        <v>305</v>
      </c>
      <c r="D154" s="2">
        <v>5.08</v>
      </c>
      <c r="E154" s="2">
        <v>20</v>
      </c>
      <c r="F154" s="2">
        <v>15.25</v>
      </c>
      <c r="G154" s="2" t="s">
        <v>177</v>
      </c>
      <c r="H154">
        <f>IF(OR(لوحة_القيادة!$C$4="الكل", A154=لوحة_القيادة!$C$4), 1, 0)</f>
        <v>0</v>
      </c>
      <c r="I154">
        <f>IF(H154=1, SUM($H$2:H154), "")</f>
        <v>0</v>
      </c>
    </row>
    <row r="155" spans="1:9">
      <c r="A155" s="2" t="s">
        <v>1</v>
      </c>
      <c r="B155" s="2" t="s">
        <v>206</v>
      </c>
      <c r="C155" s="2">
        <v>301</v>
      </c>
      <c r="D155" s="2">
        <v>5.02</v>
      </c>
      <c r="E155" s="2">
        <v>36</v>
      </c>
      <c r="F155" s="2">
        <v>8.359999999999999</v>
      </c>
      <c r="G155" s="2" t="s">
        <v>33</v>
      </c>
      <c r="H155">
        <f>IF(OR(لوحة_القيادة!$C$4="الكل", A155=لوحة_القيادة!$C$4), 1, 0)</f>
        <v>0</v>
      </c>
      <c r="I155">
        <f>IF(H155=1, SUM($H$2:H155), "")</f>
        <v>0</v>
      </c>
    </row>
    <row r="156" spans="1:9">
      <c r="A156" s="2" t="s">
        <v>18</v>
      </c>
      <c r="B156" s="2" t="s">
        <v>207</v>
      </c>
      <c r="C156" s="2">
        <v>301</v>
      </c>
      <c r="D156" s="2">
        <v>5.02</v>
      </c>
      <c r="E156" s="2">
        <v>14</v>
      </c>
      <c r="F156" s="2">
        <v>21.5</v>
      </c>
      <c r="G156" s="2" t="s">
        <v>33</v>
      </c>
      <c r="H156">
        <f>IF(OR(لوحة_القيادة!$C$4="الكل", A156=لوحة_القيادة!$C$4), 1, 0)</f>
        <v>0</v>
      </c>
      <c r="I156">
        <f>IF(H156=1, SUM($H$2:H156), "")</f>
        <v>0</v>
      </c>
    </row>
    <row r="157" spans="1:9">
      <c r="A157" s="2" t="s">
        <v>6</v>
      </c>
      <c r="B157" s="2" t="s">
        <v>208</v>
      </c>
      <c r="C157" s="2">
        <v>299</v>
      </c>
      <c r="D157" s="2">
        <v>4.98</v>
      </c>
      <c r="E157" s="2">
        <v>50</v>
      </c>
      <c r="F157" s="2">
        <v>5.98</v>
      </c>
      <c r="G157" s="2" t="s">
        <v>33</v>
      </c>
      <c r="H157">
        <f>IF(OR(لوحة_القيادة!$C$4="الكل", A157=لوحة_القيادة!$C$4), 1, 0)</f>
        <v>0</v>
      </c>
      <c r="I157">
        <f>IF(H157=1, SUM($H$2:H157), "")</f>
        <v>0</v>
      </c>
    </row>
    <row r="158" spans="1:9">
      <c r="A158" s="2" t="s">
        <v>13</v>
      </c>
      <c r="B158" s="2" t="s">
        <v>209</v>
      </c>
      <c r="C158" s="2">
        <v>299</v>
      </c>
      <c r="D158" s="2">
        <v>4.98</v>
      </c>
      <c r="E158" s="2">
        <v>23</v>
      </c>
      <c r="F158" s="2">
        <v>13</v>
      </c>
      <c r="G158" s="2" t="s">
        <v>33</v>
      </c>
      <c r="H158">
        <f>IF(OR(لوحة_القيادة!$C$4="الكل", A158=لوحة_القيادة!$C$4), 1, 0)</f>
        <v>0</v>
      </c>
      <c r="I158">
        <f>IF(H158=1, SUM($H$2:H158), "")</f>
        <v>0</v>
      </c>
    </row>
    <row r="159" spans="1:9">
      <c r="A159" s="2" t="s">
        <v>4</v>
      </c>
      <c r="B159" s="2" t="s">
        <v>210</v>
      </c>
      <c r="C159" s="2">
        <v>294</v>
      </c>
      <c r="D159" s="2">
        <v>4.9</v>
      </c>
      <c r="E159" s="2">
        <v>34</v>
      </c>
      <c r="F159" s="2">
        <v>8.65</v>
      </c>
      <c r="G159" s="2" t="s">
        <v>33</v>
      </c>
      <c r="H159">
        <f>IF(OR(لوحة_القيادة!$C$4="الكل", A159=لوحة_القيادة!$C$4), 1, 0)</f>
        <v>0</v>
      </c>
      <c r="I159">
        <f>IF(H159=1, SUM($H$2:H159), "")</f>
        <v>0</v>
      </c>
    </row>
    <row r="160" spans="1:9">
      <c r="A160" s="2" t="s">
        <v>14</v>
      </c>
      <c r="B160" s="2" t="s">
        <v>211</v>
      </c>
      <c r="C160" s="2">
        <v>294</v>
      </c>
      <c r="D160" s="2">
        <v>4.9</v>
      </c>
      <c r="E160" s="2">
        <v>25</v>
      </c>
      <c r="F160" s="2">
        <v>11.76</v>
      </c>
      <c r="G160" s="2" t="s">
        <v>33</v>
      </c>
      <c r="H160">
        <f>IF(OR(لوحة_القيادة!$C$4="الكل", A160=لوحة_القيادة!$C$4), 1, 0)</f>
        <v>0</v>
      </c>
      <c r="I160">
        <f>IF(H160=1, SUM($H$2:H160), "")</f>
        <v>0</v>
      </c>
    </row>
    <row r="161" spans="1:9">
      <c r="A161" s="2" t="s">
        <v>1</v>
      </c>
      <c r="B161" s="2" t="s">
        <v>212</v>
      </c>
      <c r="C161" s="2">
        <v>288</v>
      </c>
      <c r="D161" s="2">
        <v>4.8</v>
      </c>
      <c r="E161" s="2">
        <v>30</v>
      </c>
      <c r="F161" s="2">
        <v>9.6</v>
      </c>
      <c r="G161" s="2" t="s">
        <v>112</v>
      </c>
      <c r="H161">
        <f>IF(OR(لوحة_القيادة!$C$4="الكل", A161=لوحة_القيادة!$C$4), 1, 0)</f>
        <v>0</v>
      </c>
      <c r="I161">
        <f>IF(H161=1, SUM($H$2:H161), "")</f>
        <v>0</v>
      </c>
    </row>
    <row r="162" spans="1:9">
      <c r="A162" s="2" t="s">
        <v>16</v>
      </c>
      <c r="B162" s="2" t="s">
        <v>213</v>
      </c>
      <c r="C162" s="2">
        <v>288</v>
      </c>
      <c r="D162" s="2">
        <v>4.8</v>
      </c>
      <c r="E162" s="2">
        <v>6</v>
      </c>
      <c r="F162" s="2">
        <v>48</v>
      </c>
      <c r="G162" s="2" t="s">
        <v>214</v>
      </c>
      <c r="H162">
        <f>IF(OR(لوحة_القيادة!$C$4="الكل", A162=لوحة_القيادة!$C$4), 1, 0)</f>
        <v>0</v>
      </c>
      <c r="I162">
        <f>IF(H162=1, SUM($H$2:H162), "")</f>
        <v>0</v>
      </c>
    </row>
    <row r="163" spans="1:9">
      <c r="A163" s="2" t="s">
        <v>13</v>
      </c>
      <c r="B163" s="2" t="s">
        <v>215</v>
      </c>
      <c r="C163" s="2">
        <v>285</v>
      </c>
      <c r="D163" s="2">
        <v>4.75</v>
      </c>
      <c r="E163" s="2">
        <v>26</v>
      </c>
      <c r="F163" s="2">
        <v>10.96</v>
      </c>
      <c r="G163" s="2" t="s">
        <v>33</v>
      </c>
      <c r="H163">
        <f>IF(OR(لوحة_القيادة!$C$4="الكل", A163=لوحة_القيادة!$C$4), 1, 0)</f>
        <v>0</v>
      </c>
      <c r="I163">
        <f>IF(H163=1, SUM($H$2:H163), "")</f>
        <v>0</v>
      </c>
    </row>
    <row r="164" spans="1:9">
      <c r="A164" s="2" t="s">
        <v>22</v>
      </c>
      <c r="B164" s="2" t="s">
        <v>216</v>
      </c>
      <c r="C164" s="2">
        <v>285</v>
      </c>
      <c r="D164" s="2">
        <v>4.75</v>
      </c>
      <c r="E164" s="2">
        <v>11</v>
      </c>
      <c r="F164" s="2">
        <v>25.91</v>
      </c>
      <c r="G164" s="2" t="s">
        <v>60</v>
      </c>
      <c r="H164">
        <f>IF(OR(لوحة_القيادة!$C$4="الكل", A164=لوحة_القيادة!$C$4), 1, 0)</f>
        <v>0</v>
      </c>
      <c r="I164">
        <f>IF(H164=1, SUM($H$2:H164), "")</f>
        <v>0</v>
      </c>
    </row>
    <row r="165" spans="1:9">
      <c r="A165" s="2" t="s">
        <v>14</v>
      </c>
      <c r="B165" s="2" t="s">
        <v>217</v>
      </c>
      <c r="C165" s="2">
        <v>280</v>
      </c>
      <c r="D165" s="2">
        <v>4.67</v>
      </c>
      <c r="E165" s="2">
        <v>18</v>
      </c>
      <c r="F165" s="2">
        <v>15.56</v>
      </c>
      <c r="G165" s="2" t="s">
        <v>33</v>
      </c>
      <c r="H165">
        <f>IF(OR(لوحة_القيادة!$C$4="الكل", A165=لوحة_القيادة!$C$4), 1, 0)</f>
        <v>0</v>
      </c>
      <c r="I165">
        <f>IF(H165=1, SUM($H$2:H165), "")</f>
        <v>0</v>
      </c>
    </row>
    <row r="166" spans="1:9">
      <c r="A166" s="2" t="s">
        <v>22</v>
      </c>
      <c r="B166" s="2" t="s">
        <v>218</v>
      </c>
      <c r="C166" s="2">
        <v>277</v>
      </c>
      <c r="D166" s="2">
        <v>4.62</v>
      </c>
      <c r="E166" s="2">
        <v>37</v>
      </c>
      <c r="F166" s="2">
        <v>7.49</v>
      </c>
      <c r="G166" s="2" t="s">
        <v>80</v>
      </c>
      <c r="H166">
        <f>IF(OR(لوحة_القيادة!$C$4="الكل", A166=لوحة_القيادة!$C$4), 1, 0)</f>
        <v>0</v>
      </c>
      <c r="I166">
        <f>IF(H166=1, SUM($H$2:H166), "")</f>
        <v>0</v>
      </c>
    </row>
    <row r="167" spans="1:9">
      <c r="A167" s="2" t="s">
        <v>16</v>
      </c>
      <c r="B167" s="2" t="s">
        <v>219</v>
      </c>
      <c r="C167" s="2">
        <v>273</v>
      </c>
      <c r="D167" s="2">
        <v>4.55</v>
      </c>
      <c r="E167" s="2">
        <v>23</v>
      </c>
      <c r="F167" s="2">
        <v>11.87</v>
      </c>
      <c r="G167" s="2" t="s">
        <v>33</v>
      </c>
      <c r="H167">
        <f>IF(OR(لوحة_القيادة!$C$4="الكل", A167=لوحة_القيادة!$C$4), 1, 0)</f>
        <v>0</v>
      </c>
      <c r="I167">
        <f>IF(H167=1, SUM($H$2:H167), "")</f>
        <v>0</v>
      </c>
    </row>
    <row r="168" spans="1:9">
      <c r="A168" s="2" t="s">
        <v>6</v>
      </c>
      <c r="B168" s="2" t="s">
        <v>220</v>
      </c>
      <c r="C168" s="2">
        <v>270</v>
      </c>
      <c r="D168" s="2">
        <v>4.5</v>
      </c>
      <c r="E168" s="2">
        <v>36</v>
      </c>
      <c r="F168" s="2">
        <v>7.5</v>
      </c>
      <c r="G168" s="2" t="s">
        <v>33</v>
      </c>
      <c r="H168">
        <f>IF(OR(لوحة_القيادة!$C$4="الكل", A168=لوحة_القيادة!$C$4), 1, 0)</f>
        <v>0</v>
      </c>
      <c r="I168">
        <f>IF(H168=1, SUM($H$2:H168), "")</f>
        <v>0</v>
      </c>
    </row>
    <row r="169" spans="1:9">
      <c r="A169" s="2" t="s">
        <v>13</v>
      </c>
      <c r="B169" s="2" t="s">
        <v>221</v>
      </c>
      <c r="C169" s="2">
        <v>266</v>
      </c>
      <c r="D169" s="2">
        <v>4.43</v>
      </c>
      <c r="E169" s="2">
        <v>30</v>
      </c>
      <c r="F169" s="2">
        <v>8.869999999999999</v>
      </c>
      <c r="G169" s="2" t="s">
        <v>33</v>
      </c>
      <c r="H169">
        <f>IF(OR(لوحة_القيادة!$C$4="الكل", A169=لوحة_القيادة!$C$4), 1, 0)</f>
        <v>0</v>
      </c>
      <c r="I169">
        <f>IF(H169=1, SUM($H$2:H169), "")</f>
        <v>0</v>
      </c>
    </row>
    <row r="170" spans="1:9">
      <c r="A170" s="2" t="s">
        <v>11</v>
      </c>
      <c r="B170" s="2" t="s">
        <v>222</v>
      </c>
      <c r="C170" s="2">
        <v>264</v>
      </c>
      <c r="D170" s="2">
        <v>4.4</v>
      </c>
      <c r="E170" s="2">
        <v>4</v>
      </c>
      <c r="F170" s="2">
        <v>66</v>
      </c>
      <c r="G170" s="2" t="s">
        <v>223</v>
      </c>
      <c r="H170">
        <f>IF(OR(لوحة_القيادة!$C$4="الكل", A170=لوحة_القيادة!$C$4), 1, 0)</f>
        <v>0</v>
      </c>
      <c r="I170">
        <f>IF(H170=1, SUM($H$2:H170), "")</f>
        <v>0</v>
      </c>
    </row>
    <row r="171" spans="1:9">
      <c r="A171" s="2" t="s">
        <v>6</v>
      </c>
      <c r="B171" s="2" t="s">
        <v>224</v>
      </c>
      <c r="C171" s="2">
        <v>262</v>
      </c>
      <c r="D171" s="2">
        <v>4.37</v>
      </c>
      <c r="E171" s="2">
        <v>10</v>
      </c>
      <c r="F171" s="2">
        <v>26.2</v>
      </c>
      <c r="G171" s="2" t="s">
        <v>225</v>
      </c>
      <c r="H171">
        <f>IF(OR(لوحة_القيادة!$C$4="الكل", A171=لوحة_القيادة!$C$4), 1, 0)</f>
        <v>0</v>
      </c>
      <c r="I171">
        <f>IF(H171=1, SUM($H$2:H171), "")</f>
        <v>0</v>
      </c>
    </row>
    <row r="172" spans="1:9">
      <c r="A172" s="2" t="s">
        <v>13</v>
      </c>
      <c r="B172" s="2" t="s">
        <v>226</v>
      </c>
      <c r="C172" s="2">
        <v>262</v>
      </c>
      <c r="D172" s="2">
        <v>4.37</v>
      </c>
      <c r="E172" s="2">
        <v>33</v>
      </c>
      <c r="F172" s="2">
        <v>7.94</v>
      </c>
      <c r="G172" s="2" t="s">
        <v>33</v>
      </c>
      <c r="H172">
        <f>IF(OR(لوحة_القيادة!$C$4="الكل", A172=لوحة_القيادة!$C$4), 1, 0)</f>
        <v>0</v>
      </c>
      <c r="I172">
        <f>IF(H172=1, SUM($H$2:H172), "")</f>
        <v>0</v>
      </c>
    </row>
    <row r="173" spans="1:9">
      <c r="A173" s="2" t="s">
        <v>16</v>
      </c>
      <c r="B173" s="2" t="s">
        <v>227</v>
      </c>
      <c r="C173" s="2">
        <v>262</v>
      </c>
      <c r="D173" s="2">
        <v>4.37</v>
      </c>
      <c r="E173" s="2">
        <v>24</v>
      </c>
      <c r="F173" s="2">
        <v>10.92</v>
      </c>
      <c r="G173" s="2" t="s">
        <v>33</v>
      </c>
      <c r="H173">
        <f>IF(OR(لوحة_القيادة!$C$4="الكل", A173=لوحة_القيادة!$C$4), 1, 0)</f>
        <v>0</v>
      </c>
      <c r="I173">
        <f>IF(H173=1, SUM($H$2:H173), "")</f>
        <v>0</v>
      </c>
    </row>
    <row r="174" spans="1:9">
      <c r="A174" s="2" t="s">
        <v>10</v>
      </c>
      <c r="B174" s="2" t="s">
        <v>228</v>
      </c>
      <c r="C174" s="2">
        <v>252</v>
      </c>
      <c r="D174" s="2">
        <v>4.2</v>
      </c>
      <c r="E174" s="2">
        <v>45</v>
      </c>
      <c r="F174" s="2">
        <v>5.6</v>
      </c>
      <c r="G174" s="2" t="s">
        <v>33</v>
      </c>
      <c r="H174">
        <f>IF(OR(لوحة_القيادة!$C$4="الكل", A174=لوحة_القيادة!$C$4), 1, 0)</f>
        <v>0</v>
      </c>
      <c r="I174">
        <f>IF(H174=1, SUM($H$2:H174), "")</f>
        <v>0</v>
      </c>
    </row>
    <row r="175" spans="1:9">
      <c r="A175" s="2" t="s">
        <v>18</v>
      </c>
      <c r="B175" s="2" t="s">
        <v>229</v>
      </c>
      <c r="C175" s="2">
        <v>251</v>
      </c>
      <c r="D175" s="2">
        <v>4.18</v>
      </c>
      <c r="E175" s="2">
        <v>5</v>
      </c>
      <c r="F175" s="2">
        <v>50.2</v>
      </c>
      <c r="G175" s="2" t="s">
        <v>230</v>
      </c>
      <c r="H175">
        <f>IF(OR(لوحة_القيادة!$C$4="الكل", A175=لوحة_القيادة!$C$4), 1, 0)</f>
        <v>0</v>
      </c>
      <c r="I175">
        <f>IF(H175=1, SUM($H$2:H175), "")</f>
        <v>0</v>
      </c>
    </row>
    <row r="176" spans="1:9">
      <c r="A176" s="2" t="s">
        <v>6</v>
      </c>
      <c r="B176" s="2" t="s">
        <v>231</v>
      </c>
      <c r="C176" s="2">
        <v>248</v>
      </c>
      <c r="D176" s="2">
        <v>4.13</v>
      </c>
      <c r="E176" s="2">
        <v>48</v>
      </c>
      <c r="F176" s="2">
        <v>5.17</v>
      </c>
      <c r="G176" s="2" t="s">
        <v>33</v>
      </c>
      <c r="H176">
        <f>IF(OR(لوحة_القيادة!$C$4="الكل", A176=لوحة_القيادة!$C$4), 1, 0)</f>
        <v>0</v>
      </c>
      <c r="I176">
        <f>IF(H176=1, SUM($H$2:H176), "")</f>
        <v>0</v>
      </c>
    </row>
    <row r="177" spans="1:9">
      <c r="A177" s="2" t="s">
        <v>17</v>
      </c>
      <c r="B177" s="2" t="s">
        <v>232</v>
      </c>
      <c r="C177" s="2">
        <v>244</v>
      </c>
      <c r="D177" s="2">
        <v>4.07</v>
      </c>
      <c r="E177" s="2">
        <v>21</v>
      </c>
      <c r="F177" s="2">
        <v>11.62</v>
      </c>
      <c r="G177" s="2" t="s">
        <v>33</v>
      </c>
      <c r="H177">
        <f>IF(OR(لوحة_القيادة!$C$4="الكل", A177=لوحة_القيادة!$C$4), 1, 0)</f>
        <v>0</v>
      </c>
      <c r="I177">
        <f>IF(H177=1, SUM($H$2:H177), "")</f>
        <v>0</v>
      </c>
    </row>
    <row r="178" spans="1:9">
      <c r="A178" s="2" t="s">
        <v>17</v>
      </c>
      <c r="B178" s="2" t="s">
        <v>233</v>
      </c>
      <c r="C178" s="2">
        <v>243</v>
      </c>
      <c r="D178" s="2">
        <v>4.05</v>
      </c>
      <c r="E178" s="2">
        <v>10</v>
      </c>
      <c r="F178" s="2">
        <v>24.3</v>
      </c>
      <c r="G178" s="2" t="s">
        <v>234</v>
      </c>
      <c r="H178">
        <f>IF(OR(لوحة_القيادة!$C$4="الكل", A178=لوحة_القيادة!$C$4), 1, 0)</f>
        <v>0</v>
      </c>
      <c r="I178">
        <f>IF(H178=1, SUM($H$2:H178), "")</f>
        <v>0</v>
      </c>
    </row>
    <row r="179" spans="1:9">
      <c r="A179" s="2" t="s">
        <v>20</v>
      </c>
      <c r="B179" s="2" t="s">
        <v>235</v>
      </c>
      <c r="C179" s="2">
        <v>243</v>
      </c>
      <c r="D179" s="2">
        <v>4.05</v>
      </c>
      <c r="E179" s="2">
        <v>48</v>
      </c>
      <c r="F179" s="2">
        <v>5.06</v>
      </c>
      <c r="G179" s="2" t="s">
        <v>33</v>
      </c>
      <c r="H179">
        <f>IF(OR(لوحة_القيادة!$C$4="الكل", A179=لوحة_القيادة!$C$4), 1, 0)</f>
        <v>0</v>
      </c>
      <c r="I179">
        <f>IF(H179=1, SUM($H$2:H179), "")</f>
        <v>0</v>
      </c>
    </row>
    <row r="180" spans="1:9">
      <c r="A180" s="2" t="s">
        <v>9</v>
      </c>
      <c r="B180" s="2" t="s">
        <v>236</v>
      </c>
      <c r="C180" s="2">
        <v>239</v>
      </c>
      <c r="D180" s="2">
        <v>3.98</v>
      </c>
      <c r="E180" s="2">
        <v>23</v>
      </c>
      <c r="F180" s="2">
        <v>10.39</v>
      </c>
      <c r="G180" s="2" t="s">
        <v>33</v>
      </c>
      <c r="H180">
        <f>IF(OR(لوحة_القيادة!$C$4="الكل", A180=لوحة_القيادة!$C$4), 1, 0)</f>
        <v>0</v>
      </c>
      <c r="I180">
        <f>IF(H180=1, SUM($H$2:H180), "")</f>
        <v>0</v>
      </c>
    </row>
    <row r="181" spans="1:9">
      <c r="A181" s="2" t="s">
        <v>9</v>
      </c>
      <c r="B181" s="2" t="s">
        <v>237</v>
      </c>
      <c r="C181" s="2">
        <v>233</v>
      </c>
      <c r="D181" s="2">
        <v>3.88</v>
      </c>
      <c r="E181" s="2">
        <v>26</v>
      </c>
      <c r="F181" s="2">
        <v>8.960000000000001</v>
      </c>
      <c r="G181" s="2" t="s">
        <v>33</v>
      </c>
      <c r="H181">
        <f>IF(OR(لوحة_القيادة!$C$4="الكل", A181=لوحة_القيادة!$C$4), 1, 0)</f>
        <v>0</v>
      </c>
      <c r="I181">
        <f>IF(H181=1, SUM($H$2:H181), "")</f>
        <v>0</v>
      </c>
    </row>
    <row r="182" spans="1:9">
      <c r="A182" s="2" t="s">
        <v>8</v>
      </c>
      <c r="B182" s="2" t="s">
        <v>238</v>
      </c>
      <c r="C182" s="2">
        <v>232</v>
      </c>
      <c r="D182" s="2">
        <v>3.87</v>
      </c>
      <c r="E182" s="2">
        <v>13</v>
      </c>
      <c r="F182" s="2">
        <v>17.85</v>
      </c>
      <c r="G182" s="2" t="s">
        <v>33</v>
      </c>
      <c r="H182">
        <f>IF(OR(لوحة_القيادة!$C$4="الكل", A182=لوحة_القيادة!$C$4), 1, 0)</f>
        <v>0</v>
      </c>
      <c r="I182">
        <f>IF(H182=1, SUM($H$2:H182), "")</f>
        <v>0</v>
      </c>
    </row>
    <row r="183" spans="1:9">
      <c r="A183" s="2" t="s">
        <v>18</v>
      </c>
      <c r="B183" s="2" t="s">
        <v>239</v>
      </c>
      <c r="C183" s="2">
        <v>232</v>
      </c>
      <c r="D183" s="2">
        <v>3.87</v>
      </c>
      <c r="E183" s="2">
        <v>1</v>
      </c>
      <c r="F183" s="2">
        <v>232</v>
      </c>
      <c r="G183" s="2" t="s">
        <v>240</v>
      </c>
      <c r="H183">
        <f>IF(OR(لوحة_القيادة!$C$4="الكل", A183=لوحة_القيادة!$C$4), 1, 0)</f>
        <v>0</v>
      </c>
      <c r="I183">
        <f>IF(H183=1, SUM($H$2:H183), "")</f>
        <v>0</v>
      </c>
    </row>
    <row r="184" spans="1:9">
      <c r="A184" s="2" t="s">
        <v>18</v>
      </c>
      <c r="B184" s="2" t="s">
        <v>241</v>
      </c>
      <c r="C184" s="2">
        <v>221</v>
      </c>
      <c r="D184" s="2">
        <v>3.68</v>
      </c>
      <c r="E184" s="2">
        <v>16</v>
      </c>
      <c r="F184" s="2">
        <v>13.81</v>
      </c>
      <c r="G184" s="2" t="s">
        <v>82</v>
      </c>
      <c r="H184">
        <f>IF(OR(لوحة_القيادة!$C$4="الكل", A184=لوحة_القيادة!$C$4), 1, 0)</f>
        <v>0</v>
      </c>
      <c r="I184">
        <f>IF(H184=1, SUM($H$2:H184), "")</f>
        <v>0</v>
      </c>
    </row>
    <row r="185" spans="1:9">
      <c r="A185" s="2" t="s">
        <v>9</v>
      </c>
      <c r="B185" s="2" t="s">
        <v>242</v>
      </c>
      <c r="C185" s="2">
        <v>219</v>
      </c>
      <c r="D185" s="2">
        <v>3.65</v>
      </c>
      <c r="E185" s="2">
        <v>19</v>
      </c>
      <c r="F185" s="2">
        <v>11.53</v>
      </c>
      <c r="G185" s="2" t="s">
        <v>33</v>
      </c>
      <c r="H185">
        <f>IF(OR(لوحة_القيادة!$C$4="الكل", A185=لوحة_القيادة!$C$4), 1, 0)</f>
        <v>0</v>
      </c>
      <c r="I185">
        <f>IF(H185=1, SUM($H$2:H185), "")</f>
        <v>0</v>
      </c>
    </row>
    <row r="186" spans="1:9">
      <c r="A186" s="2" t="s">
        <v>13</v>
      </c>
      <c r="B186" s="2" t="s">
        <v>243</v>
      </c>
      <c r="C186" s="2">
        <v>218</v>
      </c>
      <c r="D186" s="2">
        <v>3.63</v>
      </c>
      <c r="E186" s="2">
        <v>6</v>
      </c>
      <c r="F186" s="2">
        <v>36.33</v>
      </c>
      <c r="G186" s="2" t="s">
        <v>244</v>
      </c>
      <c r="H186">
        <f>IF(OR(لوحة_القيادة!$C$4="الكل", A186=لوحة_القيادة!$C$4), 1, 0)</f>
        <v>0</v>
      </c>
      <c r="I186">
        <f>IF(H186=1, SUM($H$2:H186), "")</f>
        <v>0</v>
      </c>
    </row>
    <row r="187" spans="1:9">
      <c r="A187" s="2" t="s">
        <v>20</v>
      </c>
      <c r="B187" s="2" t="s">
        <v>245</v>
      </c>
      <c r="C187" s="2">
        <v>216</v>
      </c>
      <c r="D187" s="2">
        <v>3.6</v>
      </c>
      <c r="E187" s="2">
        <v>30</v>
      </c>
      <c r="F187" s="2">
        <v>7.2</v>
      </c>
      <c r="G187" s="2" t="s">
        <v>33</v>
      </c>
      <c r="H187">
        <f>IF(OR(لوحة_القيادة!$C$4="الكل", A187=لوحة_القيادة!$C$4), 1, 0)</f>
        <v>0</v>
      </c>
      <c r="I187">
        <f>IF(H187=1, SUM($H$2:H187), "")</f>
        <v>0</v>
      </c>
    </row>
    <row r="188" spans="1:9">
      <c r="A188" s="2" t="s">
        <v>9</v>
      </c>
      <c r="B188" s="2" t="s">
        <v>246</v>
      </c>
      <c r="C188" s="2">
        <v>215</v>
      </c>
      <c r="D188" s="2">
        <v>3.58</v>
      </c>
      <c r="E188" s="2">
        <v>41</v>
      </c>
      <c r="F188" s="2">
        <v>5.24</v>
      </c>
      <c r="G188" s="2" t="s">
        <v>33</v>
      </c>
      <c r="H188">
        <f>IF(OR(لوحة_القيادة!$C$4="الكل", A188=لوحة_القيادة!$C$4), 1, 0)</f>
        <v>0</v>
      </c>
      <c r="I188">
        <f>IF(H188=1, SUM($H$2:H188), "")</f>
        <v>0</v>
      </c>
    </row>
    <row r="189" spans="1:9">
      <c r="A189" s="2" t="s">
        <v>1</v>
      </c>
      <c r="B189" s="2" t="s">
        <v>247</v>
      </c>
      <c r="C189" s="2">
        <v>214</v>
      </c>
      <c r="D189" s="2">
        <v>3.57</v>
      </c>
      <c r="E189" s="2">
        <v>30</v>
      </c>
      <c r="F189" s="2">
        <v>7.13</v>
      </c>
      <c r="G189" s="2" t="s">
        <v>33</v>
      </c>
      <c r="H189">
        <f>IF(OR(لوحة_القيادة!$C$4="الكل", A189=لوحة_القيادة!$C$4), 1, 0)</f>
        <v>0</v>
      </c>
      <c r="I189">
        <f>IF(H189=1, SUM($H$2:H189), "")</f>
        <v>0</v>
      </c>
    </row>
    <row r="190" spans="1:9">
      <c r="A190" s="2" t="s">
        <v>17</v>
      </c>
      <c r="B190" s="2" t="s">
        <v>248</v>
      </c>
      <c r="C190" s="2">
        <v>214</v>
      </c>
      <c r="D190" s="2">
        <v>3.57</v>
      </c>
      <c r="E190" s="2">
        <v>13</v>
      </c>
      <c r="F190" s="2">
        <v>16.46</v>
      </c>
      <c r="G190" s="2" t="s">
        <v>33</v>
      </c>
      <c r="H190">
        <f>IF(OR(لوحة_القيادة!$C$4="الكل", A190=لوحة_القيادة!$C$4), 1, 0)</f>
        <v>0</v>
      </c>
      <c r="I190">
        <f>IF(H190=1, SUM($H$2:H190), "")</f>
        <v>0</v>
      </c>
    </row>
    <row r="191" spans="1:9">
      <c r="A191" s="2" t="s">
        <v>13</v>
      </c>
      <c r="B191" s="2" t="s">
        <v>249</v>
      </c>
      <c r="C191" s="2">
        <v>211</v>
      </c>
      <c r="D191" s="2">
        <v>3.52</v>
      </c>
      <c r="E191" s="2">
        <v>10</v>
      </c>
      <c r="F191" s="2">
        <v>21.1</v>
      </c>
      <c r="G191" s="2" t="s">
        <v>140</v>
      </c>
      <c r="H191">
        <f>IF(OR(لوحة_القيادة!$C$4="الكل", A191=لوحة_القيادة!$C$4), 1, 0)</f>
        <v>0</v>
      </c>
      <c r="I191">
        <f>IF(H191=1, SUM($H$2:H191), "")</f>
        <v>0</v>
      </c>
    </row>
    <row r="192" spans="1:9">
      <c r="A192" s="2" t="s">
        <v>18</v>
      </c>
      <c r="B192" s="2" t="s">
        <v>250</v>
      </c>
      <c r="C192" s="2">
        <v>211</v>
      </c>
      <c r="D192" s="2">
        <v>3.52</v>
      </c>
      <c r="E192" s="2">
        <v>8</v>
      </c>
      <c r="F192" s="2">
        <v>26.38</v>
      </c>
      <c r="G192" s="2" t="s">
        <v>33</v>
      </c>
      <c r="H192">
        <f>IF(OR(لوحة_القيادة!$C$4="الكل", A192=لوحة_القيادة!$C$4), 1, 0)</f>
        <v>0</v>
      </c>
      <c r="I192">
        <f>IF(H192=1, SUM($H$2:H192), "")</f>
        <v>0</v>
      </c>
    </row>
    <row r="193" spans="1:9">
      <c r="A193" s="2" t="s">
        <v>10</v>
      </c>
      <c r="B193" s="2" t="s">
        <v>251</v>
      </c>
      <c r="C193" s="2">
        <v>203</v>
      </c>
      <c r="D193" s="2">
        <v>3.38</v>
      </c>
      <c r="E193" s="2">
        <v>17</v>
      </c>
      <c r="F193" s="2">
        <v>11.94</v>
      </c>
      <c r="G193" s="2" t="s">
        <v>104</v>
      </c>
      <c r="H193">
        <f>IF(OR(لوحة_القيادة!$C$4="الكل", A193=لوحة_القيادة!$C$4), 1, 0)</f>
        <v>0</v>
      </c>
      <c r="I193">
        <f>IF(H193=1, SUM($H$2:H193), "")</f>
        <v>0</v>
      </c>
    </row>
    <row r="194" spans="1:9">
      <c r="A194" s="2" t="s">
        <v>18</v>
      </c>
      <c r="B194" s="2" t="s">
        <v>252</v>
      </c>
      <c r="C194" s="2">
        <v>194</v>
      </c>
      <c r="D194" s="2">
        <v>3.23</v>
      </c>
      <c r="E194" s="2">
        <v>18</v>
      </c>
      <c r="F194" s="2">
        <v>10.78</v>
      </c>
      <c r="G194" s="2" t="s">
        <v>33</v>
      </c>
      <c r="H194">
        <f>IF(OR(لوحة_القيادة!$C$4="الكل", A194=لوحة_القيادة!$C$4), 1, 0)</f>
        <v>0</v>
      </c>
      <c r="I194">
        <f>IF(H194=1, SUM($H$2:H194), "")</f>
        <v>0</v>
      </c>
    </row>
    <row r="195" spans="1:9">
      <c r="A195" s="2" t="s">
        <v>9</v>
      </c>
      <c r="B195" s="2" t="s">
        <v>253</v>
      </c>
      <c r="C195" s="2">
        <v>193</v>
      </c>
      <c r="D195" s="2">
        <v>3.22</v>
      </c>
      <c r="E195" s="2">
        <v>20</v>
      </c>
      <c r="F195" s="2">
        <v>9.65</v>
      </c>
      <c r="G195" s="2" t="s">
        <v>33</v>
      </c>
      <c r="H195">
        <f>IF(OR(لوحة_القيادة!$C$4="الكل", A195=لوحة_القيادة!$C$4), 1, 0)</f>
        <v>0</v>
      </c>
      <c r="I195">
        <f>IF(H195=1, SUM($H$2:H195), "")</f>
        <v>0</v>
      </c>
    </row>
    <row r="196" spans="1:9">
      <c r="A196" s="2" t="s">
        <v>9</v>
      </c>
      <c r="B196" s="2" t="s">
        <v>254</v>
      </c>
      <c r="C196" s="2">
        <v>193</v>
      </c>
      <c r="D196" s="2">
        <v>3.22</v>
      </c>
      <c r="E196" s="2">
        <v>15</v>
      </c>
      <c r="F196" s="2">
        <v>12.87</v>
      </c>
      <c r="G196" s="2" t="s">
        <v>33</v>
      </c>
      <c r="H196">
        <f>IF(OR(لوحة_القيادة!$C$4="الكل", A196=لوحة_القيادة!$C$4), 1, 0)</f>
        <v>0</v>
      </c>
      <c r="I196">
        <f>IF(H196=1, SUM($H$2:H196), "")</f>
        <v>0</v>
      </c>
    </row>
    <row r="197" spans="1:9">
      <c r="A197" s="2" t="s">
        <v>2</v>
      </c>
      <c r="B197" s="2" t="s">
        <v>255</v>
      </c>
      <c r="C197" s="2">
        <v>192</v>
      </c>
      <c r="D197" s="2">
        <v>3.2</v>
      </c>
      <c r="E197" s="2">
        <v>12</v>
      </c>
      <c r="F197" s="2">
        <v>16</v>
      </c>
      <c r="G197" s="2" t="s">
        <v>82</v>
      </c>
      <c r="H197">
        <f>IF(OR(لوحة_القيادة!$C$4="الكل", A197=لوحة_القيادة!$C$4), 1, 0)</f>
        <v>0</v>
      </c>
      <c r="I197">
        <f>IF(H197=1, SUM($H$2:H197), "")</f>
        <v>0</v>
      </c>
    </row>
    <row r="198" spans="1:9">
      <c r="A198" s="2" t="s">
        <v>13</v>
      </c>
      <c r="B198" s="2" t="s">
        <v>256</v>
      </c>
      <c r="C198" s="2">
        <v>191</v>
      </c>
      <c r="D198" s="2">
        <v>3.18</v>
      </c>
      <c r="E198" s="2">
        <v>22</v>
      </c>
      <c r="F198" s="2">
        <v>8.68</v>
      </c>
      <c r="G198" s="2" t="s">
        <v>33</v>
      </c>
      <c r="H198">
        <f>IF(OR(لوحة_القيادة!$C$4="الكل", A198=لوحة_القيادة!$C$4), 1, 0)</f>
        <v>0</v>
      </c>
      <c r="I198">
        <f>IF(H198=1, SUM($H$2:H198), "")</f>
        <v>0</v>
      </c>
    </row>
    <row r="199" spans="1:9">
      <c r="A199" s="2" t="s">
        <v>13</v>
      </c>
      <c r="B199" s="2" t="s">
        <v>257</v>
      </c>
      <c r="C199" s="2">
        <v>188</v>
      </c>
      <c r="D199" s="2">
        <v>3.13</v>
      </c>
      <c r="E199" s="2">
        <v>18</v>
      </c>
      <c r="F199" s="2">
        <v>10.44</v>
      </c>
      <c r="G199" s="2" t="s">
        <v>33</v>
      </c>
      <c r="H199">
        <f>IF(OR(لوحة_القيادة!$C$4="الكل", A199=لوحة_القيادة!$C$4), 1, 0)</f>
        <v>0</v>
      </c>
      <c r="I199">
        <f>IF(H199=1, SUM($H$2:H199), "")</f>
        <v>0</v>
      </c>
    </row>
    <row r="200" spans="1:9">
      <c r="A200" s="2" t="s">
        <v>11</v>
      </c>
      <c r="B200" s="2" t="s">
        <v>258</v>
      </c>
      <c r="C200" s="2">
        <v>187</v>
      </c>
      <c r="D200" s="2">
        <v>3.12</v>
      </c>
      <c r="E200" s="2">
        <v>3</v>
      </c>
      <c r="F200" s="2">
        <v>62.33</v>
      </c>
      <c r="G200" s="2" t="s">
        <v>33</v>
      </c>
      <c r="H200">
        <f>IF(OR(لوحة_القيادة!$C$4="الكل", A200=لوحة_القيادة!$C$4), 1, 0)</f>
        <v>0</v>
      </c>
      <c r="I200">
        <f>IF(H200=1, SUM($H$2:H200), "")</f>
        <v>0</v>
      </c>
    </row>
    <row r="201" spans="1:9">
      <c r="A201" s="2" t="s">
        <v>16</v>
      </c>
      <c r="B201" s="2" t="s">
        <v>259</v>
      </c>
      <c r="C201" s="2">
        <v>182</v>
      </c>
      <c r="D201" s="2">
        <v>3.03</v>
      </c>
      <c r="E201" s="2">
        <v>22</v>
      </c>
      <c r="F201" s="2">
        <v>8.27</v>
      </c>
      <c r="G201" s="2" t="s">
        <v>33</v>
      </c>
      <c r="H201">
        <f>IF(OR(لوحة_القيادة!$C$4="الكل", A201=لوحة_القيادة!$C$4), 1, 0)</f>
        <v>0</v>
      </c>
      <c r="I201">
        <f>IF(H201=1, SUM($H$2:H201), "")</f>
        <v>0</v>
      </c>
    </row>
    <row r="202" spans="1:9">
      <c r="A202" s="2" t="s">
        <v>13</v>
      </c>
      <c r="B202" s="2" t="s">
        <v>260</v>
      </c>
      <c r="C202" s="2">
        <v>180</v>
      </c>
      <c r="D202" s="2">
        <v>3</v>
      </c>
      <c r="E202" s="2">
        <v>27</v>
      </c>
      <c r="F202" s="2">
        <v>6.67</v>
      </c>
      <c r="G202" s="2" t="s">
        <v>33</v>
      </c>
      <c r="H202">
        <f>IF(OR(لوحة_القيادة!$C$4="الكل", A202=لوحة_القيادة!$C$4), 1, 0)</f>
        <v>0</v>
      </c>
      <c r="I202">
        <f>IF(H202=1, SUM($H$2:H202), "")</f>
        <v>0</v>
      </c>
    </row>
    <row r="203" spans="1:9">
      <c r="A203" s="2" t="s">
        <v>13</v>
      </c>
      <c r="B203" s="2" t="s">
        <v>261</v>
      </c>
      <c r="C203" s="2">
        <v>177</v>
      </c>
      <c r="D203" s="2">
        <v>2.95</v>
      </c>
      <c r="E203" s="2">
        <v>1</v>
      </c>
      <c r="F203" s="2">
        <v>177</v>
      </c>
      <c r="G203" s="2" t="s">
        <v>140</v>
      </c>
      <c r="H203">
        <f>IF(OR(لوحة_القيادة!$C$4="الكل", A203=لوحة_القيادة!$C$4), 1, 0)</f>
        <v>0</v>
      </c>
      <c r="I203">
        <f>IF(H203=1, SUM($H$2:H203), "")</f>
        <v>0</v>
      </c>
    </row>
    <row r="204" spans="1:9">
      <c r="A204" s="2" t="s">
        <v>18</v>
      </c>
      <c r="B204" s="2" t="s">
        <v>262</v>
      </c>
      <c r="C204" s="2">
        <v>173</v>
      </c>
      <c r="D204" s="2">
        <v>2.88</v>
      </c>
      <c r="E204" s="2">
        <v>16</v>
      </c>
      <c r="F204" s="2">
        <v>10.81</v>
      </c>
      <c r="G204" s="2" t="s">
        <v>33</v>
      </c>
      <c r="H204">
        <f>IF(OR(لوحة_القيادة!$C$4="الكل", A204=لوحة_القيادة!$C$4), 1, 0)</f>
        <v>0</v>
      </c>
      <c r="I204">
        <f>IF(H204=1, SUM($H$2:H204), "")</f>
        <v>0</v>
      </c>
    </row>
    <row r="205" spans="1:9">
      <c r="A205" s="2" t="s">
        <v>1</v>
      </c>
      <c r="B205" s="2" t="s">
        <v>263</v>
      </c>
      <c r="C205" s="2">
        <v>168</v>
      </c>
      <c r="D205" s="2">
        <v>2.8</v>
      </c>
      <c r="E205" s="2">
        <v>30</v>
      </c>
      <c r="F205" s="2">
        <v>5.6</v>
      </c>
      <c r="G205" s="2" t="s">
        <v>33</v>
      </c>
      <c r="H205">
        <f>IF(OR(لوحة_القيادة!$C$4="الكل", A205=لوحة_القيادة!$C$4), 1, 0)</f>
        <v>0</v>
      </c>
      <c r="I205">
        <f>IF(H205=1, SUM($H$2:H205), "")</f>
        <v>0</v>
      </c>
    </row>
    <row r="206" spans="1:9">
      <c r="A206" s="2" t="s">
        <v>13</v>
      </c>
      <c r="B206" s="2" t="s">
        <v>264</v>
      </c>
      <c r="C206" s="2">
        <v>158</v>
      </c>
      <c r="D206" s="2">
        <v>2.63</v>
      </c>
      <c r="E206" s="2">
        <v>14</v>
      </c>
      <c r="F206" s="2">
        <v>11.29</v>
      </c>
      <c r="G206" s="2" t="s">
        <v>265</v>
      </c>
      <c r="H206">
        <f>IF(OR(لوحة_القيادة!$C$4="الكل", A206=لوحة_القيادة!$C$4), 1, 0)</f>
        <v>0</v>
      </c>
      <c r="I206">
        <f>IF(H206=1, SUM($H$2:H206), "")</f>
        <v>0</v>
      </c>
    </row>
    <row r="207" spans="1:9">
      <c r="A207" s="2" t="s">
        <v>19</v>
      </c>
      <c r="B207" s="2" t="s">
        <v>266</v>
      </c>
      <c r="C207" s="2">
        <v>156</v>
      </c>
      <c r="D207" s="2">
        <v>2.6</v>
      </c>
      <c r="E207" s="2">
        <v>8</v>
      </c>
      <c r="F207" s="2">
        <v>19.5</v>
      </c>
      <c r="G207" s="2" t="s">
        <v>186</v>
      </c>
      <c r="H207">
        <f>IF(OR(لوحة_القيادة!$C$4="الكل", A207=لوحة_القيادة!$C$4), 1, 0)</f>
        <v>0</v>
      </c>
      <c r="I207">
        <f>IF(H207=1, SUM($H$2:H207), "")</f>
        <v>0</v>
      </c>
    </row>
    <row r="208" spans="1:9">
      <c r="A208" s="2" t="s">
        <v>1</v>
      </c>
      <c r="B208" s="2" t="s">
        <v>267</v>
      </c>
      <c r="C208" s="2">
        <v>155</v>
      </c>
      <c r="D208" s="2">
        <v>2.58</v>
      </c>
      <c r="E208" s="2">
        <v>13</v>
      </c>
      <c r="F208" s="2">
        <v>11.92</v>
      </c>
      <c r="G208" s="2" t="s">
        <v>48</v>
      </c>
      <c r="H208">
        <f>IF(OR(لوحة_القيادة!$C$4="الكل", A208=لوحة_القيادة!$C$4), 1, 0)</f>
        <v>0</v>
      </c>
      <c r="I208">
        <f>IF(H208=1, SUM($H$2:H208), "")</f>
        <v>0</v>
      </c>
    </row>
    <row r="209" spans="1:9">
      <c r="A209" s="2" t="s">
        <v>10</v>
      </c>
      <c r="B209" s="2" t="s">
        <v>268</v>
      </c>
      <c r="C209" s="2">
        <v>155</v>
      </c>
      <c r="D209" s="2">
        <v>2.58</v>
      </c>
      <c r="E209" s="2">
        <v>7</v>
      </c>
      <c r="F209" s="2">
        <v>22.14</v>
      </c>
      <c r="G209" s="2" t="s">
        <v>269</v>
      </c>
      <c r="H209">
        <f>IF(OR(لوحة_القيادة!$C$4="الكل", A209=لوحة_القيادة!$C$4), 1, 0)</f>
        <v>0</v>
      </c>
      <c r="I209">
        <f>IF(H209=1, SUM($H$2:H209), "")</f>
        <v>0</v>
      </c>
    </row>
    <row r="210" spans="1:9">
      <c r="A210" s="2" t="s">
        <v>10</v>
      </c>
      <c r="B210" s="2" t="s">
        <v>270</v>
      </c>
      <c r="C210" s="2">
        <v>154</v>
      </c>
      <c r="D210" s="2">
        <v>2.57</v>
      </c>
      <c r="E210" s="2">
        <v>13</v>
      </c>
      <c r="F210" s="2">
        <v>11.85</v>
      </c>
      <c r="G210" s="2" t="s">
        <v>48</v>
      </c>
      <c r="H210">
        <f>IF(OR(لوحة_القيادة!$C$4="الكل", A210=لوحة_القيادة!$C$4), 1, 0)</f>
        <v>0</v>
      </c>
      <c r="I210">
        <f>IF(H210=1, SUM($H$2:H210), "")</f>
        <v>0</v>
      </c>
    </row>
    <row r="211" spans="1:9">
      <c r="A211" s="2" t="s">
        <v>11</v>
      </c>
      <c r="B211" s="2" t="s">
        <v>271</v>
      </c>
      <c r="C211" s="2">
        <v>154</v>
      </c>
      <c r="D211" s="2">
        <v>2.57</v>
      </c>
      <c r="E211" s="2">
        <v>10</v>
      </c>
      <c r="F211" s="2">
        <v>15.4</v>
      </c>
      <c r="G211" s="2" t="s">
        <v>272</v>
      </c>
      <c r="H211">
        <f>IF(OR(لوحة_القيادة!$C$4="الكل", A211=لوحة_القيادة!$C$4), 1, 0)</f>
        <v>0</v>
      </c>
      <c r="I211">
        <f>IF(H211=1, SUM($H$2:H211), "")</f>
        <v>0</v>
      </c>
    </row>
    <row r="212" spans="1:9">
      <c r="A212" s="2" t="s">
        <v>18</v>
      </c>
      <c r="B212" s="2" t="s">
        <v>273</v>
      </c>
      <c r="C212" s="2">
        <v>154</v>
      </c>
      <c r="D212" s="2">
        <v>2.57</v>
      </c>
      <c r="E212" s="2">
        <v>2</v>
      </c>
      <c r="F212" s="2">
        <v>77</v>
      </c>
      <c r="G212" s="2" t="s">
        <v>173</v>
      </c>
      <c r="H212">
        <f>IF(OR(لوحة_القيادة!$C$4="الكل", A212=لوحة_القيادة!$C$4), 1, 0)</f>
        <v>0</v>
      </c>
      <c r="I212">
        <f>IF(H212=1, SUM($H$2:H212), "")</f>
        <v>0</v>
      </c>
    </row>
    <row r="213" spans="1:9">
      <c r="A213" s="2" t="s">
        <v>10</v>
      </c>
      <c r="B213" s="2" t="s">
        <v>274</v>
      </c>
      <c r="C213" s="2">
        <v>151</v>
      </c>
      <c r="D213" s="2">
        <v>2.52</v>
      </c>
      <c r="E213" s="2">
        <v>11</v>
      </c>
      <c r="F213" s="2">
        <v>13.73</v>
      </c>
      <c r="G213" s="2" t="s">
        <v>82</v>
      </c>
      <c r="H213">
        <f>IF(OR(لوحة_القيادة!$C$4="الكل", A213=لوحة_القيادة!$C$4), 1, 0)</f>
        <v>0</v>
      </c>
      <c r="I213">
        <f>IF(H213=1, SUM($H$2:H213), "")</f>
        <v>0</v>
      </c>
    </row>
    <row r="214" spans="1:9">
      <c r="A214" s="2" t="s">
        <v>4</v>
      </c>
      <c r="B214" s="2" t="s">
        <v>275</v>
      </c>
      <c r="C214" s="2">
        <v>148</v>
      </c>
      <c r="D214" s="2">
        <v>2.47</v>
      </c>
      <c r="E214" s="2">
        <v>14</v>
      </c>
      <c r="F214" s="2">
        <v>10.57</v>
      </c>
      <c r="G214" s="2" t="s">
        <v>48</v>
      </c>
      <c r="H214">
        <f>IF(OR(لوحة_القيادة!$C$4="الكل", A214=لوحة_القيادة!$C$4), 1, 0)</f>
        <v>0</v>
      </c>
      <c r="I214">
        <f>IF(H214=1, SUM($H$2:H214), "")</f>
        <v>0</v>
      </c>
    </row>
    <row r="215" spans="1:9">
      <c r="A215" s="2" t="s">
        <v>13</v>
      </c>
      <c r="B215" s="2" t="s">
        <v>276</v>
      </c>
      <c r="C215" s="2">
        <v>146</v>
      </c>
      <c r="D215" s="2">
        <v>2.43</v>
      </c>
      <c r="E215" s="2">
        <v>27</v>
      </c>
      <c r="F215" s="2">
        <v>5.41</v>
      </c>
      <c r="G215" s="2" t="s">
        <v>33</v>
      </c>
      <c r="H215">
        <f>IF(OR(لوحة_القيادة!$C$4="الكل", A215=لوحة_القيادة!$C$4), 1, 0)</f>
        <v>0</v>
      </c>
      <c r="I215">
        <f>IF(H215=1, SUM($H$2:H215), "")</f>
        <v>0</v>
      </c>
    </row>
    <row r="216" spans="1:9">
      <c r="A216" s="2" t="s">
        <v>10</v>
      </c>
      <c r="B216" s="2" t="s">
        <v>277</v>
      </c>
      <c r="C216" s="2">
        <v>144</v>
      </c>
      <c r="D216" s="2">
        <v>2.4</v>
      </c>
      <c r="E216" s="2">
        <v>5</v>
      </c>
      <c r="F216" s="2">
        <v>28.8</v>
      </c>
      <c r="G216" s="2" t="s">
        <v>230</v>
      </c>
      <c r="H216">
        <f>IF(OR(لوحة_القيادة!$C$4="الكل", A216=لوحة_القيادة!$C$4), 1, 0)</f>
        <v>0</v>
      </c>
      <c r="I216">
        <f>IF(H216=1, SUM($H$2:H216), "")</f>
        <v>0</v>
      </c>
    </row>
    <row r="217" spans="1:9">
      <c r="A217" s="2" t="s">
        <v>10</v>
      </c>
      <c r="B217" s="2" t="s">
        <v>278</v>
      </c>
      <c r="C217" s="2">
        <v>142</v>
      </c>
      <c r="D217" s="2">
        <v>2.37</v>
      </c>
      <c r="E217" s="2">
        <v>4</v>
      </c>
      <c r="F217" s="2">
        <v>35.5</v>
      </c>
      <c r="G217" s="2" t="s">
        <v>82</v>
      </c>
      <c r="H217">
        <f>IF(OR(لوحة_القيادة!$C$4="الكل", A217=لوحة_القيادة!$C$4), 1, 0)</f>
        <v>0</v>
      </c>
      <c r="I217">
        <f>IF(H217=1, SUM($H$2:H217), "")</f>
        <v>0</v>
      </c>
    </row>
    <row r="218" spans="1:9">
      <c r="A218" s="2" t="s">
        <v>11</v>
      </c>
      <c r="B218" s="2" t="s">
        <v>279</v>
      </c>
      <c r="C218" s="2">
        <v>142</v>
      </c>
      <c r="D218" s="2">
        <v>2.37</v>
      </c>
      <c r="E218" s="2">
        <v>2</v>
      </c>
      <c r="F218" s="2">
        <v>71</v>
      </c>
      <c r="G218" s="2" t="s">
        <v>280</v>
      </c>
      <c r="H218">
        <f>IF(OR(لوحة_القيادة!$C$4="الكل", A218=لوحة_القيادة!$C$4), 1, 0)</f>
        <v>0</v>
      </c>
      <c r="I218">
        <f>IF(H218=1, SUM($H$2:H218), "")</f>
        <v>0</v>
      </c>
    </row>
    <row r="219" spans="1:9">
      <c r="A219" s="2" t="s">
        <v>11</v>
      </c>
      <c r="B219" s="2" t="s">
        <v>281</v>
      </c>
      <c r="C219" s="2">
        <v>142</v>
      </c>
      <c r="D219" s="2">
        <v>2.37</v>
      </c>
      <c r="E219" s="2">
        <v>11</v>
      </c>
      <c r="F219" s="2">
        <v>12.91</v>
      </c>
      <c r="G219" s="2" t="s">
        <v>282</v>
      </c>
      <c r="H219">
        <f>IF(OR(لوحة_القيادة!$C$4="الكل", A219=لوحة_القيادة!$C$4), 1, 0)</f>
        <v>0</v>
      </c>
      <c r="I219">
        <f>IF(H219=1, SUM($H$2:H219), "")</f>
        <v>0</v>
      </c>
    </row>
    <row r="220" spans="1:9">
      <c r="A220" s="2" t="s">
        <v>17</v>
      </c>
      <c r="B220" s="2" t="s">
        <v>283</v>
      </c>
      <c r="C220" s="2">
        <v>139</v>
      </c>
      <c r="D220" s="2">
        <v>2.32</v>
      </c>
      <c r="E220" s="2">
        <v>10</v>
      </c>
      <c r="F220" s="2">
        <v>13.9</v>
      </c>
      <c r="G220" s="2" t="s">
        <v>80</v>
      </c>
      <c r="H220">
        <f>IF(OR(لوحة_القيادة!$C$4="الكل", A220=لوحة_القيادة!$C$4), 1, 0)</f>
        <v>0</v>
      </c>
      <c r="I220">
        <f>IF(H220=1, SUM($H$2:H220), "")</f>
        <v>0</v>
      </c>
    </row>
    <row r="221" spans="1:9">
      <c r="A221" s="2" t="s">
        <v>7</v>
      </c>
      <c r="B221" s="2" t="s">
        <v>284</v>
      </c>
      <c r="C221" s="2">
        <v>137</v>
      </c>
      <c r="D221" s="2">
        <v>2.28</v>
      </c>
      <c r="E221" s="2">
        <v>41</v>
      </c>
      <c r="F221" s="2">
        <v>3.34</v>
      </c>
      <c r="G221" s="2" t="s">
        <v>33</v>
      </c>
      <c r="H221">
        <f>IF(OR(لوحة_القيادة!$C$4="الكل", A221=لوحة_القيادة!$C$4), 1, 0)</f>
        <v>0</v>
      </c>
      <c r="I221">
        <f>IF(H221=1, SUM($H$2:H221), "")</f>
        <v>0</v>
      </c>
    </row>
    <row r="222" spans="1:9">
      <c r="A222" s="2" t="s">
        <v>10</v>
      </c>
      <c r="B222" s="2" t="s">
        <v>285</v>
      </c>
      <c r="C222" s="2">
        <v>137</v>
      </c>
      <c r="D222" s="2">
        <v>2.28</v>
      </c>
      <c r="E222" s="2">
        <v>4</v>
      </c>
      <c r="F222" s="2">
        <v>34.25</v>
      </c>
      <c r="G222" s="2" t="s">
        <v>286</v>
      </c>
      <c r="H222">
        <f>IF(OR(لوحة_القيادة!$C$4="الكل", A222=لوحة_القيادة!$C$4), 1, 0)</f>
        <v>0</v>
      </c>
      <c r="I222">
        <f>IF(H222=1, SUM($H$2:H222), "")</f>
        <v>0</v>
      </c>
    </row>
    <row r="223" spans="1:9">
      <c r="A223" s="2" t="s">
        <v>4</v>
      </c>
      <c r="B223" s="2" t="s">
        <v>287</v>
      </c>
      <c r="C223" s="2">
        <v>136</v>
      </c>
      <c r="D223" s="2">
        <v>2.27</v>
      </c>
      <c r="E223" s="2">
        <v>16</v>
      </c>
      <c r="F223" s="2">
        <v>8.5</v>
      </c>
      <c r="G223" s="2" t="s">
        <v>82</v>
      </c>
      <c r="H223">
        <f>IF(OR(لوحة_القيادة!$C$4="الكل", A223=لوحة_القيادة!$C$4), 1, 0)</f>
        <v>0</v>
      </c>
      <c r="I223">
        <f>IF(H223=1, SUM($H$2:H223), "")</f>
        <v>0</v>
      </c>
    </row>
    <row r="224" spans="1:9">
      <c r="A224" s="2" t="s">
        <v>18</v>
      </c>
      <c r="B224" s="2" t="s">
        <v>288</v>
      </c>
      <c r="C224" s="2">
        <v>133</v>
      </c>
      <c r="D224" s="2">
        <v>2.22</v>
      </c>
      <c r="E224" s="2">
        <v>2</v>
      </c>
      <c r="F224" s="2">
        <v>66.5</v>
      </c>
      <c r="G224" s="2" t="s">
        <v>289</v>
      </c>
      <c r="H224">
        <f>IF(OR(لوحة_القيادة!$C$4="الكل", A224=لوحة_القيادة!$C$4), 1, 0)</f>
        <v>0</v>
      </c>
      <c r="I224">
        <f>IF(H224=1, SUM($H$2:H224), "")</f>
        <v>0</v>
      </c>
    </row>
    <row r="225" spans="1:9">
      <c r="A225" s="2" t="s">
        <v>18</v>
      </c>
      <c r="B225" s="2" t="s">
        <v>290</v>
      </c>
      <c r="C225" s="2">
        <v>132</v>
      </c>
      <c r="D225" s="2">
        <v>2.2</v>
      </c>
      <c r="E225" s="2">
        <v>8</v>
      </c>
      <c r="F225" s="2">
        <v>16.5</v>
      </c>
      <c r="G225" s="2" t="s">
        <v>33</v>
      </c>
      <c r="H225">
        <f>IF(OR(لوحة_القيادة!$C$4="الكل", A225=لوحة_القيادة!$C$4), 1, 0)</f>
        <v>0</v>
      </c>
      <c r="I225">
        <f>IF(H225=1, SUM($H$2:H225), "")</f>
        <v>0</v>
      </c>
    </row>
    <row r="226" spans="1:9">
      <c r="A226" s="2" t="s">
        <v>10</v>
      </c>
      <c r="B226" s="2" t="s">
        <v>291</v>
      </c>
      <c r="C226" s="2">
        <v>131</v>
      </c>
      <c r="D226" s="2">
        <v>2.18</v>
      </c>
      <c r="E226" s="2">
        <v>3</v>
      </c>
      <c r="F226" s="2">
        <v>43.67</v>
      </c>
      <c r="G226" s="2" t="s">
        <v>292</v>
      </c>
      <c r="H226">
        <f>IF(OR(لوحة_القيادة!$C$4="الكل", A226=لوحة_القيادة!$C$4), 1, 0)</f>
        <v>0</v>
      </c>
      <c r="I226">
        <f>IF(H226=1, SUM($H$2:H226), "")</f>
        <v>0</v>
      </c>
    </row>
    <row r="227" spans="1:9">
      <c r="A227" s="2" t="s">
        <v>13</v>
      </c>
      <c r="B227" s="2" t="s">
        <v>293</v>
      </c>
      <c r="C227" s="2">
        <v>129</v>
      </c>
      <c r="D227" s="2">
        <v>2.15</v>
      </c>
      <c r="E227" s="2">
        <v>9</v>
      </c>
      <c r="F227" s="2">
        <v>14.33</v>
      </c>
      <c r="G227" s="2" t="s">
        <v>33</v>
      </c>
      <c r="H227">
        <f>IF(OR(لوحة_القيادة!$C$4="الكل", A227=لوحة_القيادة!$C$4), 1, 0)</f>
        <v>0</v>
      </c>
      <c r="I227">
        <f>IF(H227=1, SUM($H$2:H227), "")</f>
        <v>0</v>
      </c>
    </row>
    <row r="228" spans="1:9">
      <c r="A228" s="2" t="s">
        <v>14</v>
      </c>
      <c r="B228" s="2" t="s">
        <v>294</v>
      </c>
      <c r="C228" s="2">
        <v>125</v>
      </c>
      <c r="D228" s="2">
        <v>2.08</v>
      </c>
      <c r="E228" s="2">
        <v>3</v>
      </c>
      <c r="F228" s="2">
        <v>41.67</v>
      </c>
      <c r="G228" s="2" t="s">
        <v>73</v>
      </c>
      <c r="H228">
        <f>IF(OR(لوحة_القيادة!$C$4="الكل", A228=لوحة_القيادة!$C$4), 1, 0)</f>
        <v>0</v>
      </c>
      <c r="I228">
        <f>IF(H228=1, SUM($H$2:H228), "")</f>
        <v>0</v>
      </c>
    </row>
    <row r="229" spans="1:9">
      <c r="A229" s="2" t="s">
        <v>17</v>
      </c>
      <c r="B229" s="2" t="s">
        <v>295</v>
      </c>
      <c r="C229" s="2">
        <v>125</v>
      </c>
      <c r="D229" s="2">
        <v>2.08</v>
      </c>
      <c r="E229" s="2">
        <v>5</v>
      </c>
      <c r="F229" s="2">
        <v>25</v>
      </c>
      <c r="G229" s="2" t="s">
        <v>296</v>
      </c>
      <c r="H229">
        <f>IF(OR(لوحة_القيادة!$C$4="الكل", A229=لوحة_القيادة!$C$4), 1, 0)</f>
        <v>0</v>
      </c>
      <c r="I229">
        <f>IF(H229=1, SUM($H$2:H229), "")</f>
        <v>0</v>
      </c>
    </row>
    <row r="230" spans="1:9">
      <c r="A230" s="2" t="s">
        <v>11</v>
      </c>
      <c r="B230" s="2" t="s">
        <v>297</v>
      </c>
      <c r="C230" s="2">
        <v>124</v>
      </c>
      <c r="D230" s="2">
        <v>2.07</v>
      </c>
      <c r="E230" s="2">
        <v>2</v>
      </c>
      <c r="F230" s="2">
        <v>62</v>
      </c>
      <c r="G230" s="2" t="s">
        <v>298</v>
      </c>
      <c r="H230">
        <f>IF(OR(لوحة_القيادة!$C$4="الكل", A230=لوحة_القيادة!$C$4), 1, 0)</f>
        <v>0</v>
      </c>
      <c r="I230">
        <f>IF(H230=1, SUM($H$2:H230), "")</f>
        <v>0</v>
      </c>
    </row>
    <row r="231" spans="1:9">
      <c r="A231" s="2" t="s">
        <v>11</v>
      </c>
      <c r="B231" s="2" t="s">
        <v>299</v>
      </c>
      <c r="C231" s="2">
        <v>123</v>
      </c>
      <c r="D231" s="2">
        <v>2.05</v>
      </c>
      <c r="E231" s="2">
        <v>4</v>
      </c>
      <c r="F231" s="2">
        <v>30.75</v>
      </c>
      <c r="G231" s="2" t="s">
        <v>60</v>
      </c>
      <c r="H231">
        <f>IF(OR(لوحة_القيادة!$C$4="الكل", A231=لوحة_القيادة!$C$4), 1, 0)</f>
        <v>0</v>
      </c>
      <c r="I231">
        <f>IF(H231=1, SUM($H$2:H231), "")</f>
        <v>0</v>
      </c>
    </row>
    <row r="232" spans="1:9">
      <c r="A232" s="2" t="s">
        <v>10</v>
      </c>
      <c r="B232" s="2" t="s">
        <v>300</v>
      </c>
      <c r="C232" s="2">
        <v>122</v>
      </c>
      <c r="D232" s="2">
        <v>2.03</v>
      </c>
      <c r="E232" s="2">
        <v>25</v>
      </c>
      <c r="F232" s="2">
        <v>4.88</v>
      </c>
      <c r="G232" s="2" t="s">
        <v>60</v>
      </c>
      <c r="H232">
        <f>IF(OR(لوحة_القيادة!$C$4="الكل", A232=لوحة_القيادة!$C$4), 1, 0)</f>
        <v>0</v>
      </c>
      <c r="I232">
        <f>IF(H232=1, SUM($H$2:H232), "")</f>
        <v>0</v>
      </c>
    </row>
    <row r="233" spans="1:9">
      <c r="A233" s="2" t="s">
        <v>17</v>
      </c>
      <c r="B233" s="2" t="s">
        <v>301</v>
      </c>
      <c r="C233" s="2">
        <v>121</v>
      </c>
      <c r="D233" s="2">
        <v>2.02</v>
      </c>
      <c r="E233" s="2">
        <v>7</v>
      </c>
      <c r="F233" s="2">
        <v>17.29</v>
      </c>
      <c r="G233" s="2" t="s">
        <v>33</v>
      </c>
      <c r="H233">
        <f>IF(OR(لوحة_القيادة!$C$4="الكل", A233=لوحة_القيادة!$C$4), 1, 0)</f>
        <v>0</v>
      </c>
      <c r="I233">
        <f>IF(H233=1, SUM($H$2:H233), "")</f>
        <v>0</v>
      </c>
    </row>
    <row r="234" spans="1:9">
      <c r="A234" s="2" t="s">
        <v>8</v>
      </c>
      <c r="B234" s="2" t="s">
        <v>302</v>
      </c>
      <c r="C234" s="2">
        <v>117</v>
      </c>
      <c r="D234" s="2">
        <v>1.95</v>
      </c>
      <c r="E234" s="2">
        <v>4</v>
      </c>
      <c r="F234" s="2">
        <v>29.25</v>
      </c>
      <c r="G234" s="2" t="s">
        <v>180</v>
      </c>
      <c r="H234">
        <f>IF(OR(لوحة_القيادة!$C$4="الكل", A234=لوحة_القيادة!$C$4), 1, 0)</f>
        <v>0</v>
      </c>
      <c r="I234">
        <f>IF(H234=1, SUM($H$2:H234), "")</f>
        <v>0</v>
      </c>
    </row>
    <row r="235" spans="1:9">
      <c r="A235" s="2" t="s">
        <v>18</v>
      </c>
      <c r="B235" s="2" t="s">
        <v>303</v>
      </c>
      <c r="C235" s="2">
        <v>117</v>
      </c>
      <c r="D235" s="2">
        <v>1.95</v>
      </c>
      <c r="E235" s="2">
        <v>29</v>
      </c>
      <c r="F235" s="2">
        <v>4.03</v>
      </c>
      <c r="G235" s="2" t="s">
        <v>33</v>
      </c>
      <c r="H235">
        <f>IF(OR(لوحة_القيادة!$C$4="الكل", A235=لوحة_القيادة!$C$4), 1, 0)</f>
        <v>0</v>
      </c>
      <c r="I235">
        <f>IF(H235=1, SUM($H$2:H235), "")</f>
        <v>0</v>
      </c>
    </row>
    <row r="236" spans="1:9">
      <c r="A236" s="2" t="s">
        <v>8</v>
      </c>
      <c r="B236" s="2" t="s">
        <v>304</v>
      </c>
      <c r="C236" s="2">
        <v>112</v>
      </c>
      <c r="D236" s="2">
        <v>1.87</v>
      </c>
      <c r="E236" s="2">
        <v>16</v>
      </c>
      <c r="F236" s="2">
        <v>7</v>
      </c>
      <c r="G236" s="2" t="s">
        <v>33</v>
      </c>
      <c r="H236">
        <f>IF(OR(لوحة_القيادة!$C$4="الكل", A236=لوحة_القيادة!$C$4), 1, 0)</f>
        <v>0</v>
      </c>
      <c r="I236">
        <f>IF(H236=1, SUM($H$2:H236), "")</f>
        <v>0</v>
      </c>
    </row>
    <row r="237" spans="1:9">
      <c r="A237" s="2" t="s">
        <v>12</v>
      </c>
      <c r="B237" s="2" t="s">
        <v>305</v>
      </c>
      <c r="C237" s="2">
        <v>108</v>
      </c>
      <c r="D237" s="2">
        <v>1.8</v>
      </c>
      <c r="E237" s="2">
        <v>8</v>
      </c>
      <c r="F237" s="2">
        <v>13.5</v>
      </c>
      <c r="G237" s="2" t="s">
        <v>143</v>
      </c>
      <c r="H237">
        <f>IF(OR(لوحة_القيادة!$C$4="الكل", A237=لوحة_القيادة!$C$4), 1, 0)</f>
        <v>0</v>
      </c>
      <c r="I237">
        <f>IF(H237=1, SUM($H$2:H237), "")</f>
        <v>0</v>
      </c>
    </row>
    <row r="238" spans="1:9">
      <c r="A238" s="2" t="s">
        <v>18</v>
      </c>
      <c r="B238" s="2" t="s">
        <v>306</v>
      </c>
      <c r="C238" s="2">
        <v>108</v>
      </c>
      <c r="D238" s="2">
        <v>1.8</v>
      </c>
      <c r="E238" s="2">
        <v>10</v>
      </c>
      <c r="F238" s="2">
        <v>10.8</v>
      </c>
      <c r="G238" s="2" t="s">
        <v>244</v>
      </c>
      <c r="H238">
        <f>IF(OR(لوحة_القيادة!$C$4="الكل", A238=لوحة_القيادة!$C$4), 1, 0)</f>
        <v>0</v>
      </c>
      <c r="I238">
        <f>IF(H238=1, SUM($H$2:H238), "")</f>
        <v>0</v>
      </c>
    </row>
    <row r="239" spans="1:9">
      <c r="A239" s="2" t="s">
        <v>22</v>
      </c>
      <c r="B239" s="2" t="s">
        <v>307</v>
      </c>
      <c r="C239" s="2">
        <v>108</v>
      </c>
      <c r="D239" s="2">
        <v>1.8</v>
      </c>
      <c r="E239" s="2">
        <v>18</v>
      </c>
      <c r="F239" s="2">
        <v>6</v>
      </c>
      <c r="G239" s="2" t="s">
        <v>33</v>
      </c>
      <c r="H239">
        <f>IF(OR(لوحة_القيادة!$C$4="الكل", A239=لوحة_القيادة!$C$4), 1, 0)</f>
        <v>0</v>
      </c>
      <c r="I239">
        <f>IF(H239=1, SUM($H$2:H239), "")</f>
        <v>0</v>
      </c>
    </row>
    <row r="240" spans="1:9">
      <c r="A240" s="2" t="s">
        <v>8</v>
      </c>
      <c r="B240" s="2" t="s">
        <v>308</v>
      </c>
      <c r="C240" s="2">
        <v>106</v>
      </c>
      <c r="D240" s="2">
        <v>1.77</v>
      </c>
      <c r="E240" s="2">
        <v>5</v>
      </c>
      <c r="F240" s="2">
        <v>21.2</v>
      </c>
      <c r="G240" s="2" t="s">
        <v>309</v>
      </c>
      <c r="H240">
        <f>IF(OR(لوحة_القيادة!$C$4="الكل", A240=لوحة_القيادة!$C$4), 1, 0)</f>
        <v>0</v>
      </c>
      <c r="I240">
        <f>IF(H240=1, SUM($H$2:H240), "")</f>
        <v>0</v>
      </c>
    </row>
    <row r="241" spans="1:9">
      <c r="A241" s="2" t="s">
        <v>22</v>
      </c>
      <c r="B241" s="2" t="s">
        <v>310</v>
      </c>
      <c r="C241" s="2">
        <v>106</v>
      </c>
      <c r="D241" s="2">
        <v>1.77</v>
      </c>
      <c r="E241" s="2">
        <v>18</v>
      </c>
      <c r="F241" s="2">
        <v>5.89</v>
      </c>
      <c r="G241" s="2" t="s">
        <v>33</v>
      </c>
      <c r="H241">
        <f>IF(OR(لوحة_القيادة!$C$4="الكل", A241=لوحة_القيادة!$C$4), 1, 0)</f>
        <v>0</v>
      </c>
      <c r="I241">
        <f>IF(H241=1, SUM($H$2:H241), "")</f>
        <v>0</v>
      </c>
    </row>
    <row r="242" spans="1:9">
      <c r="A242" s="2" t="s">
        <v>11</v>
      </c>
      <c r="B242" s="2" t="s">
        <v>311</v>
      </c>
      <c r="C242" s="2">
        <v>105</v>
      </c>
      <c r="D242" s="2">
        <v>1.75</v>
      </c>
      <c r="E242" s="2">
        <v>11</v>
      </c>
      <c r="F242" s="2">
        <v>9.550000000000001</v>
      </c>
      <c r="G242" s="2" t="s">
        <v>177</v>
      </c>
      <c r="H242">
        <f>IF(OR(لوحة_القيادة!$C$4="الكل", A242=لوحة_القيادة!$C$4), 1, 0)</f>
        <v>0</v>
      </c>
      <c r="I242">
        <f>IF(H242=1, SUM($H$2:H242), "")</f>
        <v>0</v>
      </c>
    </row>
    <row r="243" spans="1:9">
      <c r="A243" s="2" t="s">
        <v>18</v>
      </c>
      <c r="B243" s="2" t="s">
        <v>312</v>
      </c>
      <c r="C243" s="2">
        <v>105</v>
      </c>
      <c r="D243" s="2">
        <v>1.75</v>
      </c>
      <c r="E243" s="2">
        <v>15</v>
      </c>
      <c r="F243" s="2">
        <v>7</v>
      </c>
      <c r="G243" s="2" t="s">
        <v>33</v>
      </c>
      <c r="H243">
        <f>IF(OR(لوحة_القيادة!$C$4="الكل", A243=لوحة_القيادة!$C$4), 1, 0)</f>
        <v>0</v>
      </c>
      <c r="I243">
        <f>IF(H243=1, SUM($H$2:H243), "")</f>
        <v>0</v>
      </c>
    </row>
    <row r="244" spans="1:9">
      <c r="A244" s="2" t="s">
        <v>21</v>
      </c>
      <c r="B244" s="2" t="s">
        <v>313</v>
      </c>
      <c r="C244" s="2">
        <v>104</v>
      </c>
      <c r="D244" s="2">
        <v>1.73</v>
      </c>
      <c r="E244" s="2">
        <v>19</v>
      </c>
      <c r="F244" s="2">
        <v>5.47</v>
      </c>
      <c r="G244" s="2" t="s">
        <v>33</v>
      </c>
      <c r="H244">
        <f>IF(OR(لوحة_القيادة!$C$4="الكل", A244=لوحة_القيادة!$C$4), 1, 0)</f>
        <v>0</v>
      </c>
      <c r="I244">
        <f>IF(H244=1, SUM($H$2:H244), "")</f>
        <v>0</v>
      </c>
    </row>
    <row r="245" spans="1:9">
      <c r="A245" s="2" t="s">
        <v>1</v>
      </c>
      <c r="B245" s="2" t="s">
        <v>314</v>
      </c>
      <c r="C245" s="2">
        <v>100</v>
      </c>
      <c r="D245" s="2">
        <v>1.67</v>
      </c>
      <c r="E245" s="2">
        <v>12</v>
      </c>
      <c r="F245" s="2">
        <v>8.33</v>
      </c>
      <c r="G245" s="2" t="s">
        <v>112</v>
      </c>
      <c r="H245">
        <f>IF(OR(لوحة_القيادة!$C$4="الكل", A245=لوحة_القيادة!$C$4), 1, 0)</f>
        <v>0</v>
      </c>
      <c r="I245">
        <f>IF(H245=1, SUM($H$2:H245), "")</f>
        <v>0</v>
      </c>
    </row>
    <row r="246" spans="1:9">
      <c r="A246" s="2" t="s">
        <v>1</v>
      </c>
      <c r="B246" s="2" t="s">
        <v>315</v>
      </c>
      <c r="C246" s="2">
        <v>97</v>
      </c>
      <c r="D246" s="2">
        <v>1.62</v>
      </c>
      <c r="E246" s="2">
        <v>13</v>
      </c>
      <c r="F246" s="2">
        <v>7.46</v>
      </c>
      <c r="G246" s="2" t="s">
        <v>33</v>
      </c>
      <c r="H246">
        <f>IF(OR(لوحة_القيادة!$C$4="الكل", A246=لوحة_القيادة!$C$4), 1, 0)</f>
        <v>0</v>
      </c>
      <c r="I246">
        <f>IF(H246=1, SUM($H$2:H246), "")</f>
        <v>0</v>
      </c>
    </row>
    <row r="247" spans="1:9">
      <c r="A247" s="2" t="s">
        <v>4</v>
      </c>
      <c r="B247" s="2" t="s">
        <v>316</v>
      </c>
      <c r="C247" s="2">
        <v>96</v>
      </c>
      <c r="D247" s="2">
        <v>1.6</v>
      </c>
      <c r="E247" s="2">
        <v>41</v>
      </c>
      <c r="F247" s="2">
        <v>2.34</v>
      </c>
      <c r="G247" s="2" t="s">
        <v>33</v>
      </c>
      <c r="H247">
        <f>IF(OR(لوحة_القيادة!$C$4="الكل", A247=لوحة_القيادة!$C$4), 1, 0)</f>
        <v>0</v>
      </c>
      <c r="I247">
        <f>IF(H247=1, SUM($H$2:H247), "")</f>
        <v>0</v>
      </c>
    </row>
    <row r="248" spans="1:9">
      <c r="A248" s="2" t="s">
        <v>14</v>
      </c>
      <c r="B248" s="2" t="s">
        <v>317</v>
      </c>
      <c r="C248" s="2">
        <v>95</v>
      </c>
      <c r="D248" s="2">
        <v>1.58</v>
      </c>
      <c r="E248" s="2">
        <v>6</v>
      </c>
      <c r="F248" s="2">
        <v>15.83</v>
      </c>
      <c r="G248" s="2" t="s">
        <v>318</v>
      </c>
      <c r="H248">
        <f>IF(OR(لوحة_القيادة!$C$4="الكل", A248=لوحة_القيادة!$C$4), 1, 0)</f>
        <v>0</v>
      </c>
      <c r="I248">
        <f>IF(H248=1, SUM($H$2:H248), "")</f>
        <v>0</v>
      </c>
    </row>
    <row r="249" spans="1:9">
      <c r="A249" s="2" t="s">
        <v>8</v>
      </c>
      <c r="B249" s="2" t="s">
        <v>319</v>
      </c>
      <c r="C249" s="2">
        <v>93</v>
      </c>
      <c r="D249" s="2">
        <v>1.55</v>
      </c>
      <c r="E249" s="2">
        <v>18</v>
      </c>
      <c r="F249" s="2">
        <v>5.17</v>
      </c>
      <c r="G249" s="2" t="s">
        <v>33</v>
      </c>
      <c r="H249">
        <f>IF(OR(لوحة_القيادة!$C$4="الكل", A249=لوحة_القيادة!$C$4), 1, 0)</f>
        <v>0</v>
      </c>
      <c r="I249">
        <f>IF(H249=1, SUM($H$2:H249), "")</f>
        <v>0</v>
      </c>
    </row>
    <row r="250" spans="1:9">
      <c r="A250" s="2" t="s">
        <v>11</v>
      </c>
      <c r="B250" s="2" t="s">
        <v>320</v>
      </c>
      <c r="C250" s="2">
        <v>93</v>
      </c>
      <c r="D250" s="2">
        <v>1.55</v>
      </c>
      <c r="E250" s="2">
        <v>3</v>
      </c>
      <c r="F250" s="2">
        <v>31</v>
      </c>
      <c r="G250" s="2" t="s">
        <v>33</v>
      </c>
      <c r="H250">
        <f>IF(OR(لوحة_القيادة!$C$4="الكل", A250=لوحة_القيادة!$C$4), 1, 0)</f>
        <v>0</v>
      </c>
      <c r="I250">
        <f>IF(H250=1, SUM($H$2:H250), "")</f>
        <v>0</v>
      </c>
    </row>
    <row r="251" spans="1:9">
      <c r="A251" s="2" t="s">
        <v>14</v>
      </c>
      <c r="B251" s="2" t="s">
        <v>321</v>
      </c>
      <c r="C251" s="2">
        <v>92</v>
      </c>
      <c r="D251" s="2">
        <v>1.53</v>
      </c>
      <c r="E251" s="2">
        <v>3</v>
      </c>
      <c r="F251" s="2">
        <v>30.67</v>
      </c>
      <c r="G251" s="2" t="s">
        <v>322</v>
      </c>
      <c r="H251">
        <f>IF(OR(لوحة_القيادة!$C$4="الكل", A251=لوحة_القيادة!$C$4), 1, 0)</f>
        <v>0</v>
      </c>
      <c r="I251">
        <f>IF(H251=1, SUM($H$2:H251), "")</f>
        <v>0</v>
      </c>
    </row>
    <row r="252" spans="1:9">
      <c r="A252" s="2" t="s">
        <v>3</v>
      </c>
      <c r="B252" s="2" t="s">
        <v>323</v>
      </c>
      <c r="C252" s="2">
        <v>91</v>
      </c>
      <c r="D252" s="2">
        <v>1.52</v>
      </c>
      <c r="E252" s="2">
        <v>4</v>
      </c>
      <c r="F252" s="2">
        <v>22.75</v>
      </c>
      <c r="G252" s="2" t="s">
        <v>324</v>
      </c>
      <c r="H252">
        <f>IF(OR(لوحة_القيادة!$C$4="الكل", A252=لوحة_القيادة!$C$4), 1, 0)</f>
        <v>0</v>
      </c>
      <c r="I252">
        <f>IF(H252=1, SUM($H$2:H252), "")</f>
        <v>0</v>
      </c>
    </row>
    <row r="253" spans="1:9">
      <c r="A253" s="2" t="s">
        <v>13</v>
      </c>
      <c r="B253" s="2" t="s">
        <v>325</v>
      </c>
      <c r="C253" s="2">
        <v>91</v>
      </c>
      <c r="D253" s="2">
        <v>1.52</v>
      </c>
      <c r="E253" s="2">
        <v>10</v>
      </c>
      <c r="F253" s="2">
        <v>9.1</v>
      </c>
      <c r="G253" s="2" t="s">
        <v>48</v>
      </c>
      <c r="H253">
        <f>IF(OR(لوحة_القيادة!$C$4="الكل", A253=لوحة_القيادة!$C$4), 1, 0)</f>
        <v>0</v>
      </c>
      <c r="I253">
        <f>IF(H253=1, SUM($H$2:H253), "")</f>
        <v>0</v>
      </c>
    </row>
    <row r="254" spans="1:9">
      <c r="A254" s="2" t="s">
        <v>18</v>
      </c>
      <c r="B254" s="2" t="s">
        <v>326</v>
      </c>
      <c r="C254" s="2">
        <v>89</v>
      </c>
      <c r="D254" s="2">
        <v>1.48</v>
      </c>
      <c r="E254" s="2">
        <v>8</v>
      </c>
      <c r="F254" s="2">
        <v>11.12</v>
      </c>
      <c r="G254" s="2" t="s">
        <v>60</v>
      </c>
      <c r="H254">
        <f>IF(OR(لوحة_القيادة!$C$4="الكل", A254=لوحة_القيادة!$C$4), 1, 0)</f>
        <v>0</v>
      </c>
      <c r="I254">
        <f>IF(H254=1, SUM($H$2:H254), "")</f>
        <v>0</v>
      </c>
    </row>
    <row r="255" spans="1:9">
      <c r="A255" s="2" t="s">
        <v>11</v>
      </c>
      <c r="B255" s="2" t="s">
        <v>327</v>
      </c>
      <c r="C255" s="2">
        <v>88</v>
      </c>
      <c r="D255" s="2">
        <v>1.47</v>
      </c>
      <c r="E255" s="2">
        <v>1</v>
      </c>
      <c r="F255" s="2">
        <v>88</v>
      </c>
      <c r="G255" s="2" t="s">
        <v>328</v>
      </c>
      <c r="H255">
        <f>IF(OR(لوحة_القيادة!$C$4="الكل", A255=لوحة_القيادة!$C$4), 1, 0)</f>
        <v>0</v>
      </c>
      <c r="I255">
        <f>IF(H255=1, SUM($H$2:H255), "")</f>
        <v>0</v>
      </c>
    </row>
    <row r="256" spans="1:9">
      <c r="A256" s="2" t="s">
        <v>16</v>
      </c>
      <c r="B256" s="2" t="s">
        <v>329</v>
      </c>
      <c r="C256" s="2">
        <v>87</v>
      </c>
      <c r="D256" s="2">
        <v>1.45</v>
      </c>
      <c r="E256" s="2">
        <v>8</v>
      </c>
      <c r="F256" s="2">
        <v>10.88</v>
      </c>
      <c r="G256" s="2" t="s">
        <v>112</v>
      </c>
      <c r="H256">
        <f>IF(OR(لوحة_القيادة!$C$4="الكل", A256=لوحة_القيادة!$C$4), 1, 0)</f>
        <v>0</v>
      </c>
      <c r="I256">
        <f>IF(H256=1, SUM($H$2:H256), "")</f>
        <v>0</v>
      </c>
    </row>
    <row r="257" spans="1:9">
      <c r="A257" s="2" t="s">
        <v>18</v>
      </c>
      <c r="B257" s="2" t="s">
        <v>330</v>
      </c>
      <c r="C257" s="2">
        <v>87</v>
      </c>
      <c r="D257" s="2">
        <v>1.45</v>
      </c>
      <c r="E257" s="2">
        <v>4</v>
      </c>
      <c r="F257" s="2">
        <v>21.75</v>
      </c>
      <c r="G257" s="2" t="s">
        <v>202</v>
      </c>
      <c r="H257">
        <f>IF(OR(لوحة_القيادة!$C$4="الكل", A257=لوحة_القيادة!$C$4), 1, 0)</f>
        <v>0</v>
      </c>
      <c r="I257">
        <f>IF(H257=1, SUM($H$2:H257), "")</f>
        <v>0</v>
      </c>
    </row>
    <row r="258" spans="1:9">
      <c r="A258" s="2" t="s">
        <v>17</v>
      </c>
      <c r="B258" s="2" t="s">
        <v>331</v>
      </c>
      <c r="C258" s="2">
        <v>86</v>
      </c>
      <c r="D258" s="2">
        <v>1.43</v>
      </c>
      <c r="E258" s="2">
        <v>13</v>
      </c>
      <c r="F258" s="2">
        <v>6.62</v>
      </c>
      <c r="G258" s="2" t="s">
        <v>112</v>
      </c>
      <c r="H258">
        <f>IF(OR(لوحة_القيادة!$C$4="الكل", A258=لوحة_القيادة!$C$4), 1, 0)</f>
        <v>0</v>
      </c>
      <c r="I258">
        <f>IF(H258=1, SUM($H$2:H258), "")</f>
        <v>0</v>
      </c>
    </row>
    <row r="259" spans="1:9">
      <c r="A259" s="2" t="s">
        <v>22</v>
      </c>
      <c r="B259" s="2" t="s">
        <v>332</v>
      </c>
      <c r="C259" s="2">
        <v>85</v>
      </c>
      <c r="D259" s="2">
        <v>1.42</v>
      </c>
      <c r="E259" s="2">
        <v>14</v>
      </c>
      <c r="F259" s="2">
        <v>6.07</v>
      </c>
      <c r="G259" s="2" t="s">
        <v>33</v>
      </c>
      <c r="H259">
        <f>IF(OR(لوحة_القيادة!$C$4="الكل", A259=لوحة_القيادة!$C$4), 1, 0)</f>
        <v>0</v>
      </c>
      <c r="I259">
        <f>IF(H259=1, SUM($H$2:H259), "")</f>
        <v>0</v>
      </c>
    </row>
    <row r="260" spans="1:9">
      <c r="A260" s="2" t="s">
        <v>22</v>
      </c>
      <c r="B260" s="2" t="s">
        <v>333</v>
      </c>
      <c r="C260" s="2">
        <v>85</v>
      </c>
      <c r="D260" s="2">
        <v>1.42</v>
      </c>
      <c r="E260" s="2">
        <v>15</v>
      </c>
      <c r="F260" s="2">
        <v>5.67</v>
      </c>
      <c r="G260" s="2" t="s">
        <v>82</v>
      </c>
      <c r="H260">
        <f>IF(OR(لوحة_القيادة!$C$4="الكل", A260=لوحة_القيادة!$C$4), 1, 0)</f>
        <v>0</v>
      </c>
      <c r="I260">
        <f>IF(H260=1, SUM($H$2:H260), "")</f>
        <v>0</v>
      </c>
    </row>
    <row r="261" spans="1:9">
      <c r="A261" s="2" t="s">
        <v>16</v>
      </c>
      <c r="B261" s="2" t="s">
        <v>334</v>
      </c>
      <c r="C261" s="2">
        <v>84</v>
      </c>
      <c r="D261" s="2">
        <v>1.4</v>
      </c>
      <c r="E261" s="2">
        <v>7</v>
      </c>
      <c r="F261" s="2">
        <v>12</v>
      </c>
      <c r="G261" s="2" t="s">
        <v>322</v>
      </c>
      <c r="H261">
        <f>IF(OR(لوحة_القيادة!$C$4="الكل", A261=لوحة_القيادة!$C$4), 1, 0)</f>
        <v>0</v>
      </c>
      <c r="I261">
        <f>IF(H261=1, SUM($H$2:H261), "")</f>
        <v>0</v>
      </c>
    </row>
    <row r="262" spans="1:9">
      <c r="A262" s="2" t="s">
        <v>18</v>
      </c>
      <c r="B262" s="2" t="s">
        <v>335</v>
      </c>
      <c r="C262" s="2">
        <v>84</v>
      </c>
      <c r="D262" s="2">
        <v>1.4</v>
      </c>
      <c r="E262" s="2">
        <v>12</v>
      </c>
      <c r="F262" s="2">
        <v>7</v>
      </c>
      <c r="G262" s="2" t="s">
        <v>33</v>
      </c>
      <c r="H262">
        <f>IF(OR(لوحة_القيادة!$C$4="الكل", A262=لوحة_القيادة!$C$4), 1, 0)</f>
        <v>0</v>
      </c>
      <c r="I262">
        <f>IF(H262=1, SUM($H$2:H262), "")</f>
        <v>0</v>
      </c>
    </row>
    <row r="263" spans="1:9">
      <c r="A263" s="2" t="s">
        <v>14</v>
      </c>
      <c r="B263" s="2" t="s">
        <v>336</v>
      </c>
      <c r="C263" s="2">
        <v>81</v>
      </c>
      <c r="D263" s="2">
        <v>1.35</v>
      </c>
      <c r="E263" s="2">
        <v>15</v>
      </c>
      <c r="F263" s="2">
        <v>5.4</v>
      </c>
      <c r="G263" s="2" t="s">
        <v>33</v>
      </c>
      <c r="H263">
        <f>IF(OR(لوحة_القيادة!$C$4="الكل", A263=لوحة_القيادة!$C$4), 1, 0)</f>
        <v>0</v>
      </c>
      <c r="I263">
        <f>IF(H263=1, SUM($H$2:H263), "")</f>
        <v>0</v>
      </c>
    </row>
    <row r="264" spans="1:9">
      <c r="A264" s="2" t="s">
        <v>18</v>
      </c>
      <c r="B264" s="2" t="s">
        <v>337</v>
      </c>
      <c r="C264" s="2">
        <v>80</v>
      </c>
      <c r="D264" s="2">
        <v>1.33</v>
      </c>
      <c r="E264" s="2">
        <v>9</v>
      </c>
      <c r="F264" s="2">
        <v>8.890000000000001</v>
      </c>
      <c r="G264" s="2" t="s">
        <v>180</v>
      </c>
      <c r="H264">
        <f>IF(OR(لوحة_القيادة!$C$4="الكل", A264=لوحة_القيادة!$C$4), 1, 0)</f>
        <v>0</v>
      </c>
      <c r="I264">
        <f>IF(H264=1, SUM($H$2:H264), "")</f>
        <v>0</v>
      </c>
    </row>
    <row r="265" spans="1:9">
      <c r="A265" s="2" t="s">
        <v>12</v>
      </c>
      <c r="B265" s="2" t="s">
        <v>338</v>
      </c>
      <c r="C265" s="2">
        <v>79</v>
      </c>
      <c r="D265" s="2">
        <v>1.32</v>
      </c>
      <c r="E265" s="2">
        <v>3</v>
      </c>
      <c r="F265" s="2">
        <v>26.33</v>
      </c>
      <c r="G265" s="2" t="s">
        <v>339</v>
      </c>
      <c r="H265">
        <f>IF(OR(لوحة_القيادة!$C$4="الكل", A265=لوحة_القيادة!$C$4), 1, 0)</f>
        <v>0</v>
      </c>
      <c r="I265">
        <f>IF(H265=1, SUM($H$2:H265), "")</f>
        <v>0</v>
      </c>
    </row>
    <row r="266" spans="1:9">
      <c r="A266" s="2" t="s">
        <v>22</v>
      </c>
      <c r="B266" s="2" t="s">
        <v>340</v>
      </c>
      <c r="C266" s="2">
        <v>76</v>
      </c>
      <c r="D266" s="2">
        <v>1.27</v>
      </c>
      <c r="E266" s="2">
        <v>23</v>
      </c>
      <c r="F266" s="2">
        <v>3.3</v>
      </c>
      <c r="G266" s="2" t="s">
        <v>33</v>
      </c>
      <c r="H266">
        <f>IF(OR(لوحة_القيادة!$C$4="الكل", A266=لوحة_القيادة!$C$4), 1, 0)</f>
        <v>0</v>
      </c>
      <c r="I266">
        <f>IF(H266=1, SUM($H$2:H266), "")</f>
        <v>0</v>
      </c>
    </row>
    <row r="267" spans="1:9">
      <c r="A267" s="2" t="s">
        <v>14</v>
      </c>
      <c r="B267" s="2" t="s">
        <v>341</v>
      </c>
      <c r="C267" s="2">
        <v>75</v>
      </c>
      <c r="D267" s="2">
        <v>1.25</v>
      </c>
      <c r="E267" s="2">
        <v>8</v>
      </c>
      <c r="F267" s="2">
        <v>9.380000000000001</v>
      </c>
      <c r="G267" s="2" t="s">
        <v>202</v>
      </c>
      <c r="H267">
        <f>IF(OR(لوحة_القيادة!$C$4="الكل", A267=لوحة_القيادة!$C$4), 1, 0)</f>
        <v>0</v>
      </c>
      <c r="I267">
        <f>IF(H267=1, SUM($H$2:H267), "")</f>
        <v>0</v>
      </c>
    </row>
    <row r="268" spans="1:9">
      <c r="A268" s="2" t="s">
        <v>13</v>
      </c>
      <c r="B268" s="2" t="s">
        <v>342</v>
      </c>
      <c r="C268" s="2">
        <v>74</v>
      </c>
      <c r="D268" s="2">
        <v>1.23</v>
      </c>
      <c r="E268" s="2">
        <v>7</v>
      </c>
      <c r="F268" s="2">
        <v>10.57</v>
      </c>
      <c r="G268" s="2" t="s">
        <v>33</v>
      </c>
      <c r="H268">
        <f>IF(OR(لوحة_القيادة!$C$4="الكل", A268=لوحة_القيادة!$C$4), 1, 0)</f>
        <v>0</v>
      </c>
      <c r="I268">
        <f>IF(H268=1, SUM($H$2:H268), "")</f>
        <v>0</v>
      </c>
    </row>
    <row r="269" spans="1:9">
      <c r="A269" s="2" t="s">
        <v>14</v>
      </c>
      <c r="B269" s="2" t="s">
        <v>343</v>
      </c>
      <c r="C269" s="2">
        <v>74</v>
      </c>
      <c r="D269" s="2">
        <v>1.23</v>
      </c>
      <c r="E269" s="2">
        <v>3</v>
      </c>
      <c r="F269" s="2">
        <v>24.67</v>
      </c>
      <c r="G269" s="2" t="s">
        <v>244</v>
      </c>
      <c r="H269">
        <f>IF(OR(لوحة_القيادة!$C$4="الكل", A269=لوحة_القيادة!$C$4), 1, 0)</f>
        <v>0</v>
      </c>
      <c r="I269">
        <f>IF(H269=1, SUM($H$2:H269), "")</f>
        <v>0</v>
      </c>
    </row>
    <row r="270" spans="1:9">
      <c r="A270" s="2" t="s">
        <v>16</v>
      </c>
      <c r="B270" s="2" t="s">
        <v>344</v>
      </c>
      <c r="C270" s="2">
        <v>74</v>
      </c>
      <c r="D270" s="2">
        <v>1.23</v>
      </c>
      <c r="E270" s="2">
        <v>9</v>
      </c>
      <c r="F270" s="2">
        <v>8.220000000000001</v>
      </c>
      <c r="G270" s="2" t="s">
        <v>82</v>
      </c>
      <c r="H270">
        <f>IF(OR(لوحة_القيادة!$C$4="الكل", A270=لوحة_القيادة!$C$4), 1, 0)</f>
        <v>0</v>
      </c>
      <c r="I270">
        <f>IF(H270=1, SUM($H$2:H270), "")</f>
        <v>0</v>
      </c>
    </row>
    <row r="271" spans="1:9">
      <c r="A271" s="2" t="s">
        <v>16</v>
      </c>
      <c r="B271" s="2" t="s">
        <v>345</v>
      </c>
      <c r="C271" s="2">
        <v>73</v>
      </c>
      <c r="D271" s="2">
        <v>1.22</v>
      </c>
      <c r="E271" s="2">
        <v>6</v>
      </c>
      <c r="F271" s="2">
        <v>12.17</v>
      </c>
      <c r="G271" s="2" t="s">
        <v>60</v>
      </c>
      <c r="H271">
        <f>IF(OR(لوحة_القيادة!$C$4="الكل", A271=لوحة_القيادة!$C$4), 1, 0)</f>
        <v>0</v>
      </c>
      <c r="I271">
        <f>IF(H271=1, SUM($H$2:H271), "")</f>
        <v>0</v>
      </c>
    </row>
    <row r="272" spans="1:9">
      <c r="A272" s="2" t="s">
        <v>18</v>
      </c>
      <c r="B272" s="2" t="s">
        <v>346</v>
      </c>
      <c r="C272" s="2">
        <v>73</v>
      </c>
      <c r="D272" s="2">
        <v>1.22</v>
      </c>
      <c r="E272" s="2">
        <v>11</v>
      </c>
      <c r="F272" s="2">
        <v>6.64</v>
      </c>
      <c r="G272" s="2" t="s">
        <v>234</v>
      </c>
      <c r="H272">
        <f>IF(OR(لوحة_القيادة!$C$4="الكل", A272=لوحة_القيادة!$C$4), 1, 0)</f>
        <v>0</v>
      </c>
      <c r="I272">
        <f>IF(H272=1, SUM($H$2:H272), "")</f>
        <v>0</v>
      </c>
    </row>
    <row r="273" spans="1:9">
      <c r="A273" s="2" t="s">
        <v>10</v>
      </c>
      <c r="B273" s="2" t="s">
        <v>347</v>
      </c>
      <c r="C273" s="2">
        <v>72</v>
      </c>
      <c r="D273" s="2">
        <v>1.2</v>
      </c>
      <c r="E273" s="2">
        <v>4</v>
      </c>
      <c r="F273" s="2">
        <v>18</v>
      </c>
      <c r="G273" s="2" t="s">
        <v>348</v>
      </c>
      <c r="H273">
        <f>IF(OR(لوحة_القيادة!$C$4="الكل", A273=لوحة_القيادة!$C$4), 1, 0)</f>
        <v>0</v>
      </c>
      <c r="I273">
        <f>IF(H273=1, SUM($H$2:H273), "")</f>
        <v>0</v>
      </c>
    </row>
    <row r="274" spans="1:9">
      <c r="A274" s="2" t="s">
        <v>12</v>
      </c>
      <c r="B274" s="2" t="s">
        <v>349</v>
      </c>
      <c r="C274" s="2">
        <v>72</v>
      </c>
      <c r="D274" s="2">
        <v>1.2</v>
      </c>
      <c r="E274" s="2">
        <v>4</v>
      </c>
      <c r="F274" s="2">
        <v>18</v>
      </c>
      <c r="G274" s="2" t="s">
        <v>350</v>
      </c>
      <c r="H274">
        <f>IF(OR(لوحة_القيادة!$C$4="الكل", A274=لوحة_القيادة!$C$4), 1, 0)</f>
        <v>0</v>
      </c>
      <c r="I274">
        <f>IF(H274=1, SUM($H$2:H274), "")</f>
        <v>0</v>
      </c>
    </row>
    <row r="275" spans="1:9">
      <c r="A275" s="2" t="s">
        <v>13</v>
      </c>
      <c r="B275" s="2" t="s">
        <v>351</v>
      </c>
      <c r="C275" s="2">
        <v>72</v>
      </c>
      <c r="D275" s="2">
        <v>1.2</v>
      </c>
      <c r="E275" s="2">
        <v>20</v>
      </c>
      <c r="F275" s="2">
        <v>3.6</v>
      </c>
      <c r="G275" s="2" t="s">
        <v>33</v>
      </c>
      <c r="H275">
        <f>IF(OR(لوحة_القيادة!$C$4="الكل", A275=لوحة_القيادة!$C$4), 1, 0)</f>
        <v>0</v>
      </c>
      <c r="I275">
        <f>IF(H275=1, SUM($H$2:H275), "")</f>
        <v>0</v>
      </c>
    </row>
    <row r="276" spans="1:9">
      <c r="A276" s="2" t="s">
        <v>14</v>
      </c>
      <c r="B276" s="2" t="s">
        <v>352</v>
      </c>
      <c r="C276" s="2">
        <v>71</v>
      </c>
      <c r="D276" s="2">
        <v>1.18</v>
      </c>
      <c r="E276" s="2">
        <v>13</v>
      </c>
      <c r="F276" s="2">
        <v>5.46</v>
      </c>
      <c r="G276" s="2" t="s">
        <v>33</v>
      </c>
      <c r="H276">
        <f>IF(OR(لوحة_القيادة!$C$4="الكل", A276=لوحة_القيادة!$C$4), 1, 0)</f>
        <v>0</v>
      </c>
      <c r="I276">
        <f>IF(H276=1, SUM($H$2:H276), "")</f>
        <v>0</v>
      </c>
    </row>
    <row r="277" spans="1:9">
      <c r="A277" s="2" t="s">
        <v>14</v>
      </c>
      <c r="B277" s="2" t="s">
        <v>353</v>
      </c>
      <c r="C277" s="2">
        <v>71</v>
      </c>
      <c r="D277" s="2">
        <v>1.18</v>
      </c>
      <c r="E277" s="2">
        <v>13</v>
      </c>
      <c r="F277" s="2">
        <v>5.46</v>
      </c>
      <c r="G277" s="2" t="s">
        <v>33</v>
      </c>
      <c r="H277">
        <f>IF(OR(لوحة_القيادة!$C$4="الكل", A277=لوحة_القيادة!$C$4), 1, 0)</f>
        <v>0</v>
      </c>
      <c r="I277">
        <f>IF(H277=1, SUM($H$2:H277), "")</f>
        <v>0</v>
      </c>
    </row>
    <row r="278" spans="1:9">
      <c r="A278" s="2" t="s">
        <v>16</v>
      </c>
      <c r="B278" s="2" t="s">
        <v>354</v>
      </c>
      <c r="C278" s="2">
        <v>68</v>
      </c>
      <c r="D278" s="2">
        <v>1.13</v>
      </c>
      <c r="E278" s="2">
        <v>11</v>
      </c>
      <c r="F278" s="2">
        <v>6.18</v>
      </c>
      <c r="G278" s="2" t="s">
        <v>180</v>
      </c>
      <c r="H278">
        <f>IF(OR(لوحة_القيادة!$C$4="الكل", A278=لوحة_القيادة!$C$4), 1, 0)</f>
        <v>0</v>
      </c>
      <c r="I278">
        <f>IF(H278=1, SUM($H$2:H278), "")</f>
        <v>0</v>
      </c>
    </row>
    <row r="279" spans="1:9">
      <c r="A279" s="2" t="s">
        <v>18</v>
      </c>
      <c r="B279" s="2" t="s">
        <v>355</v>
      </c>
      <c r="C279" s="2">
        <v>68</v>
      </c>
      <c r="D279" s="2">
        <v>1.13</v>
      </c>
      <c r="E279" s="2">
        <v>7</v>
      </c>
      <c r="F279" s="2">
        <v>9.710000000000001</v>
      </c>
      <c r="G279" s="2" t="s">
        <v>143</v>
      </c>
      <c r="H279">
        <f>IF(OR(لوحة_القيادة!$C$4="الكل", A279=لوحة_القيادة!$C$4), 1, 0)</f>
        <v>0</v>
      </c>
      <c r="I279">
        <f>IF(H279=1, SUM($H$2:H279), "")</f>
        <v>0</v>
      </c>
    </row>
    <row r="280" spans="1:9">
      <c r="A280" s="2" t="s">
        <v>6</v>
      </c>
      <c r="B280" s="2" t="s">
        <v>356</v>
      </c>
      <c r="C280" s="2">
        <v>66</v>
      </c>
      <c r="D280" s="2">
        <v>1.1</v>
      </c>
      <c r="E280" s="2">
        <v>5</v>
      </c>
      <c r="F280" s="2">
        <v>13.2</v>
      </c>
      <c r="G280" s="2" t="s">
        <v>202</v>
      </c>
      <c r="H280">
        <f>IF(OR(لوحة_القيادة!$C$4="الكل", A280=لوحة_القيادة!$C$4), 1, 0)</f>
        <v>0</v>
      </c>
      <c r="I280">
        <f>IF(H280=1, SUM($H$2:H280), "")</f>
        <v>0</v>
      </c>
    </row>
    <row r="281" spans="1:9">
      <c r="A281" s="2" t="s">
        <v>17</v>
      </c>
      <c r="B281" s="2" t="s">
        <v>357</v>
      </c>
      <c r="C281" s="2">
        <v>65</v>
      </c>
      <c r="D281" s="2">
        <v>1.08</v>
      </c>
      <c r="E281" s="2">
        <v>7</v>
      </c>
      <c r="F281" s="2">
        <v>9.289999999999999</v>
      </c>
      <c r="G281" s="2" t="s">
        <v>33</v>
      </c>
      <c r="H281">
        <f>IF(OR(لوحة_القيادة!$C$4="الكل", A281=لوحة_القيادة!$C$4), 1, 0)</f>
        <v>0</v>
      </c>
      <c r="I281">
        <f>IF(H281=1, SUM($H$2:H281), "")</f>
        <v>0</v>
      </c>
    </row>
    <row r="282" spans="1:9">
      <c r="A282" s="2" t="s">
        <v>4</v>
      </c>
      <c r="B282" s="2" t="s">
        <v>358</v>
      </c>
      <c r="C282" s="2">
        <v>64</v>
      </c>
      <c r="D282" s="2">
        <v>1.07</v>
      </c>
      <c r="E282" s="2">
        <v>7</v>
      </c>
      <c r="F282" s="2">
        <v>9.140000000000001</v>
      </c>
      <c r="G282" s="2" t="s">
        <v>298</v>
      </c>
      <c r="H282">
        <f>IF(OR(لوحة_القيادة!$C$4="الكل", A282=لوحة_القيادة!$C$4), 1, 0)</f>
        <v>0</v>
      </c>
      <c r="I282">
        <f>IF(H282=1, SUM($H$2:H282), "")</f>
        <v>0</v>
      </c>
    </row>
    <row r="283" spans="1:9">
      <c r="A283" s="2" t="s">
        <v>17</v>
      </c>
      <c r="B283" s="2" t="s">
        <v>359</v>
      </c>
      <c r="C283" s="2">
        <v>63</v>
      </c>
      <c r="D283" s="2">
        <v>1.05</v>
      </c>
      <c r="E283" s="2">
        <v>8</v>
      </c>
      <c r="F283" s="2">
        <v>7.88</v>
      </c>
      <c r="G283" s="2" t="s">
        <v>33</v>
      </c>
      <c r="H283">
        <f>IF(OR(لوحة_القيادة!$C$4="الكل", A283=لوحة_القيادة!$C$4), 1, 0)</f>
        <v>0</v>
      </c>
      <c r="I283">
        <f>IF(H283=1, SUM($H$2:H283), "")</f>
        <v>0</v>
      </c>
    </row>
    <row r="284" spans="1:9">
      <c r="A284" s="2" t="s">
        <v>4</v>
      </c>
      <c r="B284" s="2" t="s">
        <v>360</v>
      </c>
      <c r="C284" s="2">
        <v>62</v>
      </c>
      <c r="D284" s="2">
        <v>1.03</v>
      </c>
      <c r="E284" s="2">
        <v>29</v>
      </c>
      <c r="F284" s="2">
        <v>2.14</v>
      </c>
      <c r="G284" s="2" t="s">
        <v>33</v>
      </c>
      <c r="H284">
        <f>IF(OR(لوحة_القيادة!$C$4="الكل", A284=لوحة_القيادة!$C$4), 1, 0)</f>
        <v>0</v>
      </c>
      <c r="I284">
        <f>IF(H284=1, SUM($H$2:H284), "")</f>
        <v>0</v>
      </c>
    </row>
    <row r="285" spans="1:9">
      <c r="A285" s="2" t="s">
        <v>15</v>
      </c>
      <c r="B285" s="2" t="s">
        <v>361</v>
      </c>
      <c r="C285" s="2">
        <v>61</v>
      </c>
      <c r="D285" s="2">
        <v>1.02</v>
      </c>
      <c r="E285" s="2">
        <v>15</v>
      </c>
      <c r="F285" s="2">
        <v>4.07</v>
      </c>
      <c r="G285" s="2" t="s">
        <v>33</v>
      </c>
      <c r="H285">
        <f>IF(OR(لوحة_القيادة!$C$4="الكل", A285=لوحة_القيادة!$C$4), 1, 0)</f>
        <v>0</v>
      </c>
      <c r="I285">
        <f>IF(H285=1, SUM($H$2:H285), "")</f>
        <v>0</v>
      </c>
    </row>
    <row r="286" spans="1:9">
      <c r="A286" s="2" t="s">
        <v>19</v>
      </c>
      <c r="B286" s="2" t="s">
        <v>362</v>
      </c>
      <c r="C286" s="2">
        <v>60</v>
      </c>
      <c r="D286" s="2">
        <v>1</v>
      </c>
      <c r="E286" s="2">
        <v>4</v>
      </c>
      <c r="F286" s="2">
        <v>15</v>
      </c>
      <c r="G286" s="2" t="s">
        <v>244</v>
      </c>
      <c r="H286">
        <f>IF(OR(لوحة_القيادة!$C$4="الكل", A286=لوحة_القيادة!$C$4), 1, 0)</f>
        <v>0</v>
      </c>
      <c r="I286">
        <f>IF(H286=1, SUM($H$2:H286), "")</f>
        <v>0</v>
      </c>
    </row>
    <row r="287" spans="1:9">
      <c r="A287" s="2" t="s">
        <v>9</v>
      </c>
      <c r="B287" s="2" t="s">
        <v>363</v>
      </c>
      <c r="C287" s="2">
        <v>56</v>
      </c>
      <c r="D287" s="2">
        <v>0.93</v>
      </c>
      <c r="E287" s="2">
        <v>1</v>
      </c>
      <c r="F287" s="2">
        <v>56</v>
      </c>
      <c r="G287" s="2" t="s">
        <v>324</v>
      </c>
      <c r="H287">
        <f>IF(OR(لوحة_القيادة!$C$4="الكل", A287=لوحة_القيادة!$C$4), 1, 0)</f>
        <v>0</v>
      </c>
      <c r="I287">
        <f>IF(H287=1, SUM($H$2:H287), "")</f>
        <v>0</v>
      </c>
    </row>
    <row r="288" spans="1:9">
      <c r="A288" s="2" t="s">
        <v>7</v>
      </c>
      <c r="B288" s="2" t="s">
        <v>364</v>
      </c>
      <c r="C288" s="2">
        <v>55</v>
      </c>
      <c r="D288" s="2">
        <v>0.92</v>
      </c>
      <c r="E288" s="2">
        <v>8</v>
      </c>
      <c r="F288" s="2">
        <v>6.88</v>
      </c>
      <c r="G288" s="2" t="s">
        <v>33</v>
      </c>
      <c r="H288">
        <f>IF(OR(لوحة_القيادة!$C$4="الكل", A288=لوحة_القيادة!$C$4), 1, 0)</f>
        <v>0</v>
      </c>
      <c r="I288">
        <f>IF(H288=1, SUM($H$2:H288), "")</f>
        <v>0</v>
      </c>
    </row>
    <row r="289" spans="1:9">
      <c r="A289" s="2" t="s">
        <v>11</v>
      </c>
      <c r="B289" s="2" t="s">
        <v>365</v>
      </c>
      <c r="C289" s="2">
        <v>55</v>
      </c>
      <c r="D289" s="2">
        <v>0.92</v>
      </c>
      <c r="E289" s="2">
        <v>7</v>
      </c>
      <c r="F289" s="2">
        <v>7.86</v>
      </c>
      <c r="G289" s="2" t="s">
        <v>366</v>
      </c>
      <c r="H289">
        <f>IF(OR(لوحة_القيادة!$C$4="الكل", A289=لوحة_القيادة!$C$4), 1, 0)</f>
        <v>0</v>
      </c>
      <c r="I289">
        <f>IF(H289=1, SUM($H$2:H289), "")</f>
        <v>0</v>
      </c>
    </row>
    <row r="290" spans="1:9">
      <c r="A290" s="2" t="s">
        <v>1</v>
      </c>
      <c r="B290" s="2" t="s">
        <v>367</v>
      </c>
      <c r="C290" s="2">
        <v>54</v>
      </c>
      <c r="D290" s="2">
        <v>0.9</v>
      </c>
      <c r="E290" s="2">
        <v>12</v>
      </c>
      <c r="F290" s="2">
        <v>4.5</v>
      </c>
      <c r="G290" s="2" t="s">
        <v>48</v>
      </c>
      <c r="H290">
        <f>IF(OR(لوحة_القيادة!$C$4="الكل", A290=لوحة_القيادة!$C$4), 1, 0)</f>
        <v>0</v>
      </c>
      <c r="I290">
        <f>IF(H290=1, SUM($H$2:H290), "")</f>
        <v>0</v>
      </c>
    </row>
    <row r="291" spans="1:9">
      <c r="A291" s="2" t="s">
        <v>9</v>
      </c>
      <c r="B291" s="2" t="s">
        <v>368</v>
      </c>
      <c r="C291" s="2">
        <v>54</v>
      </c>
      <c r="D291" s="2">
        <v>0.9</v>
      </c>
      <c r="E291" s="2">
        <v>14</v>
      </c>
      <c r="F291" s="2">
        <v>3.86</v>
      </c>
      <c r="G291" s="2" t="s">
        <v>33</v>
      </c>
      <c r="H291">
        <f>IF(OR(لوحة_القيادة!$C$4="الكل", A291=لوحة_القيادة!$C$4), 1, 0)</f>
        <v>0</v>
      </c>
      <c r="I291">
        <f>IF(H291=1, SUM($H$2:H291), "")</f>
        <v>0</v>
      </c>
    </row>
    <row r="292" spans="1:9">
      <c r="A292" s="2" t="s">
        <v>11</v>
      </c>
      <c r="B292" s="2" t="s">
        <v>369</v>
      </c>
      <c r="C292" s="2">
        <v>53</v>
      </c>
      <c r="D292" s="2">
        <v>0.88</v>
      </c>
      <c r="E292" s="2">
        <v>1</v>
      </c>
      <c r="F292" s="2">
        <v>53</v>
      </c>
      <c r="G292" s="2" t="s">
        <v>370</v>
      </c>
      <c r="H292">
        <f>IF(OR(لوحة_القيادة!$C$4="الكل", A292=لوحة_القيادة!$C$4), 1, 0)</f>
        <v>0</v>
      </c>
      <c r="I292">
        <f>IF(H292=1, SUM($H$2:H292), "")</f>
        <v>0</v>
      </c>
    </row>
    <row r="293" spans="1:9">
      <c r="A293" s="2" t="s">
        <v>17</v>
      </c>
      <c r="B293" s="2" t="s">
        <v>371</v>
      </c>
      <c r="C293" s="2">
        <v>52</v>
      </c>
      <c r="D293" s="2">
        <v>0.87</v>
      </c>
      <c r="E293" s="2">
        <v>4</v>
      </c>
      <c r="F293" s="2">
        <v>13</v>
      </c>
      <c r="G293" s="2" t="s">
        <v>186</v>
      </c>
      <c r="H293">
        <f>IF(OR(لوحة_القيادة!$C$4="الكل", A293=لوحة_القيادة!$C$4), 1, 0)</f>
        <v>0</v>
      </c>
      <c r="I293">
        <f>IF(H293=1, SUM($H$2:H293), "")</f>
        <v>0</v>
      </c>
    </row>
    <row r="294" spans="1:9">
      <c r="A294" s="2" t="s">
        <v>18</v>
      </c>
      <c r="B294" s="2" t="s">
        <v>372</v>
      </c>
      <c r="C294" s="2">
        <v>51</v>
      </c>
      <c r="D294" s="2">
        <v>0.85</v>
      </c>
      <c r="E294" s="2">
        <v>6</v>
      </c>
      <c r="F294" s="2">
        <v>8.5</v>
      </c>
      <c r="G294" s="2" t="s">
        <v>373</v>
      </c>
      <c r="H294">
        <f>IF(OR(لوحة_القيادة!$C$4="الكل", A294=لوحة_القيادة!$C$4), 1, 0)</f>
        <v>0</v>
      </c>
      <c r="I294">
        <f>IF(H294=1, SUM($H$2:H294), "")</f>
        <v>0</v>
      </c>
    </row>
    <row r="295" spans="1:9">
      <c r="A295" s="2" t="s">
        <v>9</v>
      </c>
      <c r="B295" s="2" t="s">
        <v>374</v>
      </c>
      <c r="C295" s="2">
        <v>50</v>
      </c>
      <c r="D295" s="2">
        <v>0.83</v>
      </c>
      <c r="E295" s="2">
        <v>15</v>
      </c>
      <c r="F295" s="2">
        <v>3.33</v>
      </c>
      <c r="G295" s="2" t="s">
        <v>33</v>
      </c>
      <c r="H295">
        <f>IF(OR(لوحة_القيادة!$C$4="الكل", A295=لوحة_القيادة!$C$4), 1, 0)</f>
        <v>0</v>
      </c>
      <c r="I295">
        <f>IF(H295=1, SUM($H$2:H295), "")</f>
        <v>0</v>
      </c>
    </row>
    <row r="296" spans="1:9">
      <c r="A296" s="2" t="s">
        <v>10</v>
      </c>
      <c r="B296" s="2" t="s">
        <v>375</v>
      </c>
      <c r="C296" s="2">
        <v>49</v>
      </c>
      <c r="D296" s="2">
        <v>0.82</v>
      </c>
      <c r="E296" s="2">
        <v>1</v>
      </c>
      <c r="F296" s="2">
        <v>49</v>
      </c>
      <c r="G296" s="2" t="s">
        <v>240</v>
      </c>
      <c r="H296">
        <f>IF(OR(لوحة_القيادة!$C$4="الكل", A296=لوحة_القيادة!$C$4), 1, 0)</f>
        <v>0</v>
      </c>
      <c r="I296">
        <f>IF(H296=1, SUM($H$2:H296), "")</f>
        <v>0</v>
      </c>
    </row>
    <row r="297" spans="1:9">
      <c r="A297" s="2" t="s">
        <v>8</v>
      </c>
      <c r="B297" s="2" t="s">
        <v>376</v>
      </c>
      <c r="C297" s="2">
        <v>48</v>
      </c>
      <c r="D297" s="2">
        <v>0.8</v>
      </c>
      <c r="E297" s="2">
        <v>16</v>
      </c>
      <c r="F297" s="2">
        <v>3</v>
      </c>
      <c r="G297" s="2" t="s">
        <v>33</v>
      </c>
      <c r="H297">
        <f>IF(OR(لوحة_القيادة!$C$4="الكل", A297=لوحة_القيادة!$C$4), 1, 0)</f>
        <v>0</v>
      </c>
      <c r="I297">
        <f>IF(H297=1, SUM($H$2:H297), "")</f>
        <v>0</v>
      </c>
    </row>
    <row r="298" spans="1:9">
      <c r="A298" s="2" t="s">
        <v>16</v>
      </c>
      <c r="B298" s="2" t="s">
        <v>377</v>
      </c>
      <c r="C298" s="2">
        <v>48</v>
      </c>
      <c r="D298" s="2">
        <v>0.8</v>
      </c>
      <c r="E298" s="2">
        <v>4</v>
      </c>
      <c r="F298" s="2">
        <v>12</v>
      </c>
      <c r="G298" s="2" t="s">
        <v>230</v>
      </c>
      <c r="H298">
        <f>IF(OR(لوحة_القيادة!$C$4="الكل", A298=لوحة_القيادة!$C$4), 1, 0)</f>
        <v>0</v>
      </c>
      <c r="I298">
        <f>IF(H298=1, SUM($H$2:H298), "")</f>
        <v>0</v>
      </c>
    </row>
    <row r="299" spans="1:9">
      <c r="A299" s="2" t="s">
        <v>5</v>
      </c>
      <c r="B299" s="2" t="s">
        <v>378</v>
      </c>
      <c r="C299" s="2">
        <v>47</v>
      </c>
      <c r="D299" s="2">
        <v>0.78</v>
      </c>
      <c r="E299" s="2">
        <v>3</v>
      </c>
      <c r="F299" s="2">
        <v>15.67</v>
      </c>
      <c r="G299" s="2" t="s">
        <v>173</v>
      </c>
      <c r="H299">
        <f>IF(OR(لوحة_القيادة!$C$4="الكل", A299=لوحة_القيادة!$C$4), 1, 0)</f>
        <v>0</v>
      </c>
      <c r="I299">
        <f>IF(H299=1, SUM($H$2:H299), "")</f>
        <v>0</v>
      </c>
    </row>
    <row r="300" spans="1:9">
      <c r="A300" s="2" t="s">
        <v>8</v>
      </c>
      <c r="B300" s="2" t="s">
        <v>379</v>
      </c>
      <c r="C300" s="2">
        <v>47</v>
      </c>
      <c r="D300" s="2">
        <v>0.78</v>
      </c>
      <c r="E300" s="2">
        <v>13</v>
      </c>
      <c r="F300" s="2">
        <v>3.62</v>
      </c>
      <c r="G300" s="2" t="s">
        <v>225</v>
      </c>
      <c r="H300">
        <f>IF(OR(لوحة_القيادة!$C$4="الكل", A300=لوحة_القيادة!$C$4), 1, 0)</f>
        <v>0</v>
      </c>
      <c r="I300">
        <f>IF(H300=1, SUM($H$2:H300), "")</f>
        <v>0</v>
      </c>
    </row>
    <row r="301" spans="1:9">
      <c r="A301" s="2" t="s">
        <v>16</v>
      </c>
      <c r="B301" s="2" t="s">
        <v>380</v>
      </c>
      <c r="C301" s="2">
        <v>47</v>
      </c>
      <c r="D301" s="2">
        <v>0.78</v>
      </c>
      <c r="E301" s="2">
        <v>7</v>
      </c>
      <c r="F301" s="2">
        <v>6.71</v>
      </c>
      <c r="G301" s="2" t="s">
        <v>33</v>
      </c>
      <c r="H301">
        <f>IF(OR(لوحة_القيادة!$C$4="الكل", A301=لوحة_القيادة!$C$4), 1, 0)</f>
        <v>0</v>
      </c>
      <c r="I301">
        <f>IF(H301=1, SUM($H$2:H301), "")</f>
        <v>0</v>
      </c>
    </row>
    <row r="302" spans="1:9">
      <c r="A302" s="2" t="s">
        <v>19</v>
      </c>
      <c r="B302" s="2" t="s">
        <v>381</v>
      </c>
      <c r="C302" s="2">
        <v>47</v>
      </c>
      <c r="D302" s="2">
        <v>0.78</v>
      </c>
      <c r="E302" s="2">
        <v>20</v>
      </c>
      <c r="F302" s="2">
        <v>2.35</v>
      </c>
      <c r="G302" s="2" t="s">
        <v>48</v>
      </c>
      <c r="H302">
        <f>IF(OR(لوحة_القيادة!$C$4="الكل", A302=لوحة_القيادة!$C$4), 1, 0)</f>
        <v>0</v>
      </c>
      <c r="I302">
        <f>IF(H302=1, SUM($H$2:H302), "")</f>
        <v>0</v>
      </c>
    </row>
    <row r="303" spans="1:9">
      <c r="A303" s="2" t="s">
        <v>8</v>
      </c>
      <c r="B303" s="2" t="s">
        <v>382</v>
      </c>
      <c r="C303" s="2">
        <v>46</v>
      </c>
      <c r="D303" s="2">
        <v>0.77</v>
      </c>
      <c r="E303" s="2">
        <v>11</v>
      </c>
      <c r="F303" s="2">
        <v>4.18</v>
      </c>
      <c r="G303" s="2" t="s">
        <v>383</v>
      </c>
      <c r="H303">
        <f>IF(OR(لوحة_القيادة!$C$4="الكل", A303=لوحة_القيادة!$C$4), 1, 0)</f>
        <v>0</v>
      </c>
      <c r="I303">
        <f>IF(H303=1, SUM($H$2:H303), "")</f>
        <v>0</v>
      </c>
    </row>
    <row r="304" spans="1:9">
      <c r="A304" s="2" t="s">
        <v>18</v>
      </c>
      <c r="B304" s="2" t="s">
        <v>384</v>
      </c>
      <c r="C304" s="2">
        <v>46</v>
      </c>
      <c r="D304" s="2">
        <v>0.77</v>
      </c>
      <c r="E304" s="2">
        <v>6</v>
      </c>
      <c r="F304" s="2">
        <v>7.67</v>
      </c>
      <c r="G304" s="2" t="s">
        <v>143</v>
      </c>
      <c r="H304">
        <f>IF(OR(لوحة_القيادة!$C$4="الكل", A304=لوحة_القيادة!$C$4), 1, 0)</f>
        <v>0</v>
      </c>
      <c r="I304">
        <f>IF(H304=1, SUM($H$2:H304), "")</f>
        <v>0</v>
      </c>
    </row>
    <row r="305" spans="1:9">
      <c r="A305" s="2" t="s">
        <v>8</v>
      </c>
      <c r="B305" s="2" t="s">
        <v>385</v>
      </c>
      <c r="C305" s="2">
        <v>45</v>
      </c>
      <c r="D305" s="2">
        <v>0.75</v>
      </c>
      <c r="E305" s="2">
        <v>1</v>
      </c>
      <c r="F305" s="2">
        <v>45</v>
      </c>
      <c r="G305" s="2" t="s">
        <v>60</v>
      </c>
      <c r="H305">
        <f>IF(OR(لوحة_القيادة!$C$4="الكل", A305=لوحة_القيادة!$C$4), 1, 0)</f>
        <v>0</v>
      </c>
      <c r="I305">
        <f>IF(H305=1, SUM($H$2:H305), "")</f>
        <v>0</v>
      </c>
    </row>
    <row r="306" spans="1:9">
      <c r="A306" s="2" t="s">
        <v>13</v>
      </c>
      <c r="B306" s="2" t="s">
        <v>386</v>
      </c>
      <c r="C306" s="2">
        <v>45</v>
      </c>
      <c r="D306" s="2">
        <v>0.75</v>
      </c>
      <c r="E306" s="2">
        <v>19</v>
      </c>
      <c r="F306" s="2">
        <v>2.37</v>
      </c>
      <c r="G306" s="2" t="s">
        <v>33</v>
      </c>
      <c r="H306">
        <f>IF(OR(لوحة_القيادة!$C$4="الكل", A306=لوحة_القيادة!$C$4), 1, 0)</f>
        <v>0</v>
      </c>
      <c r="I306">
        <f>IF(H306=1, SUM($H$2:H306), "")</f>
        <v>0</v>
      </c>
    </row>
    <row r="307" spans="1:9">
      <c r="A307" s="2" t="s">
        <v>16</v>
      </c>
      <c r="B307" s="2" t="s">
        <v>387</v>
      </c>
      <c r="C307" s="2">
        <v>45</v>
      </c>
      <c r="D307" s="2">
        <v>0.75</v>
      </c>
      <c r="E307" s="2">
        <v>3</v>
      </c>
      <c r="F307" s="2">
        <v>15</v>
      </c>
      <c r="G307" s="2" t="s">
        <v>104</v>
      </c>
      <c r="H307">
        <f>IF(OR(لوحة_القيادة!$C$4="الكل", A307=لوحة_القيادة!$C$4), 1, 0)</f>
        <v>0</v>
      </c>
      <c r="I307">
        <f>IF(H307=1, SUM($H$2:H307), "")</f>
        <v>0</v>
      </c>
    </row>
    <row r="308" spans="1:9">
      <c r="A308" s="2" t="s">
        <v>18</v>
      </c>
      <c r="B308" s="2" t="s">
        <v>388</v>
      </c>
      <c r="C308" s="2">
        <v>45</v>
      </c>
      <c r="D308" s="2">
        <v>0.75</v>
      </c>
      <c r="E308" s="2">
        <v>5</v>
      </c>
      <c r="F308" s="2">
        <v>9</v>
      </c>
      <c r="G308" s="2" t="s">
        <v>202</v>
      </c>
      <c r="H308">
        <f>IF(OR(لوحة_القيادة!$C$4="الكل", A308=لوحة_القيادة!$C$4), 1, 0)</f>
        <v>0</v>
      </c>
      <c r="I308">
        <f>IF(H308=1, SUM($H$2:H308), "")</f>
        <v>0</v>
      </c>
    </row>
    <row r="309" spans="1:9">
      <c r="A309" s="2" t="s">
        <v>18</v>
      </c>
      <c r="B309" s="2" t="s">
        <v>389</v>
      </c>
      <c r="C309" s="2">
        <v>44</v>
      </c>
      <c r="D309" s="2">
        <v>0.73</v>
      </c>
      <c r="E309" s="2">
        <v>4</v>
      </c>
      <c r="F309" s="2">
        <v>11</v>
      </c>
      <c r="G309" s="2" t="s">
        <v>298</v>
      </c>
      <c r="H309">
        <f>IF(OR(لوحة_القيادة!$C$4="الكل", A309=لوحة_القيادة!$C$4), 1, 0)</f>
        <v>0</v>
      </c>
      <c r="I309">
        <f>IF(H309=1, SUM($H$2:H309), "")</f>
        <v>0</v>
      </c>
    </row>
    <row r="310" spans="1:9">
      <c r="A310" s="2" t="s">
        <v>13</v>
      </c>
      <c r="B310" s="2" t="s">
        <v>390</v>
      </c>
      <c r="C310" s="2">
        <v>43</v>
      </c>
      <c r="D310" s="2">
        <v>0.72</v>
      </c>
      <c r="E310" s="2">
        <v>9</v>
      </c>
      <c r="F310" s="2">
        <v>4.78</v>
      </c>
      <c r="G310" s="2" t="s">
        <v>177</v>
      </c>
      <c r="H310">
        <f>IF(OR(لوحة_القيادة!$C$4="الكل", A310=لوحة_القيادة!$C$4), 1, 0)</f>
        <v>0</v>
      </c>
      <c r="I310">
        <f>IF(H310=1, SUM($H$2:H310), "")</f>
        <v>0</v>
      </c>
    </row>
    <row r="311" spans="1:9">
      <c r="A311" s="2" t="s">
        <v>18</v>
      </c>
      <c r="B311" s="2" t="s">
        <v>391</v>
      </c>
      <c r="C311" s="2">
        <v>43</v>
      </c>
      <c r="D311" s="2">
        <v>0.72</v>
      </c>
      <c r="E311" s="2">
        <v>6</v>
      </c>
      <c r="F311" s="2">
        <v>7.17</v>
      </c>
      <c r="G311" s="2" t="s">
        <v>60</v>
      </c>
      <c r="H311">
        <f>IF(OR(لوحة_القيادة!$C$4="الكل", A311=لوحة_القيادة!$C$4), 1, 0)</f>
        <v>0</v>
      </c>
      <c r="I311">
        <f>IF(H311=1, SUM($H$2:H311), "")</f>
        <v>0</v>
      </c>
    </row>
    <row r="312" spans="1:9">
      <c r="A312" s="2" t="s">
        <v>19</v>
      </c>
      <c r="B312" s="2" t="s">
        <v>392</v>
      </c>
      <c r="C312" s="2">
        <v>43</v>
      </c>
      <c r="D312" s="2">
        <v>0.72</v>
      </c>
      <c r="E312" s="2">
        <v>2</v>
      </c>
      <c r="F312" s="2">
        <v>21.5</v>
      </c>
      <c r="G312" s="2" t="s">
        <v>393</v>
      </c>
      <c r="H312">
        <f>IF(OR(لوحة_القيادة!$C$4="الكل", A312=لوحة_القيادة!$C$4), 1, 0)</f>
        <v>0</v>
      </c>
      <c r="I312">
        <f>IF(H312=1, SUM($H$2:H312), "")</f>
        <v>0</v>
      </c>
    </row>
    <row r="313" spans="1:9">
      <c r="A313" s="2" t="s">
        <v>16</v>
      </c>
      <c r="B313" s="2" t="s">
        <v>394</v>
      </c>
      <c r="C313" s="2">
        <v>42</v>
      </c>
      <c r="D313" s="2">
        <v>0.7</v>
      </c>
      <c r="E313" s="2">
        <v>1</v>
      </c>
      <c r="F313" s="2">
        <v>42</v>
      </c>
      <c r="G313" s="2" t="s">
        <v>104</v>
      </c>
      <c r="H313">
        <f>IF(OR(لوحة_القيادة!$C$4="الكل", A313=لوحة_القيادة!$C$4), 1, 0)</f>
        <v>0</v>
      </c>
      <c r="I313">
        <f>IF(H313=1, SUM($H$2:H313), "")</f>
        <v>0</v>
      </c>
    </row>
    <row r="314" spans="1:9">
      <c r="A314" s="2" t="s">
        <v>17</v>
      </c>
      <c r="B314" s="2" t="s">
        <v>395</v>
      </c>
      <c r="C314" s="2">
        <v>42</v>
      </c>
      <c r="D314" s="2">
        <v>0.7</v>
      </c>
      <c r="E314" s="2">
        <v>7</v>
      </c>
      <c r="F314" s="2">
        <v>6</v>
      </c>
      <c r="G314" s="2" t="s">
        <v>48</v>
      </c>
      <c r="H314">
        <f>IF(OR(لوحة_القيادة!$C$4="الكل", A314=لوحة_القيادة!$C$4), 1, 0)</f>
        <v>0</v>
      </c>
      <c r="I314">
        <f>IF(H314=1, SUM($H$2:H314), "")</f>
        <v>0</v>
      </c>
    </row>
    <row r="315" spans="1:9">
      <c r="A315" s="2" t="s">
        <v>17</v>
      </c>
      <c r="B315" s="2" t="s">
        <v>396</v>
      </c>
      <c r="C315" s="2">
        <v>42</v>
      </c>
      <c r="D315" s="2">
        <v>0.7</v>
      </c>
      <c r="E315" s="2">
        <v>1</v>
      </c>
      <c r="F315" s="2">
        <v>42</v>
      </c>
      <c r="G315" s="2" t="s">
        <v>104</v>
      </c>
      <c r="H315">
        <f>IF(OR(لوحة_القيادة!$C$4="الكل", A315=لوحة_القيادة!$C$4), 1, 0)</f>
        <v>0</v>
      </c>
      <c r="I315">
        <f>IF(H315=1, SUM($H$2:H315), "")</f>
        <v>0</v>
      </c>
    </row>
    <row r="316" spans="1:9">
      <c r="A316" s="2" t="s">
        <v>5</v>
      </c>
      <c r="B316" s="2" t="s">
        <v>397</v>
      </c>
      <c r="C316" s="2">
        <v>40</v>
      </c>
      <c r="D316" s="2">
        <v>0.67</v>
      </c>
      <c r="E316" s="2">
        <v>4</v>
      </c>
      <c r="F316" s="2">
        <v>10</v>
      </c>
      <c r="G316" s="2" t="s">
        <v>398</v>
      </c>
      <c r="H316">
        <f>IF(OR(لوحة_القيادة!$C$4="الكل", A316=لوحة_القيادة!$C$4), 1, 0)</f>
        <v>0</v>
      </c>
      <c r="I316">
        <f>IF(H316=1, SUM($H$2:H316), "")</f>
        <v>0</v>
      </c>
    </row>
    <row r="317" spans="1:9">
      <c r="A317" s="2" t="s">
        <v>9</v>
      </c>
      <c r="B317" s="2" t="s">
        <v>399</v>
      </c>
      <c r="C317" s="2">
        <v>40</v>
      </c>
      <c r="D317" s="2">
        <v>0.67</v>
      </c>
      <c r="E317" s="2">
        <v>3</v>
      </c>
      <c r="F317" s="2">
        <v>13.33</v>
      </c>
      <c r="G317" s="2" t="s">
        <v>393</v>
      </c>
      <c r="H317">
        <f>IF(OR(لوحة_القيادة!$C$4="الكل", A317=لوحة_القيادة!$C$4), 1, 0)</f>
        <v>0</v>
      </c>
      <c r="I317">
        <f>IF(H317=1, SUM($H$2:H317), "")</f>
        <v>0</v>
      </c>
    </row>
    <row r="318" spans="1:9">
      <c r="A318" s="2" t="s">
        <v>13</v>
      </c>
      <c r="B318" s="2" t="s">
        <v>400</v>
      </c>
      <c r="C318" s="2">
        <v>40</v>
      </c>
      <c r="D318" s="2">
        <v>0.67</v>
      </c>
      <c r="E318" s="2">
        <v>1</v>
      </c>
      <c r="F318" s="2">
        <v>40</v>
      </c>
      <c r="G318" s="2" t="s">
        <v>401</v>
      </c>
      <c r="H318">
        <f>IF(OR(لوحة_القيادة!$C$4="الكل", A318=لوحة_القيادة!$C$4), 1, 0)</f>
        <v>0</v>
      </c>
      <c r="I318">
        <f>IF(H318=1, SUM($H$2:H318), "")</f>
        <v>0</v>
      </c>
    </row>
    <row r="319" spans="1:9">
      <c r="A319" s="2" t="s">
        <v>16</v>
      </c>
      <c r="B319" s="2" t="s">
        <v>402</v>
      </c>
      <c r="C319" s="2">
        <v>40</v>
      </c>
      <c r="D319" s="2">
        <v>0.67</v>
      </c>
      <c r="E319" s="2">
        <v>8</v>
      </c>
      <c r="F319" s="2">
        <v>5</v>
      </c>
      <c r="G319" s="2" t="s">
        <v>234</v>
      </c>
      <c r="H319">
        <f>IF(OR(لوحة_القيادة!$C$4="الكل", A319=لوحة_القيادة!$C$4), 1, 0)</f>
        <v>0</v>
      </c>
      <c r="I319">
        <f>IF(H319=1, SUM($H$2:H319), "")</f>
        <v>0</v>
      </c>
    </row>
    <row r="320" spans="1:9">
      <c r="A320" s="2" t="s">
        <v>17</v>
      </c>
      <c r="B320" s="2" t="s">
        <v>403</v>
      </c>
      <c r="C320" s="2">
        <v>40</v>
      </c>
      <c r="D320" s="2">
        <v>0.67</v>
      </c>
      <c r="E320" s="2">
        <v>2</v>
      </c>
      <c r="F320" s="2">
        <v>20</v>
      </c>
      <c r="G320" s="2" t="s">
        <v>404</v>
      </c>
      <c r="H320">
        <f>IF(OR(لوحة_القيادة!$C$4="الكل", A320=لوحة_القيادة!$C$4), 1, 0)</f>
        <v>0</v>
      </c>
      <c r="I320">
        <f>IF(H320=1, SUM($H$2:H320), "")</f>
        <v>0</v>
      </c>
    </row>
    <row r="321" spans="1:9">
      <c r="A321" s="2" t="s">
        <v>17</v>
      </c>
      <c r="B321" s="2" t="s">
        <v>405</v>
      </c>
      <c r="C321" s="2">
        <v>40</v>
      </c>
      <c r="D321" s="2">
        <v>0.67</v>
      </c>
      <c r="E321" s="2">
        <v>2</v>
      </c>
      <c r="F321" s="2">
        <v>20</v>
      </c>
      <c r="G321" s="2" t="s">
        <v>292</v>
      </c>
      <c r="H321">
        <f>IF(OR(لوحة_القيادة!$C$4="الكل", A321=لوحة_القيادة!$C$4), 1, 0)</f>
        <v>0</v>
      </c>
      <c r="I321">
        <f>IF(H321=1, SUM($H$2:H321), "")</f>
        <v>0</v>
      </c>
    </row>
    <row r="322" spans="1:9">
      <c r="A322" s="2" t="s">
        <v>19</v>
      </c>
      <c r="B322" s="2" t="s">
        <v>406</v>
      </c>
      <c r="C322" s="2">
        <v>40</v>
      </c>
      <c r="D322" s="2">
        <v>0.67</v>
      </c>
      <c r="E322" s="2">
        <v>14</v>
      </c>
      <c r="F322" s="2">
        <v>2.86</v>
      </c>
      <c r="G322" s="2" t="s">
        <v>234</v>
      </c>
      <c r="H322">
        <f>IF(OR(لوحة_القيادة!$C$4="الكل", A322=لوحة_القيادة!$C$4), 1, 0)</f>
        <v>0</v>
      </c>
      <c r="I322">
        <f>IF(H322=1, SUM($H$2:H322), "")</f>
        <v>0</v>
      </c>
    </row>
    <row r="323" spans="1:9">
      <c r="A323" s="2" t="s">
        <v>14</v>
      </c>
      <c r="B323" s="2" t="s">
        <v>407</v>
      </c>
      <c r="C323" s="2">
        <v>39</v>
      </c>
      <c r="D323" s="2">
        <v>0.65</v>
      </c>
      <c r="E323" s="2">
        <v>9</v>
      </c>
      <c r="F323" s="2">
        <v>4.33</v>
      </c>
      <c r="G323" s="2" t="s">
        <v>350</v>
      </c>
      <c r="H323">
        <f>IF(OR(لوحة_القيادة!$C$4="الكل", A323=لوحة_القيادة!$C$4), 1, 0)</f>
        <v>0</v>
      </c>
      <c r="I323">
        <f>IF(H323=1, SUM($H$2:H323), "")</f>
        <v>0</v>
      </c>
    </row>
    <row r="324" spans="1:9">
      <c r="A324" s="2" t="s">
        <v>13</v>
      </c>
      <c r="B324" s="2" t="s">
        <v>408</v>
      </c>
      <c r="C324" s="2">
        <v>38</v>
      </c>
      <c r="D324" s="2">
        <v>0.63</v>
      </c>
      <c r="E324" s="2">
        <v>12</v>
      </c>
      <c r="F324" s="2">
        <v>3.17</v>
      </c>
      <c r="G324" s="2" t="s">
        <v>112</v>
      </c>
      <c r="H324">
        <f>IF(OR(لوحة_القيادة!$C$4="الكل", A324=لوحة_القيادة!$C$4), 1, 0)</f>
        <v>0</v>
      </c>
      <c r="I324">
        <f>IF(H324=1, SUM($H$2:H324), "")</f>
        <v>0</v>
      </c>
    </row>
    <row r="325" spans="1:9">
      <c r="A325" s="2" t="s">
        <v>18</v>
      </c>
      <c r="B325" s="2" t="s">
        <v>409</v>
      </c>
      <c r="C325" s="2">
        <v>38</v>
      </c>
      <c r="D325" s="2">
        <v>0.63</v>
      </c>
      <c r="E325" s="2">
        <v>3</v>
      </c>
      <c r="F325" s="2">
        <v>12.67</v>
      </c>
      <c r="G325" s="2" t="s">
        <v>33</v>
      </c>
      <c r="H325">
        <f>IF(OR(لوحة_القيادة!$C$4="الكل", A325=لوحة_القيادة!$C$4), 1, 0)</f>
        <v>0</v>
      </c>
      <c r="I325">
        <f>IF(H325=1, SUM($H$2:H325), "")</f>
        <v>0</v>
      </c>
    </row>
    <row r="326" spans="1:9">
      <c r="A326" s="2" t="s">
        <v>22</v>
      </c>
      <c r="B326" s="2" t="s">
        <v>410</v>
      </c>
      <c r="C326" s="2">
        <v>37</v>
      </c>
      <c r="D326" s="2">
        <v>0.62</v>
      </c>
      <c r="E326" s="2">
        <v>10</v>
      </c>
      <c r="F326" s="2">
        <v>3.7</v>
      </c>
      <c r="G326" s="2" t="s">
        <v>296</v>
      </c>
      <c r="H326">
        <f>IF(OR(لوحة_القيادة!$C$4="الكل", A326=لوحة_القيادة!$C$4), 1, 0)</f>
        <v>0</v>
      </c>
      <c r="I326">
        <f>IF(H326=1, SUM($H$2:H326), "")</f>
        <v>0</v>
      </c>
    </row>
    <row r="327" spans="1:9">
      <c r="A327" s="2" t="s">
        <v>8</v>
      </c>
      <c r="B327" s="2" t="s">
        <v>411</v>
      </c>
      <c r="C327" s="2">
        <v>36</v>
      </c>
      <c r="D327" s="2">
        <v>0.6</v>
      </c>
      <c r="E327" s="2">
        <v>9</v>
      </c>
      <c r="F327" s="2">
        <v>4</v>
      </c>
      <c r="G327" s="2" t="s">
        <v>33</v>
      </c>
      <c r="H327">
        <f>IF(OR(لوحة_القيادة!$C$4="الكل", A327=لوحة_القيادة!$C$4), 1, 0)</f>
        <v>0</v>
      </c>
      <c r="I327">
        <f>IF(H327=1, SUM($H$2:H327), "")</f>
        <v>0</v>
      </c>
    </row>
    <row r="328" spans="1:9">
      <c r="A328" s="2" t="s">
        <v>11</v>
      </c>
      <c r="B328" s="2" t="s">
        <v>412</v>
      </c>
      <c r="C328" s="2">
        <v>36</v>
      </c>
      <c r="D328" s="2">
        <v>0.6</v>
      </c>
      <c r="E328" s="2">
        <v>3</v>
      </c>
      <c r="F328" s="2">
        <v>12</v>
      </c>
      <c r="G328" s="2" t="s">
        <v>322</v>
      </c>
      <c r="H328">
        <f>IF(OR(لوحة_القيادة!$C$4="الكل", A328=لوحة_القيادة!$C$4), 1, 0)</f>
        <v>0</v>
      </c>
      <c r="I328">
        <f>IF(H328=1, SUM($H$2:H328), "")</f>
        <v>0</v>
      </c>
    </row>
    <row r="329" spans="1:9">
      <c r="A329" s="2" t="s">
        <v>14</v>
      </c>
      <c r="B329" s="2" t="s">
        <v>413</v>
      </c>
      <c r="C329" s="2">
        <v>36</v>
      </c>
      <c r="D329" s="2">
        <v>0.6</v>
      </c>
      <c r="E329" s="2">
        <v>5</v>
      </c>
      <c r="F329" s="2">
        <v>7.2</v>
      </c>
      <c r="G329" s="2" t="s">
        <v>296</v>
      </c>
      <c r="H329">
        <f>IF(OR(لوحة_القيادة!$C$4="الكل", A329=لوحة_القيادة!$C$4), 1, 0)</f>
        <v>0</v>
      </c>
      <c r="I329">
        <f>IF(H329=1, SUM($H$2:H329), "")</f>
        <v>0</v>
      </c>
    </row>
    <row r="330" spans="1:9">
      <c r="A330" s="2" t="s">
        <v>16</v>
      </c>
      <c r="B330" s="2" t="s">
        <v>414</v>
      </c>
      <c r="C330" s="2">
        <v>36</v>
      </c>
      <c r="D330" s="2">
        <v>0.6</v>
      </c>
      <c r="E330" s="2">
        <v>11</v>
      </c>
      <c r="F330" s="2">
        <v>3.27</v>
      </c>
      <c r="G330" s="2" t="s">
        <v>33</v>
      </c>
      <c r="H330">
        <f>IF(OR(لوحة_القيادة!$C$4="الكل", A330=لوحة_القيادة!$C$4), 1, 0)</f>
        <v>0</v>
      </c>
      <c r="I330">
        <f>IF(H330=1, SUM($H$2:H330), "")</f>
        <v>0</v>
      </c>
    </row>
    <row r="331" spans="1:9">
      <c r="A331" s="2" t="s">
        <v>22</v>
      </c>
      <c r="B331" s="2" t="s">
        <v>415</v>
      </c>
      <c r="C331" s="2">
        <v>36</v>
      </c>
      <c r="D331" s="2">
        <v>0.6</v>
      </c>
      <c r="E331" s="2">
        <v>8</v>
      </c>
      <c r="F331" s="2">
        <v>4.5</v>
      </c>
      <c r="G331" s="2" t="s">
        <v>104</v>
      </c>
      <c r="H331">
        <f>IF(OR(لوحة_القيادة!$C$4="الكل", A331=لوحة_القيادة!$C$4), 1, 0)</f>
        <v>0</v>
      </c>
      <c r="I331">
        <f>IF(H331=1, SUM($H$2:H331), "")</f>
        <v>0</v>
      </c>
    </row>
    <row r="332" spans="1:9">
      <c r="A332" s="2" t="s">
        <v>16</v>
      </c>
      <c r="B332" s="2" t="s">
        <v>416</v>
      </c>
      <c r="C332" s="2">
        <v>35</v>
      </c>
      <c r="D332" s="2">
        <v>0.58</v>
      </c>
      <c r="E332" s="2">
        <v>3</v>
      </c>
      <c r="F332" s="2">
        <v>11.67</v>
      </c>
      <c r="G332" s="2" t="s">
        <v>33</v>
      </c>
      <c r="H332">
        <f>IF(OR(لوحة_القيادة!$C$4="الكل", A332=لوحة_القيادة!$C$4), 1, 0)</f>
        <v>0</v>
      </c>
      <c r="I332">
        <f>IF(H332=1, SUM($H$2:H332), "")</f>
        <v>0</v>
      </c>
    </row>
    <row r="333" spans="1:9">
      <c r="A333" s="2" t="s">
        <v>19</v>
      </c>
      <c r="B333" s="2" t="s">
        <v>417</v>
      </c>
      <c r="C333" s="2">
        <v>35</v>
      </c>
      <c r="D333" s="2">
        <v>0.58</v>
      </c>
      <c r="E333" s="2">
        <v>2</v>
      </c>
      <c r="F333" s="2">
        <v>17.5</v>
      </c>
      <c r="G333" s="2" t="s">
        <v>33</v>
      </c>
      <c r="H333">
        <f>IF(OR(لوحة_القيادة!$C$4="الكل", A333=لوحة_القيادة!$C$4), 1, 0)</f>
        <v>0</v>
      </c>
      <c r="I333">
        <f>IF(H333=1, SUM($H$2:H333), "")</f>
        <v>0</v>
      </c>
    </row>
    <row r="334" spans="1:9">
      <c r="A334" s="2" t="s">
        <v>16</v>
      </c>
      <c r="B334" s="2" t="s">
        <v>418</v>
      </c>
      <c r="C334" s="2">
        <v>34</v>
      </c>
      <c r="D334" s="2">
        <v>0.57</v>
      </c>
      <c r="E334" s="2">
        <v>2</v>
      </c>
      <c r="F334" s="2">
        <v>17</v>
      </c>
      <c r="G334" s="2" t="s">
        <v>419</v>
      </c>
      <c r="H334">
        <f>IF(OR(لوحة_القيادة!$C$4="الكل", A334=لوحة_القيادة!$C$4), 1, 0)</f>
        <v>0</v>
      </c>
      <c r="I334">
        <f>IF(H334=1, SUM($H$2:H334), "")</f>
        <v>0</v>
      </c>
    </row>
    <row r="335" spans="1:9">
      <c r="A335" s="2" t="s">
        <v>17</v>
      </c>
      <c r="B335" s="2" t="s">
        <v>420</v>
      </c>
      <c r="C335" s="2">
        <v>34</v>
      </c>
      <c r="D335" s="2">
        <v>0.57</v>
      </c>
      <c r="E335" s="2">
        <v>2</v>
      </c>
      <c r="F335" s="2">
        <v>17</v>
      </c>
      <c r="G335" s="2" t="s">
        <v>339</v>
      </c>
      <c r="H335">
        <f>IF(OR(لوحة_القيادة!$C$4="الكل", A335=لوحة_القيادة!$C$4), 1, 0)</f>
        <v>0</v>
      </c>
      <c r="I335">
        <f>IF(H335=1, SUM($H$2:H335), "")</f>
        <v>0</v>
      </c>
    </row>
    <row r="336" spans="1:9">
      <c r="A336" s="2" t="s">
        <v>16</v>
      </c>
      <c r="B336" s="2" t="s">
        <v>421</v>
      </c>
      <c r="C336" s="2">
        <v>33</v>
      </c>
      <c r="D336" s="2">
        <v>0.55</v>
      </c>
      <c r="E336" s="2">
        <v>1</v>
      </c>
      <c r="F336" s="2">
        <v>33</v>
      </c>
      <c r="G336" s="2" t="s">
        <v>422</v>
      </c>
      <c r="H336">
        <f>IF(OR(لوحة_القيادة!$C$4="الكل", A336=لوحة_القيادة!$C$4), 1, 0)</f>
        <v>0</v>
      </c>
      <c r="I336">
        <f>IF(H336=1, SUM($H$2:H336), "")</f>
        <v>0</v>
      </c>
    </row>
    <row r="337" spans="1:9">
      <c r="A337" s="2" t="s">
        <v>6</v>
      </c>
      <c r="B337" s="2" t="s">
        <v>423</v>
      </c>
      <c r="C337" s="2">
        <v>31</v>
      </c>
      <c r="D337" s="2">
        <v>0.52</v>
      </c>
      <c r="E337" s="2">
        <v>5</v>
      </c>
      <c r="F337" s="2">
        <v>6.2</v>
      </c>
      <c r="G337" s="2" t="s">
        <v>33</v>
      </c>
      <c r="H337">
        <f>IF(OR(لوحة_القيادة!$C$4="الكل", A337=لوحة_القيادة!$C$4), 1, 0)</f>
        <v>0</v>
      </c>
      <c r="I337">
        <f>IF(H337=1, SUM($H$2:H337), "")</f>
        <v>0</v>
      </c>
    </row>
    <row r="338" spans="1:9">
      <c r="A338" s="2" t="s">
        <v>10</v>
      </c>
      <c r="B338" s="2" t="s">
        <v>424</v>
      </c>
      <c r="C338" s="2">
        <v>31</v>
      </c>
      <c r="D338" s="2">
        <v>0.52</v>
      </c>
      <c r="E338" s="2">
        <v>1</v>
      </c>
      <c r="F338" s="2">
        <v>31</v>
      </c>
      <c r="G338" s="2" t="s">
        <v>55</v>
      </c>
      <c r="H338">
        <f>IF(OR(لوحة_القيادة!$C$4="الكل", A338=لوحة_القيادة!$C$4), 1, 0)</f>
        <v>0</v>
      </c>
      <c r="I338">
        <f>IF(H338=1, SUM($H$2:H338), "")</f>
        <v>0</v>
      </c>
    </row>
    <row r="339" spans="1:9">
      <c r="A339" s="2" t="s">
        <v>8</v>
      </c>
      <c r="B339" s="2" t="s">
        <v>425</v>
      </c>
      <c r="C339" s="2">
        <v>30</v>
      </c>
      <c r="D339" s="2">
        <v>0.5</v>
      </c>
      <c r="E339" s="2">
        <v>5</v>
      </c>
      <c r="F339" s="2">
        <v>6</v>
      </c>
      <c r="G339" s="2" t="s">
        <v>366</v>
      </c>
      <c r="H339">
        <f>IF(OR(لوحة_القيادة!$C$4="الكل", A339=لوحة_القيادة!$C$4), 1, 0)</f>
        <v>0</v>
      </c>
      <c r="I339">
        <f>IF(H339=1, SUM($H$2:H339), "")</f>
        <v>0</v>
      </c>
    </row>
    <row r="340" spans="1:9">
      <c r="A340" s="2" t="s">
        <v>16</v>
      </c>
      <c r="B340" s="2" t="s">
        <v>426</v>
      </c>
      <c r="C340" s="2">
        <v>30</v>
      </c>
      <c r="D340" s="2">
        <v>0.5</v>
      </c>
      <c r="E340" s="2">
        <v>9</v>
      </c>
      <c r="F340" s="2">
        <v>3.33</v>
      </c>
      <c r="G340" s="2" t="s">
        <v>82</v>
      </c>
      <c r="H340">
        <f>IF(OR(لوحة_القيادة!$C$4="الكل", A340=لوحة_القيادة!$C$4), 1, 0)</f>
        <v>0</v>
      </c>
      <c r="I340">
        <f>IF(H340=1, SUM($H$2:H340), "")</f>
        <v>0</v>
      </c>
    </row>
    <row r="341" spans="1:9">
      <c r="A341" s="2" t="s">
        <v>5</v>
      </c>
      <c r="B341" s="2" t="s">
        <v>427</v>
      </c>
      <c r="C341" s="2">
        <v>29</v>
      </c>
      <c r="D341" s="2">
        <v>0.48</v>
      </c>
      <c r="E341" s="2">
        <v>8</v>
      </c>
      <c r="F341" s="2">
        <v>3.62</v>
      </c>
      <c r="G341" s="2" t="s">
        <v>234</v>
      </c>
      <c r="H341">
        <f>IF(OR(لوحة_القيادة!$C$4="الكل", A341=لوحة_القيادة!$C$4), 1, 0)</f>
        <v>0</v>
      </c>
      <c r="I341">
        <f>IF(H341=1, SUM($H$2:H341), "")</f>
        <v>0</v>
      </c>
    </row>
    <row r="342" spans="1:9">
      <c r="A342" s="2" t="s">
        <v>11</v>
      </c>
      <c r="B342" s="2" t="s">
        <v>428</v>
      </c>
      <c r="C342" s="2">
        <v>29</v>
      </c>
      <c r="D342" s="2">
        <v>0.48</v>
      </c>
      <c r="E342" s="2">
        <v>4</v>
      </c>
      <c r="F342" s="2">
        <v>7.25</v>
      </c>
      <c r="G342" s="2" t="s">
        <v>186</v>
      </c>
      <c r="H342">
        <f>IF(OR(لوحة_القيادة!$C$4="الكل", A342=لوحة_القيادة!$C$4), 1, 0)</f>
        <v>0</v>
      </c>
      <c r="I342">
        <f>IF(H342=1, SUM($H$2:H342), "")</f>
        <v>0</v>
      </c>
    </row>
    <row r="343" spans="1:9">
      <c r="A343" s="2" t="s">
        <v>13</v>
      </c>
      <c r="B343" s="2" t="s">
        <v>429</v>
      </c>
      <c r="C343" s="2">
        <v>29</v>
      </c>
      <c r="D343" s="2">
        <v>0.48</v>
      </c>
      <c r="E343" s="2">
        <v>6</v>
      </c>
      <c r="F343" s="2">
        <v>4.83</v>
      </c>
      <c r="G343" s="2" t="s">
        <v>430</v>
      </c>
      <c r="H343">
        <f>IF(OR(لوحة_القيادة!$C$4="الكل", A343=لوحة_القيادة!$C$4), 1, 0)</f>
        <v>0</v>
      </c>
      <c r="I343">
        <f>IF(H343=1, SUM($H$2:H343), "")</f>
        <v>0</v>
      </c>
    </row>
    <row r="344" spans="1:9">
      <c r="A344" s="2" t="s">
        <v>14</v>
      </c>
      <c r="B344" s="2" t="s">
        <v>431</v>
      </c>
      <c r="C344" s="2">
        <v>29</v>
      </c>
      <c r="D344" s="2">
        <v>0.48</v>
      </c>
      <c r="E344" s="2">
        <v>7</v>
      </c>
      <c r="F344" s="2">
        <v>4.14</v>
      </c>
      <c r="G344" s="2" t="s">
        <v>432</v>
      </c>
      <c r="H344">
        <f>IF(OR(لوحة_القيادة!$C$4="الكل", A344=لوحة_القيادة!$C$4), 1, 0)</f>
        <v>0</v>
      </c>
      <c r="I344">
        <f>IF(H344=1, SUM($H$2:H344), "")</f>
        <v>0</v>
      </c>
    </row>
    <row r="345" spans="1:9">
      <c r="A345" s="2" t="s">
        <v>16</v>
      </c>
      <c r="B345" s="2" t="s">
        <v>433</v>
      </c>
      <c r="C345" s="2">
        <v>28</v>
      </c>
      <c r="D345" s="2">
        <v>0.47</v>
      </c>
      <c r="E345" s="2">
        <v>5</v>
      </c>
      <c r="F345" s="2">
        <v>5.6</v>
      </c>
      <c r="G345" s="2" t="s">
        <v>434</v>
      </c>
      <c r="H345">
        <f>IF(OR(لوحة_القيادة!$C$4="الكل", A345=لوحة_القيادة!$C$4), 1, 0)</f>
        <v>0</v>
      </c>
      <c r="I345">
        <f>IF(H345=1, SUM($H$2:H345), "")</f>
        <v>0</v>
      </c>
    </row>
    <row r="346" spans="1:9">
      <c r="A346" s="2" t="s">
        <v>17</v>
      </c>
      <c r="B346" s="2" t="s">
        <v>435</v>
      </c>
      <c r="C346" s="2">
        <v>28</v>
      </c>
      <c r="D346" s="2">
        <v>0.47</v>
      </c>
      <c r="E346" s="2">
        <v>2</v>
      </c>
      <c r="F346" s="2">
        <v>14</v>
      </c>
      <c r="G346" s="2" t="s">
        <v>48</v>
      </c>
      <c r="H346">
        <f>IF(OR(لوحة_القيادة!$C$4="الكل", A346=لوحة_القيادة!$C$4), 1, 0)</f>
        <v>0</v>
      </c>
      <c r="I346">
        <f>IF(H346=1, SUM($H$2:H346), "")</f>
        <v>0</v>
      </c>
    </row>
    <row r="347" spans="1:9">
      <c r="A347" s="2" t="s">
        <v>1</v>
      </c>
      <c r="B347" s="2" t="s">
        <v>436</v>
      </c>
      <c r="C347" s="2">
        <v>27</v>
      </c>
      <c r="D347" s="2">
        <v>0.45</v>
      </c>
      <c r="E347" s="2">
        <v>8</v>
      </c>
      <c r="F347" s="2">
        <v>3.38</v>
      </c>
      <c r="G347" s="2" t="s">
        <v>33</v>
      </c>
      <c r="H347">
        <f>IF(OR(لوحة_القيادة!$C$4="الكل", A347=لوحة_القيادة!$C$4), 1, 0)</f>
        <v>0</v>
      </c>
      <c r="I347">
        <f>IF(H347=1, SUM($H$2:H347), "")</f>
        <v>0</v>
      </c>
    </row>
    <row r="348" spans="1:9">
      <c r="A348" s="2" t="s">
        <v>14</v>
      </c>
      <c r="B348" s="2" t="s">
        <v>437</v>
      </c>
      <c r="C348" s="2">
        <v>27</v>
      </c>
      <c r="D348" s="2">
        <v>0.45</v>
      </c>
      <c r="E348" s="2">
        <v>5</v>
      </c>
      <c r="F348" s="2">
        <v>5.4</v>
      </c>
      <c r="G348" s="2" t="s">
        <v>177</v>
      </c>
      <c r="H348">
        <f>IF(OR(لوحة_القيادة!$C$4="الكل", A348=لوحة_القيادة!$C$4), 1, 0)</f>
        <v>0</v>
      </c>
      <c r="I348">
        <f>IF(H348=1, SUM($H$2:H348), "")</f>
        <v>0</v>
      </c>
    </row>
    <row r="349" spans="1:9">
      <c r="A349" s="2" t="s">
        <v>15</v>
      </c>
      <c r="B349" s="2" t="s">
        <v>438</v>
      </c>
      <c r="C349" s="2">
        <v>27</v>
      </c>
      <c r="D349" s="2">
        <v>0.45</v>
      </c>
      <c r="E349" s="2">
        <v>1</v>
      </c>
      <c r="F349" s="2">
        <v>27</v>
      </c>
      <c r="G349" s="2" t="s">
        <v>370</v>
      </c>
      <c r="H349">
        <f>IF(OR(لوحة_القيادة!$C$4="الكل", A349=لوحة_القيادة!$C$4), 1, 0)</f>
        <v>0</v>
      </c>
      <c r="I349">
        <f>IF(H349=1, SUM($H$2:H349), "")</f>
        <v>0</v>
      </c>
    </row>
    <row r="350" spans="1:9">
      <c r="A350" s="2" t="s">
        <v>16</v>
      </c>
      <c r="B350" s="2" t="s">
        <v>439</v>
      </c>
      <c r="C350" s="2">
        <v>27</v>
      </c>
      <c r="D350" s="2">
        <v>0.45</v>
      </c>
      <c r="E350" s="2">
        <v>1</v>
      </c>
      <c r="F350" s="2">
        <v>27</v>
      </c>
      <c r="G350" s="2" t="s">
        <v>324</v>
      </c>
      <c r="H350">
        <f>IF(OR(لوحة_القيادة!$C$4="الكل", A350=لوحة_القيادة!$C$4), 1, 0)</f>
        <v>0</v>
      </c>
      <c r="I350">
        <f>IF(H350=1, SUM($H$2:H350), "")</f>
        <v>0</v>
      </c>
    </row>
    <row r="351" spans="1:9">
      <c r="A351" s="2" t="s">
        <v>18</v>
      </c>
      <c r="B351" s="2" t="s">
        <v>440</v>
      </c>
      <c r="C351" s="2">
        <v>27</v>
      </c>
      <c r="D351" s="2">
        <v>0.45</v>
      </c>
      <c r="E351" s="2">
        <v>4</v>
      </c>
      <c r="F351" s="2">
        <v>6.75</v>
      </c>
      <c r="G351" s="2" t="s">
        <v>441</v>
      </c>
      <c r="H351">
        <f>IF(OR(لوحة_القيادة!$C$4="الكل", A351=لوحة_القيادة!$C$4), 1, 0)</f>
        <v>0</v>
      </c>
      <c r="I351">
        <f>IF(H351=1, SUM($H$2:H351), "")</f>
        <v>0</v>
      </c>
    </row>
    <row r="352" spans="1:9">
      <c r="A352" s="2" t="s">
        <v>20</v>
      </c>
      <c r="B352" s="2" t="s">
        <v>442</v>
      </c>
      <c r="C352" s="2">
        <v>27</v>
      </c>
      <c r="D352" s="2">
        <v>0.45</v>
      </c>
      <c r="E352" s="2">
        <v>6</v>
      </c>
      <c r="F352" s="2">
        <v>4.5</v>
      </c>
      <c r="G352" s="2" t="s">
        <v>202</v>
      </c>
      <c r="H352">
        <f>IF(OR(لوحة_القيادة!$C$4="الكل", A352=لوحة_القيادة!$C$4), 1, 0)</f>
        <v>0</v>
      </c>
      <c r="I352">
        <f>IF(H352=1, SUM($H$2:H352), "")</f>
        <v>0</v>
      </c>
    </row>
    <row r="353" spans="1:9">
      <c r="A353" s="2" t="s">
        <v>10</v>
      </c>
      <c r="B353" s="2" t="s">
        <v>443</v>
      </c>
      <c r="C353" s="2">
        <v>26</v>
      </c>
      <c r="D353" s="2">
        <v>0.43</v>
      </c>
      <c r="E353" s="2">
        <v>1</v>
      </c>
      <c r="F353" s="2">
        <v>26</v>
      </c>
      <c r="G353" s="2" t="s">
        <v>444</v>
      </c>
      <c r="H353">
        <f>IF(OR(لوحة_القيادة!$C$4="الكل", A353=لوحة_القيادة!$C$4), 1, 0)</f>
        <v>0</v>
      </c>
      <c r="I353">
        <f>IF(H353=1, SUM($H$2:H353), "")</f>
        <v>0</v>
      </c>
    </row>
    <row r="354" spans="1:9">
      <c r="A354" s="2" t="s">
        <v>15</v>
      </c>
      <c r="B354" s="2" t="s">
        <v>445</v>
      </c>
      <c r="C354" s="2">
        <v>26</v>
      </c>
      <c r="D354" s="2">
        <v>0.43</v>
      </c>
      <c r="E354" s="2">
        <v>11</v>
      </c>
      <c r="F354" s="2">
        <v>2.36</v>
      </c>
      <c r="G354" s="2" t="s">
        <v>82</v>
      </c>
      <c r="H354">
        <f>IF(OR(لوحة_القيادة!$C$4="الكل", A354=لوحة_القيادة!$C$4), 1, 0)</f>
        <v>0</v>
      </c>
      <c r="I354">
        <f>IF(H354=1, SUM($H$2:H354), "")</f>
        <v>0</v>
      </c>
    </row>
    <row r="355" spans="1:9">
      <c r="A355" s="2" t="s">
        <v>9</v>
      </c>
      <c r="B355" s="2" t="s">
        <v>446</v>
      </c>
      <c r="C355" s="2">
        <v>25</v>
      </c>
      <c r="D355" s="2">
        <v>0.42</v>
      </c>
      <c r="E355" s="2">
        <v>6</v>
      </c>
      <c r="F355" s="2">
        <v>4.17</v>
      </c>
      <c r="G355" s="2" t="s">
        <v>104</v>
      </c>
      <c r="H355">
        <f>IF(OR(لوحة_القيادة!$C$4="الكل", A355=لوحة_القيادة!$C$4), 1, 0)</f>
        <v>0</v>
      </c>
      <c r="I355">
        <f>IF(H355=1, SUM($H$2:H355), "")</f>
        <v>0</v>
      </c>
    </row>
    <row r="356" spans="1:9">
      <c r="A356" s="2" t="s">
        <v>11</v>
      </c>
      <c r="B356" s="2" t="s">
        <v>447</v>
      </c>
      <c r="C356" s="2">
        <v>24</v>
      </c>
      <c r="D356" s="2">
        <v>0.4</v>
      </c>
      <c r="E356" s="2">
        <v>1</v>
      </c>
      <c r="F356" s="2">
        <v>24</v>
      </c>
      <c r="G356" s="2" t="s">
        <v>73</v>
      </c>
      <c r="H356">
        <f>IF(OR(لوحة_القيادة!$C$4="الكل", A356=لوحة_القيادة!$C$4), 1, 0)</f>
        <v>0</v>
      </c>
      <c r="I356">
        <f>IF(H356=1, SUM($H$2:H356), "")</f>
        <v>0</v>
      </c>
    </row>
    <row r="357" spans="1:9">
      <c r="A357" s="2" t="s">
        <v>13</v>
      </c>
      <c r="B357" s="2" t="s">
        <v>448</v>
      </c>
      <c r="C357" s="2">
        <v>24</v>
      </c>
      <c r="D357" s="2">
        <v>0.4</v>
      </c>
      <c r="E357" s="2">
        <v>2</v>
      </c>
      <c r="F357" s="2">
        <v>12</v>
      </c>
      <c r="G357" s="2" t="s">
        <v>449</v>
      </c>
      <c r="H357">
        <f>IF(OR(لوحة_القيادة!$C$4="الكل", A357=لوحة_القيادة!$C$4), 1, 0)</f>
        <v>0</v>
      </c>
      <c r="I357">
        <f>IF(H357=1, SUM($H$2:H357), "")</f>
        <v>0</v>
      </c>
    </row>
    <row r="358" spans="1:9">
      <c r="A358" s="2" t="s">
        <v>18</v>
      </c>
      <c r="B358" s="2" t="s">
        <v>450</v>
      </c>
      <c r="C358" s="2">
        <v>23</v>
      </c>
      <c r="D358" s="2">
        <v>0.38</v>
      </c>
      <c r="E358" s="2">
        <v>5</v>
      </c>
      <c r="F358" s="2">
        <v>4.6</v>
      </c>
      <c r="G358" s="2" t="s">
        <v>393</v>
      </c>
      <c r="H358">
        <f>IF(OR(لوحة_القيادة!$C$4="الكل", A358=لوحة_القيادة!$C$4), 1, 0)</f>
        <v>0</v>
      </c>
      <c r="I358">
        <f>IF(H358=1, SUM($H$2:H358), "")</f>
        <v>0</v>
      </c>
    </row>
    <row r="359" spans="1:9">
      <c r="A359" s="2" t="s">
        <v>14</v>
      </c>
      <c r="B359" s="2" t="s">
        <v>451</v>
      </c>
      <c r="C359" s="2">
        <v>22</v>
      </c>
      <c r="D359" s="2">
        <v>0.37</v>
      </c>
      <c r="E359" s="2">
        <v>3</v>
      </c>
      <c r="F359" s="2">
        <v>7.33</v>
      </c>
      <c r="G359" s="2" t="s">
        <v>452</v>
      </c>
      <c r="H359">
        <f>IF(OR(لوحة_القيادة!$C$4="الكل", A359=لوحة_القيادة!$C$4), 1, 0)</f>
        <v>0</v>
      </c>
      <c r="I359">
        <f>IF(H359=1, SUM($H$2:H359), "")</f>
        <v>0</v>
      </c>
    </row>
    <row r="360" spans="1:9">
      <c r="A360" s="2" t="s">
        <v>15</v>
      </c>
      <c r="B360" s="2" t="s">
        <v>453</v>
      </c>
      <c r="C360" s="2">
        <v>22</v>
      </c>
      <c r="D360" s="2">
        <v>0.37</v>
      </c>
      <c r="E360" s="2">
        <v>6</v>
      </c>
      <c r="F360" s="2">
        <v>3.67</v>
      </c>
      <c r="G360" s="2" t="s">
        <v>454</v>
      </c>
      <c r="H360">
        <f>IF(OR(لوحة_القيادة!$C$4="الكل", A360=لوحة_القيادة!$C$4), 1, 0)</f>
        <v>0</v>
      </c>
      <c r="I360">
        <f>IF(H360=1, SUM($H$2:H360), "")</f>
        <v>0</v>
      </c>
    </row>
    <row r="361" spans="1:9">
      <c r="A361" s="2" t="s">
        <v>16</v>
      </c>
      <c r="B361" s="2" t="s">
        <v>455</v>
      </c>
      <c r="C361" s="2">
        <v>22</v>
      </c>
      <c r="D361" s="2">
        <v>0.37</v>
      </c>
      <c r="E361" s="2">
        <v>1</v>
      </c>
      <c r="F361" s="2">
        <v>22</v>
      </c>
      <c r="G361" s="2" t="s">
        <v>456</v>
      </c>
      <c r="H361">
        <f>IF(OR(لوحة_القيادة!$C$4="الكل", A361=لوحة_القيادة!$C$4), 1, 0)</f>
        <v>0</v>
      </c>
      <c r="I361">
        <f>IF(H361=1, SUM($H$2:H361), "")</f>
        <v>0</v>
      </c>
    </row>
    <row r="362" spans="1:9">
      <c r="A362" s="2" t="s">
        <v>17</v>
      </c>
      <c r="B362" s="2" t="s">
        <v>457</v>
      </c>
      <c r="C362" s="2">
        <v>22</v>
      </c>
      <c r="D362" s="2">
        <v>0.37</v>
      </c>
      <c r="E362" s="2">
        <v>3</v>
      </c>
      <c r="F362" s="2">
        <v>7.33</v>
      </c>
      <c r="G362" s="2" t="s">
        <v>449</v>
      </c>
      <c r="H362">
        <f>IF(OR(لوحة_القيادة!$C$4="الكل", A362=لوحة_القيادة!$C$4), 1, 0)</f>
        <v>0</v>
      </c>
      <c r="I362">
        <f>IF(H362=1, SUM($H$2:H362), "")</f>
        <v>0</v>
      </c>
    </row>
    <row r="363" spans="1:9">
      <c r="A363" s="2" t="s">
        <v>10</v>
      </c>
      <c r="B363" s="2" t="s">
        <v>458</v>
      </c>
      <c r="C363" s="2">
        <v>21</v>
      </c>
      <c r="D363" s="2">
        <v>0.35</v>
      </c>
      <c r="E363" s="2">
        <v>2</v>
      </c>
      <c r="F363" s="2">
        <v>10.5</v>
      </c>
      <c r="G363" s="2" t="s">
        <v>401</v>
      </c>
      <c r="H363">
        <f>IF(OR(لوحة_القيادة!$C$4="الكل", A363=لوحة_القيادة!$C$4), 1, 0)</f>
        <v>0</v>
      </c>
      <c r="I363">
        <f>IF(H363=1, SUM($H$2:H363), "")</f>
        <v>0</v>
      </c>
    </row>
    <row r="364" spans="1:9">
      <c r="A364" s="2" t="s">
        <v>11</v>
      </c>
      <c r="B364" s="2" t="s">
        <v>459</v>
      </c>
      <c r="C364" s="2">
        <v>20</v>
      </c>
      <c r="D364" s="2">
        <v>0.33</v>
      </c>
      <c r="E364" s="2">
        <v>1</v>
      </c>
      <c r="F364" s="2">
        <v>20</v>
      </c>
      <c r="G364" s="2" t="s">
        <v>444</v>
      </c>
      <c r="H364">
        <f>IF(OR(لوحة_القيادة!$C$4="الكل", A364=لوحة_القيادة!$C$4), 1, 0)</f>
        <v>0</v>
      </c>
      <c r="I364">
        <f>IF(H364=1, SUM($H$2:H364), "")</f>
        <v>0</v>
      </c>
    </row>
    <row r="365" spans="1:9">
      <c r="A365" s="2" t="s">
        <v>19</v>
      </c>
      <c r="B365" s="2" t="s">
        <v>460</v>
      </c>
      <c r="C365" s="2">
        <v>20</v>
      </c>
      <c r="D365" s="2">
        <v>0.33</v>
      </c>
      <c r="E365" s="2">
        <v>1</v>
      </c>
      <c r="F365" s="2">
        <v>20</v>
      </c>
      <c r="G365" s="2" t="s">
        <v>444</v>
      </c>
      <c r="H365">
        <f>IF(OR(لوحة_القيادة!$C$4="الكل", A365=لوحة_القيادة!$C$4), 1, 0)</f>
        <v>0</v>
      </c>
      <c r="I365">
        <f>IF(H365=1, SUM($H$2:H365), "")</f>
        <v>0</v>
      </c>
    </row>
    <row r="366" spans="1:9">
      <c r="A366" s="2" t="s">
        <v>19</v>
      </c>
      <c r="B366" s="2" t="s">
        <v>461</v>
      </c>
      <c r="C366" s="2">
        <v>20</v>
      </c>
      <c r="D366" s="2">
        <v>0.33</v>
      </c>
      <c r="E366" s="2">
        <v>1</v>
      </c>
      <c r="F366" s="2">
        <v>20</v>
      </c>
      <c r="G366" s="2" t="s">
        <v>280</v>
      </c>
      <c r="H366">
        <f>IF(OR(لوحة_القيادة!$C$4="الكل", A366=لوحة_القيادة!$C$4), 1, 0)</f>
        <v>0</v>
      </c>
      <c r="I366">
        <f>IF(H366=1, SUM($H$2:H366), "")</f>
        <v>0</v>
      </c>
    </row>
    <row r="367" spans="1:9">
      <c r="A367" s="2" t="s">
        <v>15</v>
      </c>
      <c r="B367" s="2" t="s">
        <v>462</v>
      </c>
      <c r="C367" s="2">
        <v>19</v>
      </c>
      <c r="D367" s="2">
        <v>0.32</v>
      </c>
      <c r="E367" s="2">
        <v>7</v>
      </c>
      <c r="F367" s="2">
        <v>2.71</v>
      </c>
      <c r="G367" s="2" t="s">
        <v>298</v>
      </c>
      <c r="H367">
        <f>IF(OR(لوحة_القيادة!$C$4="الكل", A367=لوحة_القيادة!$C$4), 1, 0)</f>
        <v>0</v>
      </c>
      <c r="I367">
        <f>IF(H367=1, SUM($H$2:H367), "")</f>
        <v>0</v>
      </c>
    </row>
    <row r="368" spans="1:9">
      <c r="A368" s="2" t="s">
        <v>8</v>
      </c>
      <c r="B368" s="2" t="s">
        <v>463</v>
      </c>
      <c r="C368" s="2">
        <v>18</v>
      </c>
      <c r="D368" s="2">
        <v>0.3</v>
      </c>
      <c r="E368" s="2">
        <v>6</v>
      </c>
      <c r="F368" s="2">
        <v>3</v>
      </c>
      <c r="G368" s="2" t="s">
        <v>464</v>
      </c>
      <c r="H368">
        <f>IF(OR(لوحة_القيادة!$C$4="الكل", A368=لوحة_القيادة!$C$4), 1, 0)</f>
        <v>0</v>
      </c>
      <c r="I368">
        <f>IF(H368=1, SUM($H$2:H368), "")</f>
        <v>0</v>
      </c>
    </row>
    <row r="369" spans="1:9">
      <c r="A369" s="2" t="s">
        <v>10</v>
      </c>
      <c r="B369" s="2" t="s">
        <v>465</v>
      </c>
      <c r="C369" s="2">
        <v>18</v>
      </c>
      <c r="D369" s="2">
        <v>0.3</v>
      </c>
      <c r="E369" s="2">
        <v>1</v>
      </c>
      <c r="F369" s="2">
        <v>18</v>
      </c>
      <c r="G369" s="2" t="s">
        <v>112</v>
      </c>
      <c r="H369">
        <f>IF(OR(لوحة_القيادة!$C$4="الكل", A369=لوحة_القيادة!$C$4), 1, 0)</f>
        <v>0</v>
      </c>
      <c r="I369">
        <f>IF(H369=1, SUM($H$2:H369), "")</f>
        <v>0</v>
      </c>
    </row>
    <row r="370" spans="1:9">
      <c r="A370" s="2" t="s">
        <v>10</v>
      </c>
      <c r="B370" s="2" t="s">
        <v>466</v>
      </c>
      <c r="C370" s="2">
        <v>18</v>
      </c>
      <c r="D370" s="2">
        <v>0.3</v>
      </c>
      <c r="E370" s="2">
        <v>7</v>
      </c>
      <c r="F370" s="2">
        <v>2.57</v>
      </c>
      <c r="G370" s="2" t="s">
        <v>112</v>
      </c>
      <c r="H370">
        <f>IF(OR(لوحة_القيادة!$C$4="الكل", A370=لوحة_القيادة!$C$4), 1, 0)</f>
        <v>0</v>
      </c>
      <c r="I370">
        <f>IF(H370=1, SUM($H$2:H370), "")</f>
        <v>0</v>
      </c>
    </row>
    <row r="371" spans="1:9">
      <c r="A371" s="2" t="s">
        <v>14</v>
      </c>
      <c r="B371" s="2" t="s">
        <v>467</v>
      </c>
      <c r="C371" s="2">
        <v>18</v>
      </c>
      <c r="D371" s="2">
        <v>0.3</v>
      </c>
      <c r="E371" s="2">
        <v>3</v>
      </c>
      <c r="F371" s="2">
        <v>6</v>
      </c>
      <c r="G371" s="2" t="s">
        <v>468</v>
      </c>
      <c r="H371">
        <f>IF(OR(لوحة_القيادة!$C$4="الكل", A371=لوحة_القيادة!$C$4), 1, 0)</f>
        <v>0</v>
      </c>
      <c r="I371">
        <f>IF(H371=1, SUM($H$2:H371), "")</f>
        <v>0</v>
      </c>
    </row>
    <row r="372" spans="1:9">
      <c r="A372" s="2" t="s">
        <v>18</v>
      </c>
      <c r="B372" s="2" t="s">
        <v>469</v>
      </c>
      <c r="C372" s="2">
        <v>18</v>
      </c>
      <c r="D372" s="2">
        <v>0.3</v>
      </c>
      <c r="E372" s="2">
        <v>7</v>
      </c>
      <c r="F372" s="2">
        <v>2.57</v>
      </c>
      <c r="G372" s="2" t="s">
        <v>60</v>
      </c>
      <c r="H372">
        <f>IF(OR(لوحة_القيادة!$C$4="الكل", A372=لوحة_القيادة!$C$4), 1, 0)</f>
        <v>0</v>
      </c>
      <c r="I372">
        <f>IF(H372=1, SUM($H$2:H372), "")</f>
        <v>0</v>
      </c>
    </row>
    <row r="373" spans="1:9">
      <c r="A373" s="2" t="s">
        <v>18</v>
      </c>
      <c r="B373" s="2" t="s">
        <v>470</v>
      </c>
      <c r="C373" s="2">
        <v>18</v>
      </c>
      <c r="D373" s="2">
        <v>0.3</v>
      </c>
      <c r="E373" s="2">
        <v>5</v>
      </c>
      <c r="F373" s="2">
        <v>3.6</v>
      </c>
      <c r="G373" s="2" t="s">
        <v>272</v>
      </c>
      <c r="H373">
        <f>IF(OR(لوحة_القيادة!$C$4="الكل", A373=لوحة_القيادة!$C$4), 1, 0)</f>
        <v>0</v>
      </c>
      <c r="I373">
        <f>IF(H373=1, SUM($H$2:H373), "")</f>
        <v>0</v>
      </c>
    </row>
    <row r="374" spans="1:9">
      <c r="A374" s="2" t="s">
        <v>19</v>
      </c>
      <c r="B374" s="2" t="s">
        <v>471</v>
      </c>
      <c r="C374" s="2">
        <v>18</v>
      </c>
      <c r="D374" s="2">
        <v>0.3</v>
      </c>
      <c r="E374" s="2">
        <v>6</v>
      </c>
      <c r="F374" s="2">
        <v>3</v>
      </c>
      <c r="G374" s="2" t="s">
        <v>401</v>
      </c>
      <c r="H374">
        <f>IF(OR(لوحة_القيادة!$C$4="الكل", A374=لوحة_القيادة!$C$4), 1, 0)</f>
        <v>0</v>
      </c>
      <c r="I374">
        <f>IF(H374=1, SUM($H$2:H374), "")</f>
        <v>0</v>
      </c>
    </row>
    <row r="375" spans="1:9">
      <c r="A375" s="2" t="s">
        <v>8</v>
      </c>
      <c r="B375" s="2" t="s">
        <v>472</v>
      </c>
      <c r="C375" s="2">
        <v>17</v>
      </c>
      <c r="D375" s="2">
        <v>0.28</v>
      </c>
      <c r="E375" s="2">
        <v>3</v>
      </c>
      <c r="F375" s="2">
        <v>5.67</v>
      </c>
      <c r="G375" s="2" t="s">
        <v>309</v>
      </c>
      <c r="H375">
        <f>IF(OR(لوحة_القيادة!$C$4="الكل", A375=لوحة_القيادة!$C$4), 1, 0)</f>
        <v>0</v>
      </c>
      <c r="I375">
        <f>IF(H375=1, SUM($H$2:H375), "")</f>
        <v>0</v>
      </c>
    </row>
    <row r="376" spans="1:9">
      <c r="A376" s="2" t="s">
        <v>17</v>
      </c>
      <c r="B376" s="2" t="s">
        <v>473</v>
      </c>
      <c r="C376" s="2">
        <v>17</v>
      </c>
      <c r="D376" s="2">
        <v>0.28</v>
      </c>
      <c r="E376" s="2">
        <v>1</v>
      </c>
      <c r="F376" s="2">
        <v>17</v>
      </c>
      <c r="G376" s="2" t="s">
        <v>328</v>
      </c>
      <c r="H376">
        <f>IF(OR(لوحة_القيادة!$C$4="الكل", A376=لوحة_القيادة!$C$4), 1, 0)</f>
        <v>0</v>
      </c>
      <c r="I376">
        <f>IF(H376=1, SUM($H$2:H376), "")</f>
        <v>0</v>
      </c>
    </row>
    <row r="377" spans="1:9">
      <c r="A377" s="2" t="s">
        <v>14</v>
      </c>
      <c r="B377" s="2" t="s">
        <v>474</v>
      </c>
      <c r="C377" s="2">
        <v>16</v>
      </c>
      <c r="D377" s="2">
        <v>0.27</v>
      </c>
      <c r="E377" s="2">
        <v>2</v>
      </c>
      <c r="F377" s="2">
        <v>8</v>
      </c>
      <c r="G377" s="2" t="s">
        <v>475</v>
      </c>
      <c r="H377">
        <f>IF(OR(لوحة_القيادة!$C$4="الكل", A377=لوحة_القيادة!$C$4), 1, 0)</f>
        <v>0</v>
      </c>
      <c r="I377">
        <f>IF(H377=1, SUM($H$2:H377), "")</f>
        <v>0</v>
      </c>
    </row>
    <row r="378" spans="1:9">
      <c r="A378" s="2" t="s">
        <v>9</v>
      </c>
      <c r="B378" s="2" t="s">
        <v>476</v>
      </c>
      <c r="C378" s="2">
        <v>15</v>
      </c>
      <c r="D378" s="2">
        <v>0.25</v>
      </c>
      <c r="E378" s="2">
        <v>4</v>
      </c>
      <c r="F378" s="2">
        <v>3.75</v>
      </c>
      <c r="G378" s="2" t="s">
        <v>48</v>
      </c>
      <c r="H378">
        <f>IF(OR(لوحة_القيادة!$C$4="الكل", A378=لوحة_القيادة!$C$4), 1, 0)</f>
        <v>0</v>
      </c>
      <c r="I378">
        <f>IF(H378=1, SUM($H$2:H378), "")</f>
        <v>0</v>
      </c>
    </row>
    <row r="379" spans="1:9">
      <c r="A379" s="2" t="s">
        <v>11</v>
      </c>
      <c r="B379" s="2" t="s">
        <v>477</v>
      </c>
      <c r="C379" s="2">
        <v>15</v>
      </c>
      <c r="D379" s="2">
        <v>0.25</v>
      </c>
      <c r="E379" s="2">
        <v>2</v>
      </c>
      <c r="F379" s="2">
        <v>7.5</v>
      </c>
      <c r="G379" s="2" t="s">
        <v>140</v>
      </c>
      <c r="H379">
        <f>IF(OR(لوحة_القيادة!$C$4="الكل", A379=لوحة_القيادة!$C$4), 1, 0)</f>
        <v>0</v>
      </c>
      <c r="I379">
        <f>IF(H379=1, SUM($H$2:H379), "")</f>
        <v>0</v>
      </c>
    </row>
    <row r="380" spans="1:9">
      <c r="A380" s="2" t="s">
        <v>12</v>
      </c>
      <c r="B380" s="2" t="s">
        <v>478</v>
      </c>
      <c r="C380" s="2">
        <v>15</v>
      </c>
      <c r="D380" s="2">
        <v>0.25</v>
      </c>
      <c r="E380" s="2">
        <v>1</v>
      </c>
      <c r="F380" s="2">
        <v>15</v>
      </c>
      <c r="G380" s="2" t="s">
        <v>240</v>
      </c>
      <c r="H380">
        <f>IF(OR(لوحة_القيادة!$C$4="الكل", A380=لوحة_القيادة!$C$4), 1, 0)</f>
        <v>0</v>
      </c>
      <c r="I380">
        <f>IF(H380=1, SUM($H$2:H380), "")</f>
        <v>0</v>
      </c>
    </row>
    <row r="381" spans="1:9">
      <c r="A381" s="2" t="s">
        <v>14</v>
      </c>
      <c r="B381" s="2" t="s">
        <v>479</v>
      </c>
      <c r="C381" s="2">
        <v>15</v>
      </c>
      <c r="D381" s="2">
        <v>0.25</v>
      </c>
      <c r="E381" s="2">
        <v>2</v>
      </c>
      <c r="F381" s="2">
        <v>7.5</v>
      </c>
      <c r="G381" s="2" t="s">
        <v>173</v>
      </c>
      <c r="H381">
        <f>IF(OR(لوحة_القيادة!$C$4="الكل", A381=لوحة_القيادة!$C$4), 1, 0)</f>
        <v>0</v>
      </c>
      <c r="I381">
        <f>IF(H381=1, SUM($H$2:H381), "")</f>
        <v>0</v>
      </c>
    </row>
    <row r="382" spans="1:9">
      <c r="A382" s="2" t="s">
        <v>16</v>
      </c>
      <c r="B382" s="2" t="s">
        <v>480</v>
      </c>
      <c r="C382" s="2">
        <v>15</v>
      </c>
      <c r="D382" s="2">
        <v>0.25</v>
      </c>
      <c r="E382" s="2">
        <v>7</v>
      </c>
      <c r="F382" s="2">
        <v>2.14</v>
      </c>
      <c r="G382" s="2" t="s">
        <v>481</v>
      </c>
      <c r="H382">
        <f>IF(OR(لوحة_القيادة!$C$4="الكل", A382=لوحة_القيادة!$C$4), 1, 0)</f>
        <v>0</v>
      </c>
      <c r="I382">
        <f>IF(H382=1, SUM($H$2:H382), "")</f>
        <v>0</v>
      </c>
    </row>
    <row r="383" spans="1:9">
      <c r="A383" s="2" t="s">
        <v>17</v>
      </c>
      <c r="B383" s="2" t="s">
        <v>482</v>
      </c>
      <c r="C383" s="2">
        <v>15</v>
      </c>
      <c r="D383" s="2">
        <v>0.25</v>
      </c>
      <c r="E383" s="2">
        <v>3</v>
      </c>
      <c r="F383" s="2">
        <v>5</v>
      </c>
      <c r="G383" s="2" t="s">
        <v>230</v>
      </c>
      <c r="H383">
        <f>IF(OR(لوحة_القيادة!$C$4="الكل", A383=لوحة_القيادة!$C$4), 1, 0)</f>
        <v>0</v>
      </c>
      <c r="I383">
        <f>IF(H383=1, SUM($H$2:H383), "")</f>
        <v>0</v>
      </c>
    </row>
    <row r="384" spans="1:9">
      <c r="A384" s="2" t="s">
        <v>17</v>
      </c>
      <c r="B384" s="2" t="s">
        <v>483</v>
      </c>
      <c r="C384" s="2">
        <v>15</v>
      </c>
      <c r="D384" s="2">
        <v>0.25</v>
      </c>
      <c r="E384" s="2">
        <v>5</v>
      </c>
      <c r="F384" s="2">
        <v>3</v>
      </c>
      <c r="G384" s="2" t="s">
        <v>484</v>
      </c>
      <c r="H384">
        <f>IF(OR(لوحة_القيادة!$C$4="الكل", A384=لوحة_القيادة!$C$4), 1, 0)</f>
        <v>0</v>
      </c>
      <c r="I384">
        <f>IF(H384=1, SUM($H$2:H384), "")</f>
        <v>0</v>
      </c>
    </row>
    <row r="385" spans="1:9">
      <c r="A385" s="2" t="s">
        <v>5</v>
      </c>
      <c r="B385" s="2" t="s">
        <v>485</v>
      </c>
      <c r="C385" s="2">
        <v>14</v>
      </c>
      <c r="D385" s="2">
        <v>0.23</v>
      </c>
      <c r="E385" s="2">
        <v>1</v>
      </c>
      <c r="F385" s="2">
        <v>14</v>
      </c>
      <c r="G385" s="2" t="s">
        <v>33</v>
      </c>
      <c r="H385">
        <f>IF(OR(لوحة_القيادة!$C$4="الكل", A385=لوحة_القيادة!$C$4), 1, 0)</f>
        <v>0</v>
      </c>
      <c r="I385">
        <f>IF(H385=1, SUM($H$2:H385), "")</f>
        <v>0</v>
      </c>
    </row>
    <row r="386" spans="1:9">
      <c r="A386" s="2" t="s">
        <v>7</v>
      </c>
      <c r="B386" s="2" t="s">
        <v>486</v>
      </c>
      <c r="C386" s="2">
        <v>14</v>
      </c>
      <c r="D386" s="2">
        <v>0.23</v>
      </c>
      <c r="E386" s="2">
        <v>2</v>
      </c>
      <c r="F386" s="2">
        <v>7</v>
      </c>
      <c r="G386" s="2" t="s">
        <v>173</v>
      </c>
      <c r="H386">
        <f>IF(OR(لوحة_القيادة!$C$4="الكل", A386=لوحة_القيادة!$C$4), 1, 0)</f>
        <v>0</v>
      </c>
      <c r="I386">
        <f>IF(H386=1, SUM($H$2:H386), "")</f>
        <v>0</v>
      </c>
    </row>
    <row r="387" spans="1:9">
      <c r="A387" s="2" t="s">
        <v>8</v>
      </c>
      <c r="B387" s="2" t="s">
        <v>487</v>
      </c>
      <c r="C387" s="2">
        <v>14</v>
      </c>
      <c r="D387" s="2">
        <v>0.23</v>
      </c>
      <c r="E387" s="2">
        <v>7</v>
      </c>
      <c r="F387" s="2">
        <v>2</v>
      </c>
      <c r="G387" s="2" t="s">
        <v>112</v>
      </c>
      <c r="H387">
        <f>IF(OR(لوحة_القيادة!$C$4="الكل", A387=لوحة_القيادة!$C$4), 1, 0)</f>
        <v>0</v>
      </c>
      <c r="I387">
        <f>IF(H387=1, SUM($H$2:H387), "")</f>
        <v>0</v>
      </c>
    </row>
    <row r="388" spans="1:9">
      <c r="A388" s="2" t="s">
        <v>18</v>
      </c>
      <c r="B388" s="2" t="s">
        <v>488</v>
      </c>
      <c r="C388" s="2">
        <v>14</v>
      </c>
      <c r="D388" s="2">
        <v>0.23</v>
      </c>
      <c r="E388" s="2">
        <v>1</v>
      </c>
      <c r="F388" s="2">
        <v>14</v>
      </c>
      <c r="G388" s="2" t="s">
        <v>240</v>
      </c>
      <c r="H388">
        <f>IF(OR(لوحة_القيادة!$C$4="الكل", A388=لوحة_القيادة!$C$4), 1, 0)</f>
        <v>0</v>
      </c>
      <c r="I388">
        <f>IF(H388=1, SUM($H$2:H388), "")</f>
        <v>0</v>
      </c>
    </row>
    <row r="389" spans="1:9">
      <c r="A389" s="2" t="s">
        <v>10</v>
      </c>
      <c r="B389" s="2" t="s">
        <v>489</v>
      </c>
      <c r="C389" s="2">
        <v>12</v>
      </c>
      <c r="D389" s="2">
        <v>0.2</v>
      </c>
      <c r="E389" s="2">
        <v>4</v>
      </c>
      <c r="F389" s="2">
        <v>3</v>
      </c>
      <c r="G389" s="2" t="s">
        <v>490</v>
      </c>
      <c r="H389">
        <f>IF(OR(لوحة_القيادة!$C$4="الكل", A389=لوحة_القيادة!$C$4), 1, 0)</f>
        <v>0</v>
      </c>
      <c r="I389">
        <f>IF(H389=1, SUM($H$2:H389), "")</f>
        <v>0</v>
      </c>
    </row>
    <row r="390" spans="1:9">
      <c r="A390" s="2" t="s">
        <v>14</v>
      </c>
      <c r="B390" s="2" t="s">
        <v>491</v>
      </c>
      <c r="C390" s="2">
        <v>12</v>
      </c>
      <c r="D390" s="2">
        <v>0.2</v>
      </c>
      <c r="E390" s="2">
        <v>5</v>
      </c>
      <c r="F390" s="2">
        <v>2.4</v>
      </c>
      <c r="G390" s="2" t="s">
        <v>173</v>
      </c>
      <c r="H390">
        <f>IF(OR(لوحة_القيادة!$C$4="الكل", A390=لوحة_القيادة!$C$4), 1, 0)</f>
        <v>0</v>
      </c>
      <c r="I390">
        <f>IF(H390=1, SUM($H$2:H390), "")</f>
        <v>0</v>
      </c>
    </row>
    <row r="391" spans="1:9">
      <c r="A391" s="2" t="s">
        <v>17</v>
      </c>
      <c r="B391" s="2" t="s">
        <v>492</v>
      </c>
      <c r="C391" s="2">
        <v>12</v>
      </c>
      <c r="D391" s="2">
        <v>0.2</v>
      </c>
      <c r="E391" s="2">
        <v>8</v>
      </c>
      <c r="F391" s="2">
        <v>1.5</v>
      </c>
      <c r="G391" s="2" t="s">
        <v>104</v>
      </c>
      <c r="H391">
        <f>IF(OR(لوحة_القيادة!$C$4="الكل", A391=لوحة_القيادة!$C$4), 1, 0)</f>
        <v>0</v>
      </c>
      <c r="I391">
        <f>IF(H391=1, SUM($H$2:H391), "")</f>
        <v>0</v>
      </c>
    </row>
    <row r="392" spans="1:9">
      <c r="A392" s="2" t="s">
        <v>8</v>
      </c>
      <c r="B392" s="2" t="s">
        <v>493</v>
      </c>
      <c r="C392" s="2">
        <v>11</v>
      </c>
      <c r="D392" s="2">
        <v>0.18</v>
      </c>
      <c r="E392" s="2">
        <v>7</v>
      </c>
      <c r="F392" s="2">
        <v>1.57</v>
      </c>
      <c r="G392" s="2" t="s">
        <v>60</v>
      </c>
      <c r="H392">
        <f>IF(OR(لوحة_القيادة!$C$4="الكل", A392=لوحة_القيادة!$C$4), 1, 0)</f>
        <v>0</v>
      </c>
      <c r="I392">
        <f>IF(H392=1, SUM($H$2:H392), "")</f>
        <v>0</v>
      </c>
    </row>
    <row r="393" spans="1:9">
      <c r="A393" s="2" t="s">
        <v>8</v>
      </c>
      <c r="B393" s="2" t="s">
        <v>494</v>
      </c>
      <c r="C393" s="2">
        <v>11</v>
      </c>
      <c r="D393" s="2">
        <v>0.18</v>
      </c>
      <c r="E393" s="2">
        <v>4</v>
      </c>
      <c r="F393" s="2">
        <v>2.75</v>
      </c>
      <c r="G393" s="2" t="s">
        <v>177</v>
      </c>
      <c r="H393">
        <f>IF(OR(لوحة_القيادة!$C$4="الكل", A393=لوحة_القيادة!$C$4), 1, 0)</f>
        <v>0</v>
      </c>
      <c r="I393">
        <f>IF(H393=1, SUM($H$2:H393), "")</f>
        <v>0</v>
      </c>
    </row>
    <row r="394" spans="1:9">
      <c r="A394" s="2" t="s">
        <v>10</v>
      </c>
      <c r="B394" s="2" t="s">
        <v>495</v>
      </c>
      <c r="C394" s="2">
        <v>11</v>
      </c>
      <c r="D394" s="2">
        <v>0.18</v>
      </c>
      <c r="E394" s="2">
        <v>9</v>
      </c>
      <c r="F394" s="2">
        <v>1.22</v>
      </c>
      <c r="G394" s="2" t="s">
        <v>140</v>
      </c>
      <c r="H394">
        <f>IF(OR(لوحة_القيادة!$C$4="الكل", A394=لوحة_القيادة!$C$4), 1, 0)</f>
        <v>0</v>
      </c>
      <c r="I394">
        <f>IF(H394=1, SUM($H$2:H394), "")</f>
        <v>0</v>
      </c>
    </row>
    <row r="395" spans="1:9">
      <c r="A395" s="2" t="s">
        <v>10</v>
      </c>
      <c r="B395" s="2" t="s">
        <v>496</v>
      </c>
      <c r="C395" s="2">
        <v>11</v>
      </c>
      <c r="D395" s="2">
        <v>0.18</v>
      </c>
      <c r="E395" s="2">
        <v>2</v>
      </c>
      <c r="F395" s="2">
        <v>5.5</v>
      </c>
      <c r="G395" s="2" t="s">
        <v>82</v>
      </c>
      <c r="H395">
        <f>IF(OR(لوحة_القيادة!$C$4="الكل", A395=لوحة_القيادة!$C$4), 1, 0)</f>
        <v>0</v>
      </c>
      <c r="I395">
        <f>IF(H395=1, SUM($H$2:H395), "")</f>
        <v>0</v>
      </c>
    </row>
    <row r="396" spans="1:9">
      <c r="A396" s="2" t="s">
        <v>14</v>
      </c>
      <c r="B396" s="2" t="s">
        <v>497</v>
      </c>
      <c r="C396" s="2">
        <v>11</v>
      </c>
      <c r="D396" s="2">
        <v>0.18</v>
      </c>
      <c r="E396" s="2">
        <v>1</v>
      </c>
      <c r="F396" s="2">
        <v>11</v>
      </c>
      <c r="G396" s="2" t="s">
        <v>328</v>
      </c>
      <c r="H396">
        <f>IF(OR(لوحة_القيادة!$C$4="الكل", A396=لوحة_القيادة!$C$4), 1, 0)</f>
        <v>0</v>
      </c>
      <c r="I396">
        <f>IF(H396=1, SUM($H$2:H396), "")</f>
        <v>0</v>
      </c>
    </row>
    <row r="397" spans="1:9">
      <c r="A397" s="2" t="s">
        <v>14</v>
      </c>
      <c r="B397" s="2" t="s">
        <v>498</v>
      </c>
      <c r="C397" s="2">
        <v>10</v>
      </c>
      <c r="D397" s="2">
        <v>0.17</v>
      </c>
      <c r="E397" s="2">
        <v>6</v>
      </c>
      <c r="F397" s="2">
        <v>1.67</v>
      </c>
      <c r="G397" s="2" t="s">
        <v>499</v>
      </c>
      <c r="H397">
        <f>IF(OR(لوحة_القيادة!$C$4="الكل", A397=لوحة_القيادة!$C$4), 1, 0)</f>
        <v>0</v>
      </c>
      <c r="I397">
        <f>IF(H397=1, SUM($H$2:H397), "")</f>
        <v>0</v>
      </c>
    </row>
    <row r="398" spans="1:9">
      <c r="A398" s="2" t="s">
        <v>16</v>
      </c>
      <c r="B398" s="2" t="s">
        <v>500</v>
      </c>
      <c r="C398" s="2">
        <v>10</v>
      </c>
      <c r="D398" s="2">
        <v>0.17</v>
      </c>
      <c r="E398" s="2">
        <v>2</v>
      </c>
      <c r="F398" s="2">
        <v>5</v>
      </c>
      <c r="G398" s="2" t="s">
        <v>456</v>
      </c>
      <c r="H398">
        <f>IF(OR(لوحة_القيادة!$C$4="الكل", A398=لوحة_القيادة!$C$4), 1, 0)</f>
        <v>0</v>
      </c>
      <c r="I398">
        <f>IF(H398=1, SUM($H$2:H398), "")</f>
        <v>0</v>
      </c>
    </row>
    <row r="399" spans="1:9">
      <c r="A399" s="2" t="s">
        <v>17</v>
      </c>
      <c r="B399" s="2" t="s">
        <v>501</v>
      </c>
      <c r="C399" s="2">
        <v>10</v>
      </c>
      <c r="D399" s="2">
        <v>0.17</v>
      </c>
      <c r="E399" s="2">
        <v>5</v>
      </c>
      <c r="F399" s="2">
        <v>2</v>
      </c>
      <c r="G399" s="2" t="s">
        <v>502</v>
      </c>
      <c r="H399">
        <f>IF(OR(لوحة_القيادة!$C$4="الكل", A399=لوحة_القيادة!$C$4), 1, 0)</f>
        <v>0</v>
      </c>
      <c r="I399">
        <f>IF(H399=1, SUM($H$2:H399), "")</f>
        <v>0</v>
      </c>
    </row>
    <row r="400" spans="1:9">
      <c r="A400" s="2" t="s">
        <v>18</v>
      </c>
      <c r="B400" s="2" t="s">
        <v>503</v>
      </c>
      <c r="C400" s="2">
        <v>10</v>
      </c>
      <c r="D400" s="2">
        <v>0.17</v>
      </c>
      <c r="E400" s="2">
        <v>1</v>
      </c>
      <c r="F400" s="2">
        <v>10</v>
      </c>
      <c r="G400" s="2" t="s">
        <v>370</v>
      </c>
      <c r="H400">
        <f>IF(OR(لوحة_القيادة!$C$4="الكل", A400=لوحة_القيادة!$C$4), 1, 0)</f>
        <v>0</v>
      </c>
      <c r="I400">
        <f>IF(H400=1, SUM($H$2:H400), "")</f>
        <v>0</v>
      </c>
    </row>
    <row r="401" spans="1:9">
      <c r="A401" s="2" t="s">
        <v>18</v>
      </c>
      <c r="B401" s="2" t="s">
        <v>504</v>
      </c>
      <c r="C401" s="2">
        <v>10</v>
      </c>
      <c r="D401" s="2">
        <v>0.17</v>
      </c>
      <c r="E401" s="2">
        <v>4</v>
      </c>
      <c r="F401" s="2">
        <v>2.5</v>
      </c>
      <c r="G401" s="2" t="s">
        <v>298</v>
      </c>
      <c r="H401">
        <f>IF(OR(لوحة_القيادة!$C$4="الكل", A401=لوحة_القيادة!$C$4), 1, 0)</f>
        <v>0</v>
      </c>
      <c r="I401">
        <f>IF(H401=1, SUM($H$2:H401), "")</f>
        <v>0</v>
      </c>
    </row>
    <row r="402" spans="1:9">
      <c r="A402" s="2" t="s">
        <v>8</v>
      </c>
      <c r="B402" s="2" t="s">
        <v>505</v>
      </c>
      <c r="C402" s="2">
        <v>9</v>
      </c>
      <c r="D402" s="2">
        <v>0.15</v>
      </c>
      <c r="E402" s="2">
        <v>1</v>
      </c>
      <c r="F402" s="2">
        <v>9</v>
      </c>
      <c r="G402" s="2" t="s">
        <v>173</v>
      </c>
      <c r="H402">
        <f>IF(OR(لوحة_القيادة!$C$4="الكل", A402=لوحة_القيادة!$C$4), 1, 0)</f>
        <v>0</v>
      </c>
      <c r="I402">
        <f>IF(H402=1, SUM($H$2:H402), "")</f>
        <v>0</v>
      </c>
    </row>
    <row r="403" spans="1:9">
      <c r="A403" s="2" t="s">
        <v>8</v>
      </c>
      <c r="B403" s="2" t="s">
        <v>506</v>
      </c>
      <c r="C403" s="2">
        <v>9</v>
      </c>
      <c r="D403" s="2">
        <v>0.15</v>
      </c>
      <c r="E403" s="2">
        <v>2</v>
      </c>
      <c r="F403" s="2">
        <v>4.5</v>
      </c>
      <c r="G403" s="2" t="s">
        <v>33</v>
      </c>
      <c r="H403">
        <f>IF(OR(لوحة_القيادة!$C$4="الكل", A403=لوحة_القيادة!$C$4), 1, 0)</f>
        <v>0</v>
      </c>
      <c r="I403">
        <f>IF(H403=1, SUM($H$2:H403), "")</f>
        <v>0</v>
      </c>
    </row>
    <row r="404" spans="1:9">
      <c r="A404" s="2" t="s">
        <v>11</v>
      </c>
      <c r="B404" s="2" t="s">
        <v>507</v>
      </c>
      <c r="C404" s="2">
        <v>9</v>
      </c>
      <c r="D404" s="2">
        <v>0.15</v>
      </c>
      <c r="E404" s="2">
        <v>1</v>
      </c>
      <c r="F404" s="2">
        <v>9</v>
      </c>
      <c r="G404" s="2" t="s">
        <v>370</v>
      </c>
      <c r="H404">
        <f>IF(OR(لوحة_القيادة!$C$4="الكل", A404=لوحة_القيادة!$C$4), 1, 0)</f>
        <v>0</v>
      </c>
      <c r="I404">
        <f>IF(H404=1, SUM($H$2:H404), "")</f>
        <v>0</v>
      </c>
    </row>
    <row r="405" spans="1:9">
      <c r="A405" s="2" t="s">
        <v>12</v>
      </c>
      <c r="B405" s="2" t="s">
        <v>508</v>
      </c>
      <c r="C405" s="2">
        <v>9</v>
      </c>
      <c r="D405" s="2">
        <v>0.15</v>
      </c>
      <c r="E405" s="2">
        <v>3</v>
      </c>
      <c r="F405" s="2">
        <v>3</v>
      </c>
      <c r="G405" s="2" t="s">
        <v>143</v>
      </c>
      <c r="H405">
        <f>IF(OR(لوحة_القيادة!$C$4="الكل", A405=لوحة_القيادة!$C$4), 1, 0)</f>
        <v>0</v>
      </c>
      <c r="I405">
        <f>IF(H405=1, SUM($H$2:H405), "")</f>
        <v>0</v>
      </c>
    </row>
    <row r="406" spans="1:9">
      <c r="A406" s="2" t="s">
        <v>12</v>
      </c>
      <c r="B406" s="2" t="s">
        <v>509</v>
      </c>
      <c r="C406" s="2">
        <v>9</v>
      </c>
      <c r="D406" s="2">
        <v>0.15</v>
      </c>
      <c r="E406" s="2">
        <v>5</v>
      </c>
      <c r="F406" s="2">
        <v>1.8</v>
      </c>
      <c r="G406" s="2" t="s">
        <v>180</v>
      </c>
      <c r="H406">
        <f>IF(OR(لوحة_القيادة!$C$4="الكل", A406=لوحة_القيادة!$C$4), 1, 0)</f>
        <v>0</v>
      </c>
      <c r="I406">
        <f>IF(H406=1, SUM($H$2:H406), "")</f>
        <v>0</v>
      </c>
    </row>
    <row r="407" spans="1:9">
      <c r="A407" s="2" t="s">
        <v>14</v>
      </c>
      <c r="B407" s="2" t="s">
        <v>510</v>
      </c>
      <c r="C407" s="2">
        <v>9</v>
      </c>
      <c r="D407" s="2">
        <v>0.15</v>
      </c>
      <c r="E407" s="2">
        <v>3</v>
      </c>
      <c r="F407" s="2">
        <v>3</v>
      </c>
      <c r="G407" s="2" t="s">
        <v>202</v>
      </c>
      <c r="H407">
        <f>IF(OR(لوحة_القيادة!$C$4="الكل", A407=لوحة_القيادة!$C$4), 1, 0)</f>
        <v>0</v>
      </c>
      <c r="I407">
        <f>IF(H407=1, SUM($H$2:H407), "")</f>
        <v>0</v>
      </c>
    </row>
    <row r="408" spans="1:9">
      <c r="A408" s="2" t="s">
        <v>15</v>
      </c>
      <c r="B408" s="2" t="s">
        <v>511</v>
      </c>
      <c r="C408" s="2">
        <v>9</v>
      </c>
      <c r="D408" s="2">
        <v>0.15</v>
      </c>
      <c r="E408" s="2">
        <v>3</v>
      </c>
      <c r="F408" s="2">
        <v>3</v>
      </c>
      <c r="G408" s="2" t="s">
        <v>348</v>
      </c>
      <c r="H408">
        <f>IF(OR(لوحة_القيادة!$C$4="الكل", A408=لوحة_القيادة!$C$4), 1, 0)</f>
        <v>0</v>
      </c>
      <c r="I408">
        <f>IF(H408=1, SUM($H$2:H408), "")</f>
        <v>0</v>
      </c>
    </row>
    <row r="409" spans="1:9">
      <c r="A409" s="2" t="s">
        <v>18</v>
      </c>
      <c r="B409" s="2" t="s">
        <v>512</v>
      </c>
      <c r="C409" s="2">
        <v>9</v>
      </c>
      <c r="D409" s="2">
        <v>0.15</v>
      </c>
      <c r="E409" s="2">
        <v>2</v>
      </c>
      <c r="F409" s="2">
        <v>4.5</v>
      </c>
      <c r="G409" s="2" t="s">
        <v>173</v>
      </c>
      <c r="H409">
        <f>IF(OR(لوحة_القيادة!$C$4="الكل", A409=لوحة_القيادة!$C$4), 1, 0)</f>
        <v>0</v>
      </c>
      <c r="I409">
        <f>IF(H409=1, SUM($H$2:H409), "")</f>
        <v>0</v>
      </c>
    </row>
    <row r="410" spans="1:9">
      <c r="A410" s="2" t="s">
        <v>8</v>
      </c>
      <c r="B410" s="2" t="s">
        <v>513</v>
      </c>
      <c r="C410" s="2">
        <v>8</v>
      </c>
      <c r="D410" s="2">
        <v>0.13</v>
      </c>
      <c r="E410" s="2">
        <v>1</v>
      </c>
      <c r="F410" s="2">
        <v>8</v>
      </c>
      <c r="G410" s="2" t="s">
        <v>82</v>
      </c>
      <c r="H410">
        <f>IF(OR(لوحة_القيادة!$C$4="الكل", A410=لوحة_القيادة!$C$4), 1, 0)</f>
        <v>0</v>
      </c>
      <c r="I410">
        <f>IF(H410=1, SUM($H$2:H410), "")</f>
        <v>0</v>
      </c>
    </row>
    <row r="411" spans="1:9">
      <c r="A411" s="2" t="s">
        <v>14</v>
      </c>
      <c r="B411" s="2" t="s">
        <v>514</v>
      </c>
      <c r="C411" s="2">
        <v>8</v>
      </c>
      <c r="D411" s="2">
        <v>0.13</v>
      </c>
      <c r="E411" s="2">
        <v>1</v>
      </c>
      <c r="F411" s="2">
        <v>8</v>
      </c>
      <c r="G411" s="2" t="s">
        <v>240</v>
      </c>
      <c r="H411">
        <f>IF(OR(لوحة_القيادة!$C$4="الكل", A411=لوحة_القيادة!$C$4), 1, 0)</f>
        <v>0</v>
      </c>
      <c r="I411">
        <f>IF(H411=1, SUM($H$2:H411), "")</f>
        <v>0</v>
      </c>
    </row>
    <row r="412" spans="1:9">
      <c r="A412" s="2" t="s">
        <v>15</v>
      </c>
      <c r="B412" s="2" t="s">
        <v>515</v>
      </c>
      <c r="C412" s="2">
        <v>8</v>
      </c>
      <c r="D412" s="2">
        <v>0.13</v>
      </c>
      <c r="E412" s="2">
        <v>3</v>
      </c>
      <c r="F412" s="2">
        <v>2.67</v>
      </c>
      <c r="G412" s="2" t="s">
        <v>516</v>
      </c>
      <c r="H412">
        <f>IF(OR(لوحة_القيادة!$C$4="الكل", A412=لوحة_القيادة!$C$4), 1, 0)</f>
        <v>0</v>
      </c>
      <c r="I412">
        <f>IF(H412=1, SUM($H$2:H412), "")</f>
        <v>0</v>
      </c>
    </row>
    <row r="413" spans="1:9">
      <c r="A413" s="2" t="s">
        <v>15</v>
      </c>
      <c r="B413" s="2" t="s">
        <v>517</v>
      </c>
      <c r="C413" s="2">
        <v>8</v>
      </c>
      <c r="D413" s="2">
        <v>0.13</v>
      </c>
      <c r="E413" s="2">
        <v>4</v>
      </c>
      <c r="F413" s="2">
        <v>2</v>
      </c>
      <c r="G413" s="2" t="s">
        <v>518</v>
      </c>
      <c r="H413">
        <f>IF(OR(لوحة_القيادة!$C$4="الكل", A413=لوحة_القيادة!$C$4), 1, 0)</f>
        <v>0</v>
      </c>
      <c r="I413">
        <f>IF(H413=1, SUM($H$2:H413), "")</f>
        <v>0</v>
      </c>
    </row>
    <row r="414" spans="1:9">
      <c r="A414" s="2" t="s">
        <v>15</v>
      </c>
      <c r="B414" s="2" t="s">
        <v>519</v>
      </c>
      <c r="C414" s="2">
        <v>8</v>
      </c>
      <c r="D414" s="2">
        <v>0.13</v>
      </c>
      <c r="E414" s="2">
        <v>1</v>
      </c>
      <c r="F414" s="2">
        <v>8</v>
      </c>
      <c r="G414" s="2" t="s">
        <v>298</v>
      </c>
      <c r="H414">
        <f>IF(OR(لوحة_القيادة!$C$4="الكل", A414=لوحة_القيادة!$C$4), 1, 0)</f>
        <v>0</v>
      </c>
      <c r="I414">
        <f>IF(H414=1, SUM($H$2:H414), "")</f>
        <v>0</v>
      </c>
    </row>
    <row r="415" spans="1:9">
      <c r="A415" s="2" t="s">
        <v>17</v>
      </c>
      <c r="B415" s="2" t="s">
        <v>520</v>
      </c>
      <c r="C415" s="2">
        <v>8</v>
      </c>
      <c r="D415" s="2">
        <v>0.13</v>
      </c>
      <c r="E415" s="2">
        <v>2</v>
      </c>
      <c r="F415" s="2">
        <v>4</v>
      </c>
      <c r="G415" s="2" t="s">
        <v>521</v>
      </c>
      <c r="H415">
        <f>IF(OR(لوحة_القيادة!$C$4="الكل", A415=لوحة_القيادة!$C$4), 1, 0)</f>
        <v>0</v>
      </c>
      <c r="I415">
        <f>IF(H415=1, SUM($H$2:H415), "")</f>
        <v>0</v>
      </c>
    </row>
    <row r="416" spans="1:9">
      <c r="A416" s="2" t="s">
        <v>7</v>
      </c>
      <c r="B416" s="2" t="s">
        <v>522</v>
      </c>
      <c r="C416" s="2">
        <v>7</v>
      </c>
      <c r="D416" s="2">
        <v>0.12</v>
      </c>
      <c r="E416" s="2">
        <v>2</v>
      </c>
      <c r="F416" s="2">
        <v>3.5</v>
      </c>
      <c r="G416" s="2" t="s">
        <v>298</v>
      </c>
      <c r="H416">
        <f>IF(OR(لوحة_القيادة!$C$4="الكل", A416=لوحة_القيادة!$C$4), 1, 0)</f>
        <v>0</v>
      </c>
      <c r="I416">
        <f>IF(H416=1, SUM($H$2:H416), "")</f>
        <v>0</v>
      </c>
    </row>
    <row r="417" spans="1:9">
      <c r="A417" s="2" t="s">
        <v>17</v>
      </c>
      <c r="B417" s="2" t="s">
        <v>523</v>
      </c>
      <c r="C417" s="2">
        <v>7</v>
      </c>
      <c r="D417" s="2">
        <v>0.12</v>
      </c>
      <c r="E417" s="2">
        <v>2</v>
      </c>
      <c r="F417" s="2">
        <v>3.5</v>
      </c>
      <c r="G417" s="2" t="s">
        <v>33</v>
      </c>
      <c r="H417">
        <f>IF(OR(لوحة_القيادة!$C$4="الكل", A417=لوحة_القيادة!$C$4), 1, 0)</f>
        <v>0</v>
      </c>
      <c r="I417">
        <f>IF(H417=1, SUM($H$2:H417), "")</f>
        <v>0</v>
      </c>
    </row>
    <row r="418" spans="1:9">
      <c r="A418" s="2" t="s">
        <v>17</v>
      </c>
      <c r="B418" s="2" t="s">
        <v>524</v>
      </c>
      <c r="C418" s="2">
        <v>7</v>
      </c>
      <c r="D418" s="2">
        <v>0.12</v>
      </c>
      <c r="E418" s="2">
        <v>4</v>
      </c>
      <c r="F418" s="2">
        <v>1.75</v>
      </c>
      <c r="G418" s="2" t="s">
        <v>525</v>
      </c>
      <c r="H418">
        <f>IF(OR(لوحة_القيادة!$C$4="الكل", A418=لوحة_القيادة!$C$4), 1, 0)</f>
        <v>0</v>
      </c>
      <c r="I418">
        <f>IF(H418=1, SUM($H$2:H418), "")</f>
        <v>0</v>
      </c>
    </row>
    <row r="419" spans="1:9">
      <c r="A419" s="2" t="s">
        <v>18</v>
      </c>
      <c r="B419" s="2" t="s">
        <v>526</v>
      </c>
      <c r="C419" s="2">
        <v>7</v>
      </c>
      <c r="D419" s="2">
        <v>0.12</v>
      </c>
      <c r="E419" s="2">
        <v>1</v>
      </c>
      <c r="F419" s="2">
        <v>7</v>
      </c>
      <c r="G419" s="2" t="s">
        <v>240</v>
      </c>
      <c r="H419">
        <f>IF(OR(لوحة_القيادة!$C$4="الكل", A419=لوحة_القيادة!$C$4), 1, 0)</f>
        <v>0</v>
      </c>
      <c r="I419">
        <f>IF(H419=1, SUM($H$2:H419), "")</f>
        <v>0</v>
      </c>
    </row>
    <row r="420" spans="1:9">
      <c r="A420" s="2" t="s">
        <v>8</v>
      </c>
      <c r="B420" s="2" t="s">
        <v>527</v>
      </c>
      <c r="C420" s="2">
        <v>6</v>
      </c>
      <c r="D420" s="2">
        <v>0.1</v>
      </c>
      <c r="E420" s="2">
        <v>3</v>
      </c>
      <c r="F420" s="2">
        <v>2</v>
      </c>
      <c r="G420" s="2" t="s">
        <v>33</v>
      </c>
      <c r="H420">
        <f>IF(OR(لوحة_القيادة!$C$4="الكل", A420=لوحة_القيادة!$C$4), 1, 0)</f>
        <v>0</v>
      </c>
      <c r="I420">
        <f>IF(H420=1, SUM($H$2:H420), "")</f>
        <v>0</v>
      </c>
    </row>
    <row r="421" spans="1:9">
      <c r="A421" s="2" t="s">
        <v>15</v>
      </c>
      <c r="B421" s="2" t="s">
        <v>528</v>
      </c>
      <c r="C421" s="2">
        <v>6</v>
      </c>
      <c r="D421" s="2">
        <v>0.1</v>
      </c>
      <c r="E421" s="2">
        <v>2</v>
      </c>
      <c r="F421" s="2">
        <v>3</v>
      </c>
      <c r="G421" s="2" t="s">
        <v>173</v>
      </c>
      <c r="H421">
        <f>IF(OR(لوحة_القيادة!$C$4="الكل", A421=لوحة_القيادة!$C$4), 1, 0)</f>
        <v>0</v>
      </c>
      <c r="I421">
        <f>IF(H421=1, SUM($H$2:H421), "")</f>
        <v>0</v>
      </c>
    </row>
    <row r="422" spans="1:9">
      <c r="A422" s="2" t="s">
        <v>8</v>
      </c>
      <c r="B422" s="2" t="s">
        <v>529</v>
      </c>
      <c r="C422" s="2">
        <v>5</v>
      </c>
      <c r="D422" s="2">
        <v>0.08</v>
      </c>
      <c r="E422" s="2">
        <v>1</v>
      </c>
      <c r="F422" s="2">
        <v>5</v>
      </c>
      <c r="G422" s="2" t="s">
        <v>82</v>
      </c>
      <c r="H422">
        <f>IF(OR(لوحة_القيادة!$C$4="الكل", A422=لوحة_القيادة!$C$4), 1, 0)</f>
        <v>0</v>
      </c>
      <c r="I422">
        <f>IF(H422=1, SUM($H$2:H422), "")</f>
        <v>0</v>
      </c>
    </row>
    <row r="423" spans="1:9">
      <c r="A423" s="2" t="s">
        <v>11</v>
      </c>
      <c r="B423" s="2" t="s">
        <v>530</v>
      </c>
      <c r="C423" s="2">
        <v>5</v>
      </c>
      <c r="D423" s="2">
        <v>0.08</v>
      </c>
      <c r="E423" s="2">
        <v>1</v>
      </c>
      <c r="F423" s="2">
        <v>5</v>
      </c>
      <c r="G423" s="2" t="s">
        <v>531</v>
      </c>
      <c r="H423">
        <f>IF(OR(لوحة_القيادة!$C$4="الكل", A423=لوحة_القيادة!$C$4), 1, 0)</f>
        <v>0</v>
      </c>
      <c r="I423">
        <f>IF(H423=1, SUM($H$2:H423), "")</f>
        <v>0</v>
      </c>
    </row>
    <row r="424" spans="1:9">
      <c r="A424" s="2" t="s">
        <v>13</v>
      </c>
      <c r="B424" s="2" t="s">
        <v>532</v>
      </c>
      <c r="C424" s="2">
        <v>5</v>
      </c>
      <c r="D424" s="2">
        <v>0.08</v>
      </c>
      <c r="E424" s="2">
        <v>4</v>
      </c>
      <c r="F424" s="2">
        <v>1.25</v>
      </c>
      <c r="G424" s="2" t="s">
        <v>456</v>
      </c>
      <c r="H424">
        <f>IF(OR(لوحة_القيادة!$C$4="الكل", A424=لوحة_القيادة!$C$4), 1, 0)</f>
        <v>0</v>
      </c>
      <c r="I424">
        <f>IF(H424=1, SUM($H$2:H424), "")</f>
        <v>0</v>
      </c>
    </row>
    <row r="425" spans="1:9">
      <c r="A425" s="2" t="s">
        <v>14</v>
      </c>
      <c r="B425" s="2" t="s">
        <v>533</v>
      </c>
      <c r="C425" s="2">
        <v>5</v>
      </c>
      <c r="D425" s="2">
        <v>0.08</v>
      </c>
      <c r="E425" s="2">
        <v>1</v>
      </c>
      <c r="F425" s="2">
        <v>5</v>
      </c>
      <c r="G425" s="2" t="s">
        <v>240</v>
      </c>
      <c r="H425">
        <f>IF(OR(لوحة_القيادة!$C$4="الكل", A425=لوحة_القيادة!$C$4), 1, 0)</f>
        <v>0</v>
      </c>
      <c r="I425">
        <f>IF(H425=1, SUM($H$2:H425), "")</f>
        <v>0</v>
      </c>
    </row>
    <row r="426" spans="1:9">
      <c r="A426" s="2" t="s">
        <v>14</v>
      </c>
      <c r="B426" s="2" t="s">
        <v>534</v>
      </c>
      <c r="C426" s="2">
        <v>5</v>
      </c>
      <c r="D426" s="2">
        <v>0.08</v>
      </c>
      <c r="E426" s="2">
        <v>2</v>
      </c>
      <c r="F426" s="2">
        <v>2.5</v>
      </c>
      <c r="G426" s="2" t="s">
        <v>55</v>
      </c>
      <c r="H426">
        <f>IF(OR(لوحة_القيادة!$C$4="الكل", A426=لوحة_القيادة!$C$4), 1, 0)</f>
        <v>0</v>
      </c>
      <c r="I426">
        <f>IF(H426=1, SUM($H$2:H426), "")</f>
        <v>0</v>
      </c>
    </row>
    <row r="427" spans="1:9">
      <c r="A427" s="2" t="s">
        <v>14</v>
      </c>
      <c r="B427" s="2" t="s">
        <v>535</v>
      </c>
      <c r="C427" s="2">
        <v>5</v>
      </c>
      <c r="D427" s="2">
        <v>0.08</v>
      </c>
      <c r="E427" s="2">
        <v>2</v>
      </c>
      <c r="F427" s="2">
        <v>2.5</v>
      </c>
      <c r="G427" s="2" t="s">
        <v>452</v>
      </c>
      <c r="H427">
        <f>IF(OR(لوحة_القيادة!$C$4="الكل", A427=لوحة_القيادة!$C$4), 1, 0)</f>
        <v>0</v>
      </c>
      <c r="I427">
        <f>IF(H427=1, SUM($H$2:H427), "")</f>
        <v>0</v>
      </c>
    </row>
    <row r="428" spans="1:9">
      <c r="A428" s="2" t="s">
        <v>18</v>
      </c>
      <c r="B428" s="2" t="s">
        <v>536</v>
      </c>
      <c r="C428" s="2">
        <v>5</v>
      </c>
      <c r="D428" s="2">
        <v>0.08</v>
      </c>
      <c r="E428" s="2">
        <v>1</v>
      </c>
      <c r="F428" s="2">
        <v>5</v>
      </c>
      <c r="G428" s="2" t="s">
        <v>240</v>
      </c>
      <c r="H428">
        <f>IF(OR(لوحة_القيادة!$C$4="الكل", A428=لوحة_القيادة!$C$4), 1, 0)</f>
        <v>0</v>
      </c>
      <c r="I428">
        <f>IF(H428=1, SUM($H$2:H428), "")</f>
        <v>0</v>
      </c>
    </row>
    <row r="429" spans="1:9">
      <c r="A429" s="2" t="s">
        <v>11</v>
      </c>
      <c r="B429" s="2" t="s">
        <v>537</v>
      </c>
      <c r="C429" s="2">
        <v>4</v>
      </c>
      <c r="D429" s="2">
        <v>0.07000000000000001</v>
      </c>
      <c r="E429" s="2">
        <v>1</v>
      </c>
      <c r="F429" s="2">
        <v>4</v>
      </c>
      <c r="G429" s="2" t="s">
        <v>280</v>
      </c>
      <c r="H429">
        <f>IF(OR(لوحة_القيادة!$C$4="الكل", A429=لوحة_القيادة!$C$4), 1, 0)</f>
        <v>0</v>
      </c>
      <c r="I429">
        <f>IF(H429=1, SUM($H$2:H429), "")</f>
        <v>0</v>
      </c>
    </row>
    <row r="430" spans="1:9">
      <c r="A430" s="2" t="s">
        <v>15</v>
      </c>
      <c r="B430" s="2" t="s">
        <v>538</v>
      </c>
      <c r="C430" s="2">
        <v>4</v>
      </c>
      <c r="D430" s="2">
        <v>0.07000000000000001</v>
      </c>
      <c r="E430" s="2">
        <v>1</v>
      </c>
      <c r="F430" s="2">
        <v>4</v>
      </c>
      <c r="G430" s="2" t="s">
        <v>240</v>
      </c>
      <c r="H430">
        <f>IF(OR(لوحة_القيادة!$C$4="الكل", A430=لوحة_القيادة!$C$4), 1, 0)</f>
        <v>0</v>
      </c>
      <c r="I430">
        <f>IF(H430=1, SUM($H$2:H430), "")</f>
        <v>0</v>
      </c>
    </row>
    <row r="431" spans="1:9">
      <c r="A431" s="2" t="s">
        <v>18</v>
      </c>
      <c r="B431" s="2" t="s">
        <v>539</v>
      </c>
      <c r="C431" s="2">
        <v>4</v>
      </c>
      <c r="D431" s="2">
        <v>0.07000000000000001</v>
      </c>
      <c r="E431" s="2">
        <v>1</v>
      </c>
      <c r="F431" s="2">
        <v>4</v>
      </c>
      <c r="G431" s="2" t="s">
        <v>240</v>
      </c>
      <c r="H431">
        <f>IF(OR(لوحة_القيادة!$C$4="الكل", A431=لوحة_القيادة!$C$4), 1, 0)</f>
        <v>0</v>
      </c>
      <c r="I431">
        <f>IF(H431=1, SUM($H$2:H431), "")</f>
        <v>0</v>
      </c>
    </row>
    <row r="432" spans="1:9">
      <c r="A432" s="2" t="s">
        <v>18</v>
      </c>
      <c r="B432" s="2" t="s">
        <v>540</v>
      </c>
      <c r="C432" s="2">
        <v>4</v>
      </c>
      <c r="D432" s="2">
        <v>0.07000000000000001</v>
      </c>
      <c r="E432" s="2">
        <v>1</v>
      </c>
      <c r="F432" s="2">
        <v>4</v>
      </c>
      <c r="G432" s="2" t="s">
        <v>419</v>
      </c>
      <c r="H432">
        <f>IF(OR(لوحة_القيادة!$C$4="الكل", A432=لوحة_القيادة!$C$4), 1, 0)</f>
        <v>0</v>
      </c>
      <c r="I432">
        <f>IF(H432=1, SUM($H$2:H432), "")</f>
        <v>0</v>
      </c>
    </row>
    <row r="433" spans="1:9">
      <c r="A433" s="2" t="s">
        <v>18</v>
      </c>
      <c r="B433" s="2" t="s">
        <v>541</v>
      </c>
      <c r="C433" s="2">
        <v>4</v>
      </c>
      <c r="D433" s="2">
        <v>0.07000000000000001</v>
      </c>
      <c r="E433" s="2">
        <v>1</v>
      </c>
      <c r="F433" s="2">
        <v>4</v>
      </c>
      <c r="G433" s="2" t="s">
        <v>240</v>
      </c>
      <c r="H433">
        <f>IF(OR(لوحة_القيادة!$C$4="الكل", A433=لوحة_القيادة!$C$4), 1, 0)</f>
        <v>0</v>
      </c>
      <c r="I433">
        <f>IF(H433=1, SUM($H$2:H433), "")</f>
        <v>0</v>
      </c>
    </row>
    <row r="434" spans="1:9">
      <c r="A434" s="2" t="s">
        <v>19</v>
      </c>
      <c r="B434" s="2" t="s">
        <v>542</v>
      </c>
      <c r="C434" s="2">
        <v>4</v>
      </c>
      <c r="D434" s="2">
        <v>0.07000000000000001</v>
      </c>
      <c r="E434" s="2">
        <v>3</v>
      </c>
      <c r="F434" s="2">
        <v>1.33</v>
      </c>
      <c r="G434" s="2" t="s">
        <v>543</v>
      </c>
      <c r="H434">
        <f>IF(OR(لوحة_القيادة!$C$4="الكل", A434=لوحة_القيادة!$C$4), 1, 0)</f>
        <v>0</v>
      </c>
      <c r="I434">
        <f>IF(H434=1, SUM($H$2:H434), "")</f>
        <v>0</v>
      </c>
    </row>
    <row r="435" spans="1:9">
      <c r="A435" s="2" t="s">
        <v>22</v>
      </c>
      <c r="B435" s="2" t="s">
        <v>544</v>
      </c>
      <c r="C435" s="2">
        <v>4</v>
      </c>
      <c r="D435" s="2">
        <v>0.07000000000000001</v>
      </c>
      <c r="E435" s="2">
        <v>1</v>
      </c>
      <c r="F435" s="2">
        <v>4</v>
      </c>
      <c r="G435" s="2" t="s">
        <v>383</v>
      </c>
      <c r="H435">
        <f>IF(OR(لوحة_القيادة!$C$4="الكل", A435=لوحة_القيادة!$C$4), 1, 0)</f>
        <v>0</v>
      </c>
      <c r="I435">
        <f>IF(H435=1, SUM($H$2:H435), "")</f>
        <v>0</v>
      </c>
    </row>
    <row r="436" spans="1:9">
      <c r="A436" s="2" t="s">
        <v>11</v>
      </c>
      <c r="B436" s="2" t="s">
        <v>545</v>
      </c>
      <c r="C436" s="2">
        <v>3</v>
      </c>
      <c r="D436" s="2">
        <v>0.05</v>
      </c>
      <c r="E436" s="2">
        <v>1</v>
      </c>
      <c r="F436" s="2">
        <v>3</v>
      </c>
      <c r="G436" s="2" t="s">
        <v>265</v>
      </c>
      <c r="H436">
        <f>IF(OR(لوحة_القيادة!$C$4="الكل", A436=لوحة_القيادة!$C$4), 1, 0)</f>
        <v>0</v>
      </c>
      <c r="I436">
        <f>IF(H436=1, SUM($H$2:H436), "")</f>
        <v>0</v>
      </c>
    </row>
    <row r="437" spans="1:9">
      <c r="A437" s="2" t="s">
        <v>17</v>
      </c>
      <c r="B437" s="2" t="s">
        <v>546</v>
      </c>
      <c r="C437" s="2">
        <v>3</v>
      </c>
      <c r="D437" s="2">
        <v>0.05</v>
      </c>
      <c r="E437" s="2">
        <v>1</v>
      </c>
      <c r="F437" s="2">
        <v>3</v>
      </c>
      <c r="G437" s="2" t="s">
        <v>60</v>
      </c>
      <c r="H437">
        <f>IF(OR(لوحة_القيادة!$C$4="الكل", A437=لوحة_القيادة!$C$4), 1, 0)</f>
        <v>0</v>
      </c>
      <c r="I437">
        <f>IF(H437=1, SUM($H$2:H437), "")</f>
        <v>0</v>
      </c>
    </row>
    <row r="438" spans="1:9">
      <c r="A438" s="2" t="s">
        <v>18</v>
      </c>
      <c r="B438" s="2" t="s">
        <v>547</v>
      </c>
      <c r="C438" s="2">
        <v>3</v>
      </c>
      <c r="D438" s="2">
        <v>0.05</v>
      </c>
      <c r="E438" s="2">
        <v>1</v>
      </c>
      <c r="F438" s="2">
        <v>3</v>
      </c>
      <c r="G438" s="2" t="s">
        <v>63</v>
      </c>
      <c r="H438">
        <f>IF(OR(لوحة_القيادة!$C$4="الكل", A438=لوحة_القيادة!$C$4), 1, 0)</f>
        <v>0</v>
      </c>
      <c r="I438">
        <f>IF(H438=1, SUM($H$2:H438), "")</f>
        <v>0</v>
      </c>
    </row>
    <row r="439" spans="1:9">
      <c r="A439" s="2" t="s">
        <v>8</v>
      </c>
      <c r="B439" s="2" t="s">
        <v>548</v>
      </c>
      <c r="C439" s="2">
        <v>2</v>
      </c>
      <c r="D439" s="2">
        <v>0.03</v>
      </c>
      <c r="E439" s="2">
        <v>1</v>
      </c>
      <c r="F439" s="2">
        <v>2</v>
      </c>
      <c r="G439" s="2" t="s">
        <v>240</v>
      </c>
      <c r="H439">
        <f>IF(OR(لوحة_القيادة!$C$4="الكل", A439=لوحة_القيادة!$C$4), 1, 0)</f>
        <v>0</v>
      </c>
      <c r="I439">
        <f>IF(H439=1, SUM($H$2:H439), "")</f>
        <v>0</v>
      </c>
    </row>
    <row r="440" spans="1:9">
      <c r="A440" s="2" t="s">
        <v>10</v>
      </c>
      <c r="B440" s="2" t="s">
        <v>549</v>
      </c>
      <c r="C440" s="2">
        <v>2</v>
      </c>
      <c r="D440" s="2">
        <v>0.03</v>
      </c>
      <c r="E440" s="2">
        <v>2</v>
      </c>
      <c r="F440" s="2">
        <v>1</v>
      </c>
      <c r="G440" s="2" t="s">
        <v>82</v>
      </c>
      <c r="H440">
        <f>IF(OR(لوحة_القيادة!$C$4="الكل", A440=لوحة_القيادة!$C$4), 1, 0)</f>
        <v>0</v>
      </c>
      <c r="I440">
        <f>IF(H440=1, SUM($H$2:H440), "")</f>
        <v>0</v>
      </c>
    </row>
    <row r="441" spans="1:9">
      <c r="A441" s="2" t="s">
        <v>14</v>
      </c>
      <c r="B441" s="2" t="s">
        <v>550</v>
      </c>
      <c r="C441" s="2">
        <v>2</v>
      </c>
      <c r="D441" s="2">
        <v>0.03</v>
      </c>
      <c r="E441" s="2">
        <v>2</v>
      </c>
      <c r="F441" s="2">
        <v>1</v>
      </c>
      <c r="G441" s="2" t="s">
        <v>104</v>
      </c>
      <c r="H441">
        <f>IF(OR(لوحة_القيادة!$C$4="الكل", A441=لوحة_القيادة!$C$4), 1, 0)</f>
        <v>0</v>
      </c>
      <c r="I441">
        <f>IF(H441=1, SUM($H$2:H441), "")</f>
        <v>0</v>
      </c>
    </row>
    <row r="442" spans="1:9">
      <c r="A442" s="2" t="s">
        <v>14</v>
      </c>
      <c r="B442" s="2" t="s">
        <v>551</v>
      </c>
      <c r="C442" s="2">
        <v>2</v>
      </c>
      <c r="D442" s="2">
        <v>0.03</v>
      </c>
      <c r="E442" s="2">
        <v>1</v>
      </c>
      <c r="F442" s="2">
        <v>2</v>
      </c>
      <c r="G442" s="2" t="s">
        <v>202</v>
      </c>
      <c r="H442">
        <f>IF(OR(لوحة_القيادة!$C$4="الكل", A442=لوحة_القيادة!$C$4), 1, 0)</f>
        <v>0</v>
      </c>
      <c r="I442">
        <f>IF(H442=1, SUM($H$2:H442), "")</f>
        <v>0</v>
      </c>
    </row>
    <row r="443" spans="1:9">
      <c r="A443" s="2" t="s">
        <v>15</v>
      </c>
      <c r="B443" s="2" t="s">
        <v>552</v>
      </c>
      <c r="C443" s="2">
        <v>2</v>
      </c>
      <c r="D443" s="2">
        <v>0.03</v>
      </c>
      <c r="E443" s="2">
        <v>1</v>
      </c>
      <c r="F443" s="2">
        <v>2</v>
      </c>
      <c r="G443" s="2" t="s">
        <v>240</v>
      </c>
      <c r="H443">
        <f>IF(OR(لوحة_القيادة!$C$4="الكل", A443=لوحة_القيادة!$C$4), 1, 0)</f>
        <v>0</v>
      </c>
      <c r="I443">
        <f>IF(H443=1, SUM($H$2:H443), "")</f>
        <v>0</v>
      </c>
    </row>
    <row r="444" spans="1:9">
      <c r="A444" s="2" t="s">
        <v>15</v>
      </c>
      <c r="B444" s="2" t="s">
        <v>553</v>
      </c>
      <c r="C444" s="2">
        <v>2</v>
      </c>
      <c r="D444" s="2">
        <v>0.03</v>
      </c>
      <c r="E444" s="2">
        <v>1</v>
      </c>
      <c r="F444" s="2">
        <v>2</v>
      </c>
      <c r="G444" s="2" t="s">
        <v>554</v>
      </c>
      <c r="H444">
        <f>IF(OR(لوحة_القيادة!$C$4="الكل", A444=لوحة_القيادة!$C$4), 1, 0)</f>
        <v>0</v>
      </c>
      <c r="I444">
        <f>IF(H444=1, SUM($H$2:H444), "")</f>
        <v>0</v>
      </c>
    </row>
    <row r="445" spans="1:9">
      <c r="A445" s="2" t="s">
        <v>16</v>
      </c>
      <c r="B445" s="2" t="s">
        <v>555</v>
      </c>
      <c r="C445" s="2">
        <v>2</v>
      </c>
      <c r="D445" s="2">
        <v>0.03</v>
      </c>
      <c r="E445" s="2">
        <v>1</v>
      </c>
      <c r="F445" s="2">
        <v>2</v>
      </c>
      <c r="G445" s="2" t="s">
        <v>554</v>
      </c>
      <c r="H445">
        <f>IF(OR(لوحة_القيادة!$C$4="الكل", A445=لوحة_القيادة!$C$4), 1, 0)</f>
        <v>0</v>
      </c>
      <c r="I445">
        <f>IF(H445=1, SUM($H$2:H445), "")</f>
        <v>0</v>
      </c>
    </row>
    <row r="446" spans="1:9">
      <c r="A446" s="2" t="s">
        <v>17</v>
      </c>
      <c r="B446" s="2" t="s">
        <v>556</v>
      </c>
      <c r="C446" s="2">
        <v>2</v>
      </c>
      <c r="D446" s="2">
        <v>0.03</v>
      </c>
      <c r="E446" s="2">
        <v>1</v>
      </c>
      <c r="F446" s="2">
        <v>2</v>
      </c>
      <c r="G446" s="2" t="s">
        <v>554</v>
      </c>
      <c r="H446">
        <f>IF(OR(لوحة_القيادة!$C$4="الكل", A446=لوحة_القيادة!$C$4), 1, 0)</f>
        <v>0</v>
      </c>
      <c r="I446">
        <f>IF(H446=1, SUM($H$2:H446), "")</f>
        <v>0</v>
      </c>
    </row>
    <row r="447" spans="1:9">
      <c r="A447" s="2" t="s">
        <v>17</v>
      </c>
      <c r="B447" s="2" t="s">
        <v>557</v>
      </c>
      <c r="C447" s="2">
        <v>2</v>
      </c>
      <c r="D447" s="2">
        <v>0.03</v>
      </c>
      <c r="E447" s="2">
        <v>1</v>
      </c>
      <c r="F447" s="2">
        <v>2</v>
      </c>
      <c r="G447" s="2" t="s">
        <v>558</v>
      </c>
      <c r="H447">
        <f>IF(OR(لوحة_القيادة!$C$4="الكل", A447=لوحة_القيادة!$C$4), 1, 0)</f>
        <v>0</v>
      </c>
      <c r="I447">
        <f>IF(H447=1, SUM($H$2:H447), "")</f>
        <v>0</v>
      </c>
    </row>
    <row r="448" spans="1:9">
      <c r="A448" s="2" t="s">
        <v>18</v>
      </c>
      <c r="B448" s="2" t="s">
        <v>559</v>
      </c>
      <c r="C448" s="2">
        <v>2</v>
      </c>
      <c r="D448" s="2">
        <v>0.03</v>
      </c>
      <c r="E448" s="2">
        <v>1</v>
      </c>
      <c r="F448" s="2">
        <v>2</v>
      </c>
      <c r="G448" s="2" t="s">
        <v>554</v>
      </c>
      <c r="H448">
        <f>IF(OR(لوحة_القيادة!$C$4="الكل", A448=لوحة_القيادة!$C$4), 1, 0)</f>
        <v>0</v>
      </c>
      <c r="I448">
        <f>IF(H448=1, SUM($H$2:H448), "")</f>
        <v>0</v>
      </c>
    </row>
    <row r="449" spans="1:9">
      <c r="A449" s="2" t="s">
        <v>6</v>
      </c>
      <c r="B449" s="2" t="s">
        <v>560</v>
      </c>
      <c r="C449" s="2">
        <v>1</v>
      </c>
      <c r="D449" s="2">
        <v>0.02</v>
      </c>
      <c r="E449" s="2">
        <v>1</v>
      </c>
      <c r="F449" s="2">
        <v>1</v>
      </c>
      <c r="G449" s="2" t="s">
        <v>140</v>
      </c>
      <c r="H449">
        <f>IF(OR(لوحة_القيادة!$C$4="الكل", A449=لوحة_القيادة!$C$4), 1, 0)</f>
        <v>0</v>
      </c>
      <c r="I449">
        <f>IF(H449=1, SUM($H$2:H449), "")</f>
        <v>0</v>
      </c>
    </row>
    <row r="450" spans="1:9">
      <c r="A450" s="2" t="s">
        <v>11</v>
      </c>
      <c r="B450" s="2" t="s">
        <v>561</v>
      </c>
      <c r="C450" s="2">
        <v>1</v>
      </c>
      <c r="D450" s="2">
        <v>0.02</v>
      </c>
      <c r="E450" s="2">
        <v>1</v>
      </c>
      <c r="F450" s="2">
        <v>1</v>
      </c>
      <c r="G450" s="2" t="s">
        <v>265</v>
      </c>
      <c r="H450">
        <f>IF(OR(لوحة_القيادة!$C$4="الكل", A450=لوحة_القيادة!$C$4), 1, 0)</f>
        <v>0</v>
      </c>
      <c r="I450">
        <f>IF(H450=1, SUM($H$2:H450), "")</f>
        <v>0</v>
      </c>
    </row>
    <row r="451" spans="1:9">
      <c r="A451" s="2" t="s">
        <v>11</v>
      </c>
      <c r="B451" s="2" t="s">
        <v>562</v>
      </c>
      <c r="C451" s="2">
        <v>1</v>
      </c>
      <c r="D451" s="2">
        <v>0.02</v>
      </c>
      <c r="E451" s="2">
        <v>1</v>
      </c>
      <c r="F451" s="2">
        <v>1</v>
      </c>
      <c r="G451" s="2" t="s">
        <v>104</v>
      </c>
      <c r="H451">
        <f>IF(OR(لوحة_القيادة!$C$4="الكل", A451=لوحة_القيادة!$C$4), 1, 0)</f>
        <v>0</v>
      </c>
      <c r="I451">
        <f>IF(H451=1, SUM($H$2:H451), "")</f>
        <v>0</v>
      </c>
    </row>
    <row r="452" spans="1:9">
      <c r="A452" s="2" t="s">
        <v>13</v>
      </c>
      <c r="B452" s="2" t="s">
        <v>563</v>
      </c>
      <c r="C452" s="2">
        <v>1</v>
      </c>
      <c r="D452" s="2">
        <v>0.02</v>
      </c>
      <c r="E452" s="2">
        <v>1</v>
      </c>
      <c r="F452" s="2">
        <v>1</v>
      </c>
      <c r="G452" s="2" t="s">
        <v>280</v>
      </c>
      <c r="H452">
        <f>IF(OR(لوحة_القيادة!$C$4="الكل", A452=لوحة_القيادة!$C$4), 1, 0)</f>
        <v>0</v>
      </c>
      <c r="I452">
        <f>IF(H452=1, SUM($H$2:H452), "")</f>
        <v>0</v>
      </c>
    </row>
    <row r="453" spans="1:9">
      <c r="A453" s="2" t="s">
        <v>14</v>
      </c>
      <c r="B453" s="2" t="s">
        <v>564</v>
      </c>
      <c r="C453" s="2">
        <v>1</v>
      </c>
      <c r="D453" s="2">
        <v>0.02</v>
      </c>
      <c r="E453" s="2">
        <v>1</v>
      </c>
      <c r="F453" s="2">
        <v>1</v>
      </c>
      <c r="G453" s="2" t="s">
        <v>82</v>
      </c>
      <c r="H453">
        <f>IF(OR(لوحة_القيادة!$C$4="الكل", A453=لوحة_القيادة!$C$4), 1, 0)</f>
        <v>0</v>
      </c>
      <c r="I453">
        <f>IF(H453=1, SUM($H$2:H453), "")</f>
        <v>0</v>
      </c>
    </row>
    <row r="454" spans="1:9">
      <c r="A454" s="2" t="s">
        <v>15</v>
      </c>
      <c r="B454" s="2" t="s">
        <v>565</v>
      </c>
      <c r="C454" s="2">
        <v>1</v>
      </c>
      <c r="D454" s="2">
        <v>0.02</v>
      </c>
      <c r="E454" s="2">
        <v>1</v>
      </c>
      <c r="F454" s="2">
        <v>1</v>
      </c>
      <c r="G454" s="2" t="s">
        <v>140</v>
      </c>
      <c r="H454">
        <f>IF(OR(لوحة_القيادة!$C$4="الكل", A454=لوحة_القيادة!$C$4), 1, 0)</f>
        <v>0</v>
      </c>
      <c r="I454">
        <f>IF(H454=1, SUM($H$2:H454), "")</f>
        <v>0</v>
      </c>
    </row>
    <row r="455" spans="1:9">
      <c r="A455" s="2" t="s">
        <v>16</v>
      </c>
      <c r="B455" s="2" t="s">
        <v>566</v>
      </c>
      <c r="C455" s="2">
        <v>1</v>
      </c>
      <c r="D455" s="2">
        <v>0.02</v>
      </c>
      <c r="E455" s="2">
        <v>1</v>
      </c>
      <c r="F455" s="2">
        <v>1</v>
      </c>
      <c r="G455" s="2" t="s">
        <v>434</v>
      </c>
      <c r="H455">
        <f>IF(OR(لوحة_القيادة!$C$4="الكل", A455=لوحة_القيادة!$C$4), 1, 0)</f>
        <v>0</v>
      </c>
      <c r="I455">
        <f>IF(H455=1, SUM($H$2:H455), 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63EB"/>
  </sheetPr>
  <dimension ref="A1:H500"/>
  <sheetViews>
    <sheetView rightToLeft="1" workbookViewId="0"/>
  </sheetViews>
  <sheetFormatPr defaultRowHeight="15"/>
  <cols>
    <col min="1" max="1" width="5.7109375" customWidth="1"/>
    <col min="2" max="2" width="25.7109375" customWidth="1"/>
    <col min="3" max="3" width="35.7109375" customWidth="1"/>
    <col min="4" max="7" width="18.7109375" customWidth="1"/>
    <col min="8" max="8" width="25.7109375" customWidth="1"/>
  </cols>
  <sheetData>
    <row r="1" spans="2:8" s="3" customFormat="1" ht="20" customHeight="1"/>
    <row r="2" spans="2:8" s="3" customFormat="1" ht="20" customHeight="1">
      <c r="B2" s="4" t="s">
        <v>567</v>
      </c>
      <c r="C2" s="4"/>
      <c r="D2" s="4"/>
      <c r="E2" s="4"/>
      <c r="F2" s="4"/>
      <c r="G2" s="4"/>
      <c r="H2" s="4"/>
    </row>
    <row r="3" spans="2:8" s="3" customFormat="1" ht="20" customHeight="1">
      <c r="B3" s="4"/>
      <c r="C3" s="4"/>
      <c r="D3" s="4"/>
      <c r="E3" s="4"/>
      <c r="F3" s="4"/>
      <c r="G3" s="4"/>
      <c r="H3" s="4"/>
    </row>
    <row r="4" spans="2:8" s="3" customFormat="1" ht="20" customHeight="1">
      <c r="B4" s="5" t="s">
        <v>568</v>
      </c>
      <c r="C4" s="6" t="s">
        <v>0</v>
      </c>
    </row>
    <row r="5" spans="2:8" s="3" customFormat="1" ht="20" customHeight="1"/>
    <row r="6" spans="2:8" s="3" customFormat="1" ht="20" customHeight="1">
      <c r="B6" s="7" t="s">
        <v>569</v>
      </c>
      <c r="D6" s="7" t="s">
        <v>570</v>
      </c>
      <c r="F6" s="7" t="s">
        <v>25</v>
      </c>
      <c r="H6" s="7" t="s">
        <v>26</v>
      </c>
    </row>
    <row r="7" spans="2:8" s="3" customFormat="1" ht="20" customHeight="1">
      <c r="B7" s="8">
        <f>IF($C$4="الكل", COUNTA(البيانات_الأساسية!B:B)-1, COUNTIF(البيانات_الأساسية!A:A, $C$4))</f>
        <v>0</v>
      </c>
      <c r="D7" s="8">
        <f>IF($C$4="الكل", SUM(البيانات_الأساسية!E:E), SUMIF(البيانات_الأساسية!A:A, $C$4, البيانات_الأساسية!E:E))</f>
        <v>0</v>
      </c>
      <c r="F7" s="8">
        <f>IF($C$4="الكل", SUM(البيانات_الأساسية!C:C), SUMIF(البيانات_الأساسية!A:A, $C$4, البيانات_الأساسية!C:C))</f>
        <v>0</v>
      </c>
      <c r="H7" s="8">
        <f>IF($C$4="الكل", SUM(البيانات_الأساسية!D:D), SUMIF(البيانات_الأساسية!A:A, $C$4, البيانات_الأساسية!D:D))</f>
        <v>0</v>
      </c>
    </row>
    <row r="8" spans="2:8" s="3" customFormat="1" ht="20" customHeight="1"/>
    <row r="9" spans="2:8" s="3" customFormat="1" ht="20" customHeight="1"/>
    <row r="10" spans="2:8" s="3" customFormat="1" ht="20" customHeight="1">
      <c r="B10" s="9" t="s">
        <v>571</v>
      </c>
      <c r="C10" s="9"/>
      <c r="D10" s="9"/>
      <c r="E10" s="9"/>
      <c r="F10" s="9"/>
      <c r="G10" s="9"/>
      <c r="H10" s="9"/>
    </row>
    <row r="11" spans="2:8" s="3" customFormat="1" ht="20" customHeight="1"/>
    <row r="12" spans="2:8" s="3" customFormat="1" ht="20" customHeight="1">
      <c r="B12" s="1" t="s">
        <v>23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  <c r="H12" s="1" t="s">
        <v>29</v>
      </c>
    </row>
    <row r="13" spans="2:8" s="3" customFormat="1" ht="20" customHeight="1">
      <c r="B13" s="2">
        <f>IFERROR(INDEX(البيانات_الأساسية!A:A, MATCH(1, البيانات_الأساسية!$I:$I, 0)), "")</f>
        <v>0</v>
      </c>
      <c r="C13" s="2">
        <f>IFERROR(INDEX(البيانات_الأساسية!B:B, MATCH(1, البيانات_الأساسية!$I:$I, 0)), "")</f>
        <v>0</v>
      </c>
      <c r="D13" s="2">
        <f>IFERROR(INDEX(البيانات_الأساسية!C:C, MATCH(1, البيانات_الأساسية!$I:$I, 0)), "")</f>
        <v>0</v>
      </c>
      <c r="E13" s="2">
        <f>IFERROR(INDEX(البيانات_الأساسية!D:D, MATCH(1, البيانات_الأساسية!$I:$I, 0)), "")</f>
        <v>0</v>
      </c>
      <c r="F13" s="2">
        <f>IFERROR(INDEX(البيانات_الأساسية!E:E, MATCH(1, البيانات_الأساسية!$I:$I, 0)), "")</f>
        <v>0</v>
      </c>
      <c r="G13" s="2">
        <f>IFERROR(INDEX(البيانات_الأساسية!F:F, MATCH(1, البيانات_الأساسية!$I:$I, 0)), "")</f>
        <v>0</v>
      </c>
      <c r="H13" s="2">
        <f>IFERROR(INDEX(البيانات_الأساسية!G:G, MATCH(1, البيانات_الأساسية!$I:$I, 0)), "")</f>
        <v>0</v>
      </c>
    </row>
    <row r="14" spans="2:8" s="3" customFormat="1" ht="20" customHeight="1">
      <c r="B14" s="2">
        <f>IFERROR(INDEX(البيانات_الأساسية!A:A, MATCH(2, البيانات_الأساسية!$I:$I, 0)), "")</f>
        <v>0</v>
      </c>
      <c r="C14" s="2">
        <f>IFERROR(INDEX(البيانات_الأساسية!B:B, MATCH(2, البيانات_الأساسية!$I:$I, 0)), "")</f>
        <v>0</v>
      </c>
      <c r="D14" s="2">
        <f>IFERROR(INDEX(البيانات_الأساسية!C:C, MATCH(2, البيانات_الأساسية!$I:$I, 0)), "")</f>
        <v>0</v>
      </c>
      <c r="E14" s="2">
        <f>IFERROR(INDEX(البيانات_الأساسية!D:D, MATCH(2, البيانات_الأساسية!$I:$I, 0)), "")</f>
        <v>0</v>
      </c>
      <c r="F14" s="2">
        <f>IFERROR(INDEX(البيانات_الأساسية!E:E, MATCH(2, البيانات_الأساسية!$I:$I, 0)), "")</f>
        <v>0</v>
      </c>
      <c r="G14" s="2">
        <f>IFERROR(INDEX(البيانات_الأساسية!F:F, MATCH(2, البيانات_الأساسية!$I:$I, 0)), "")</f>
        <v>0</v>
      </c>
      <c r="H14" s="2">
        <f>IFERROR(INDEX(البيانات_الأساسية!G:G, MATCH(2, البيانات_الأساسية!$I:$I, 0)), "")</f>
        <v>0</v>
      </c>
    </row>
    <row r="15" spans="2:8" s="3" customFormat="1" ht="20" customHeight="1">
      <c r="B15" s="2">
        <f>IFERROR(INDEX(البيانات_الأساسية!A:A, MATCH(3, البيانات_الأساسية!$I:$I, 0)), "")</f>
        <v>0</v>
      </c>
      <c r="C15" s="2">
        <f>IFERROR(INDEX(البيانات_الأساسية!B:B, MATCH(3, البيانات_الأساسية!$I:$I, 0)), "")</f>
        <v>0</v>
      </c>
      <c r="D15" s="2">
        <f>IFERROR(INDEX(البيانات_الأساسية!C:C, MATCH(3, البيانات_الأساسية!$I:$I, 0)), "")</f>
        <v>0</v>
      </c>
      <c r="E15" s="2">
        <f>IFERROR(INDEX(البيانات_الأساسية!D:D, MATCH(3, البيانات_الأساسية!$I:$I, 0)), "")</f>
        <v>0</v>
      </c>
      <c r="F15" s="2">
        <f>IFERROR(INDEX(البيانات_الأساسية!E:E, MATCH(3, البيانات_الأساسية!$I:$I, 0)), "")</f>
        <v>0</v>
      </c>
      <c r="G15" s="2">
        <f>IFERROR(INDEX(البيانات_الأساسية!F:F, MATCH(3, البيانات_الأساسية!$I:$I, 0)), "")</f>
        <v>0</v>
      </c>
      <c r="H15" s="2">
        <f>IFERROR(INDEX(البيانات_الأساسية!G:G, MATCH(3, البيانات_الأساسية!$I:$I, 0)), "")</f>
        <v>0</v>
      </c>
    </row>
    <row r="16" spans="2:8" s="3" customFormat="1" ht="20" customHeight="1">
      <c r="B16" s="2">
        <f>IFERROR(INDEX(البيانات_الأساسية!A:A, MATCH(4, البيانات_الأساسية!$I:$I, 0)), "")</f>
        <v>0</v>
      </c>
      <c r="C16" s="2">
        <f>IFERROR(INDEX(البيانات_الأساسية!B:B, MATCH(4, البيانات_الأساسية!$I:$I, 0)), "")</f>
        <v>0</v>
      </c>
      <c r="D16" s="2">
        <f>IFERROR(INDEX(البيانات_الأساسية!C:C, MATCH(4, البيانات_الأساسية!$I:$I, 0)), "")</f>
        <v>0</v>
      </c>
      <c r="E16" s="2">
        <f>IFERROR(INDEX(البيانات_الأساسية!D:D, MATCH(4, البيانات_الأساسية!$I:$I, 0)), "")</f>
        <v>0</v>
      </c>
      <c r="F16" s="2">
        <f>IFERROR(INDEX(البيانات_الأساسية!E:E, MATCH(4, البيانات_الأساسية!$I:$I, 0)), "")</f>
        <v>0</v>
      </c>
      <c r="G16" s="2">
        <f>IFERROR(INDEX(البيانات_الأساسية!F:F, MATCH(4, البيانات_الأساسية!$I:$I, 0)), "")</f>
        <v>0</v>
      </c>
      <c r="H16" s="2">
        <f>IFERROR(INDEX(البيانات_الأساسية!G:G, MATCH(4, البيانات_الأساسية!$I:$I, 0)), "")</f>
        <v>0</v>
      </c>
    </row>
    <row r="17" spans="2:8" s="3" customFormat="1" ht="20" customHeight="1">
      <c r="B17" s="2">
        <f>IFERROR(INDEX(البيانات_الأساسية!A:A, MATCH(5, البيانات_الأساسية!$I:$I, 0)), "")</f>
        <v>0</v>
      </c>
      <c r="C17" s="2">
        <f>IFERROR(INDEX(البيانات_الأساسية!B:B, MATCH(5, البيانات_الأساسية!$I:$I, 0)), "")</f>
        <v>0</v>
      </c>
      <c r="D17" s="2">
        <f>IFERROR(INDEX(البيانات_الأساسية!C:C, MATCH(5, البيانات_الأساسية!$I:$I, 0)), "")</f>
        <v>0</v>
      </c>
      <c r="E17" s="2">
        <f>IFERROR(INDEX(البيانات_الأساسية!D:D, MATCH(5, البيانات_الأساسية!$I:$I, 0)), "")</f>
        <v>0</v>
      </c>
      <c r="F17" s="2">
        <f>IFERROR(INDEX(البيانات_الأساسية!E:E, MATCH(5, البيانات_الأساسية!$I:$I, 0)), "")</f>
        <v>0</v>
      </c>
      <c r="G17" s="2">
        <f>IFERROR(INDEX(البيانات_الأساسية!F:F, MATCH(5, البيانات_الأساسية!$I:$I, 0)), "")</f>
        <v>0</v>
      </c>
      <c r="H17" s="2">
        <f>IFERROR(INDEX(البيانات_الأساسية!G:G, MATCH(5, البيانات_الأساسية!$I:$I, 0)), "")</f>
        <v>0</v>
      </c>
    </row>
    <row r="18" spans="2:8" s="3" customFormat="1" ht="20" customHeight="1">
      <c r="B18" s="2">
        <f>IFERROR(INDEX(البيانات_الأساسية!A:A, MATCH(6, البيانات_الأساسية!$I:$I, 0)), "")</f>
        <v>0</v>
      </c>
      <c r="C18" s="2">
        <f>IFERROR(INDEX(البيانات_الأساسية!B:B, MATCH(6, البيانات_الأساسية!$I:$I, 0)), "")</f>
        <v>0</v>
      </c>
      <c r="D18" s="2">
        <f>IFERROR(INDEX(البيانات_الأساسية!C:C, MATCH(6, البيانات_الأساسية!$I:$I, 0)), "")</f>
        <v>0</v>
      </c>
      <c r="E18" s="2">
        <f>IFERROR(INDEX(البيانات_الأساسية!D:D, MATCH(6, البيانات_الأساسية!$I:$I, 0)), "")</f>
        <v>0</v>
      </c>
      <c r="F18" s="2">
        <f>IFERROR(INDEX(البيانات_الأساسية!E:E, MATCH(6, البيانات_الأساسية!$I:$I, 0)), "")</f>
        <v>0</v>
      </c>
      <c r="G18" s="2">
        <f>IFERROR(INDEX(البيانات_الأساسية!F:F, MATCH(6, البيانات_الأساسية!$I:$I, 0)), "")</f>
        <v>0</v>
      </c>
      <c r="H18" s="2">
        <f>IFERROR(INDEX(البيانات_الأساسية!G:G, MATCH(6, البيانات_الأساسية!$I:$I, 0)), "")</f>
        <v>0</v>
      </c>
    </row>
    <row r="19" spans="2:8" s="3" customFormat="1" ht="20" customHeight="1">
      <c r="B19" s="2">
        <f>IFERROR(INDEX(البيانات_الأساسية!A:A, MATCH(7, البيانات_الأساسية!$I:$I, 0)), "")</f>
        <v>0</v>
      </c>
      <c r="C19" s="2">
        <f>IFERROR(INDEX(البيانات_الأساسية!B:B, MATCH(7, البيانات_الأساسية!$I:$I, 0)), "")</f>
        <v>0</v>
      </c>
      <c r="D19" s="2">
        <f>IFERROR(INDEX(البيانات_الأساسية!C:C, MATCH(7, البيانات_الأساسية!$I:$I, 0)), "")</f>
        <v>0</v>
      </c>
      <c r="E19" s="2">
        <f>IFERROR(INDEX(البيانات_الأساسية!D:D, MATCH(7, البيانات_الأساسية!$I:$I, 0)), "")</f>
        <v>0</v>
      </c>
      <c r="F19" s="2">
        <f>IFERROR(INDEX(البيانات_الأساسية!E:E, MATCH(7, البيانات_الأساسية!$I:$I, 0)), "")</f>
        <v>0</v>
      </c>
      <c r="G19" s="2">
        <f>IFERROR(INDEX(البيانات_الأساسية!F:F, MATCH(7, البيانات_الأساسية!$I:$I, 0)), "")</f>
        <v>0</v>
      </c>
      <c r="H19" s="2">
        <f>IFERROR(INDEX(البيانات_الأساسية!G:G, MATCH(7, البيانات_الأساسية!$I:$I, 0)), "")</f>
        <v>0</v>
      </c>
    </row>
    <row r="20" spans="2:8" s="3" customFormat="1" ht="20" customHeight="1">
      <c r="B20" s="2">
        <f>IFERROR(INDEX(البيانات_الأساسية!A:A, MATCH(8, البيانات_الأساسية!$I:$I, 0)), "")</f>
        <v>0</v>
      </c>
      <c r="C20" s="2">
        <f>IFERROR(INDEX(البيانات_الأساسية!B:B, MATCH(8, البيانات_الأساسية!$I:$I, 0)), "")</f>
        <v>0</v>
      </c>
      <c r="D20" s="2">
        <f>IFERROR(INDEX(البيانات_الأساسية!C:C, MATCH(8, البيانات_الأساسية!$I:$I, 0)), "")</f>
        <v>0</v>
      </c>
      <c r="E20" s="2">
        <f>IFERROR(INDEX(البيانات_الأساسية!D:D, MATCH(8, البيانات_الأساسية!$I:$I, 0)), "")</f>
        <v>0</v>
      </c>
      <c r="F20" s="2">
        <f>IFERROR(INDEX(البيانات_الأساسية!E:E, MATCH(8, البيانات_الأساسية!$I:$I, 0)), "")</f>
        <v>0</v>
      </c>
      <c r="G20" s="2">
        <f>IFERROR(INDEX(البيانات_الأساسية!F:F, MATCH(8, البيانات_الأساسية!$I:$I, 0)), "")</f>
        <v>0</v>
      </c>
      <c r="H20" s="2">
        <f>IFERROR(INDEX(البيانات_الأساسية!G:G, MATCH(8, البيانات_الأساسية!$I:$I, 0)), "")</f>
        <v>0</v>
      </c>
    </row>
    <row r="21" spans="2:8" s="3" customFormat="1" ht="20" customHeight="1">
      <c r="B21" s="2">
        <f>IFERROR(INDEX(البيانات_الأساسية!A:A, MATCH(9, البيانات_الأساسية!$I:$I, 0)), "")</f>
        <v>0</v>
      </c>
      <c r="C21" s="2">
        <f>IFERROR(INDEX(البيانات_الأساسية!B:B, MATCH(9, البيانات_الأساسية!$I:$I, 0)), "")</f>
        <v>0</v>
      </c>
      <c r="D21" s="2">
        <f>IFERROR(INDEX(البيانات_الأساسية!C:C, MATCH(9, البيانات_الأساسية!$I:$I, 0)), "")</f>
        <v>0</v>
      </c>
      <c r="E21" s="2">
        <f>IFERROR(INDEX(البيانات_الأساسية!D:D, MATCH(9, البيانات_الأساسية!$I:$I, 0)), "")</f>
        <v>0</v>
      </c>
      <c r="F21" s="2">
        <f>IFERROR(INDEX(البيانات_الأساسية!E:E, MATCH(9, البيانات_الأساسية!$I:$I, 0)), "")</f>
        <v>0</v>
      </c>
      <c r="G21" s="2">
        <f>IFERROR(INDEX(البيانات_الأساسية!F:F, MATCH(9, البيانات_الأساسية!$I:$I, 0)), "")</f>
        <v>0</v>
      </c>
      <c r="H21" s="2">
        <f>IFERROR(INDEX(البيانات_الأساسية!G:G, MATCH(9, البيانات_الأساسية!$I:$I, 0)), "")</f>
        <v>0</v>
      </c>
    </row>
    <row r="22" spans="2:8" s="3" customFormat="1" ht="20" customHeight="1">
      <c r="B22" s="2">
        <f>IFERROR(INDEX(البيانات_الأساسية!A:A, MATCH(10, البيانات_الأساسية!$I:$I, 0)), "")</f>
        <v>0</v>
      </c>
      <c r="C22" s="2">
        <f>IFERROR(INDEX(البيانات_الأساسية!B:B, MATCH(10, البيانات_الأساسية!$I:$I, 0)), "")</f>
        <v>0</v>
      </c>
      <c r="D22" s="2">
        <f>IFERROR(INDEX(البيانات_الأساسية!C:C, MATCH(10, البيانات_الأساسية!$I:$I, 0)), "")</f>
        <v>0</v>
      </c>
      <c r="E22" s="2">
        <f>IFERROR(INDEX(البيانات_الأساسية!D:D, MATCH(10, البيانات_الأساسية!$I:$I, 0)), "")</f>
        <v>0</v>
      </c>
      <c r="F22" s="2">
        <f>IFERROR(INDEX(البيانات_الأساسية!E:E, MATCH(10, البيانات_الأساسية!$I:$I, 0)), "")</f>
        <v>0</v>
      </c>
      <c r="G22" s="2">
        <f>IFERROR(INDEX(البيانات_الأساسية!F:F, MATCH(10, البيانات_الأساسية!$I:$I, 0)), "")</f>
        <v>0</v>
      </c>
      <c r="H22" s="2">
        <f>IFERROR(INDEX(البيانات_الأساسية!G:G, MATCH(10, البيانات_الأساسية!$I:$I, 0)), "")</f>
        <v>0</v>
      </c>
    </row>
    <row r="23" spans="2:8" s="3" customFormat="1" ht="20" customHeight="1">
      <c r="B23" s="2">
        <f>IFERROR(INDEX(البيانات_الأساسية!A:A, MATCH(11, البيانات_الأساسية!$I:$I, 0)), "")</f>
        <v>0</v>
      </c>
      <c r="C23" s="2">
        <f>IFERROR(INDEX(البيانات_الأساسية!B:B, MATCH(11, البيانات_الأساسية!$I:$I, 0)), "")</f>
        <v>0</v>
      </c>
      <c r="D23" s="2">
        <f>IFERROR(INDEX(البيانات_الأساسية!C:C, MATCH(11, البيانات_الأساسية!$I:$I, 0)), "")</f>
        <v>0</v>
      </c>
      <c r="E23" s="2">
        <f>IFERROR(INDEX(البيانات_الأساسية!D:D, MATCH(11, البيانات_الأساسية!$I:$I, 0)), "")</f>
        <v>0</v>
      </c>
      <c r="F23" s="2">
        <f>IFERROR(INDEX(البيانات_الأساسية!E:E, MATCH(11, البيانات_الأساسية!$I:$I, 0)), "")</f>
        <v>0</v>
      </c>
      <c r="G23" s="2">
        <f>IFERROR(INDEX(البيانات_الأساسية!F:F, MATCH(11, البيانات_الأساسية!$I:$I, 0)), "")</f>
        <v>0</v>
      </c>
      <c r="H23" s="2">
        <f>IFERROR(INDEX(البيانات_الأساسية!G:G, MATCH(11, البيانات_الأساسية!$I:$I, 0)), "")</f>
        <v>0</v>
      </c>
    </row>
    <row r="24" spans="2:8" s="3" customFormat="1" ht="20" customHeight="1">
      <c r="B24" s="2">
        <f>IFERROR(INDEX(البيانات_الأساسية!A:A, MATCH(12, البيانات_الأساسية!$I:$I, 0)), "")</f>
        <v>0</v>
      </c>
      <c r="C24" s="2">
        <f>IFERROR(INDEX(البيانات_الأساسية!B:B, MATCH(12, البيانات_الأساسية!$I:$I, 0)), "")</f>
        <v>0</v>
      </c>
      <c r="D24" s="2">
        <f>IFERROR(INDEX(البيانات_الأساسية!C:C, MATCH(12, البيانات_الأساسية!$I:$I, 0)), "")</f>
        <v>0</v>
      </c>
      <c r="E24" s="2">
        <f>IFERROR(INDEX(البيانات_الأساسية!D:D, MATCH(12, البيانات_الأساسية!$I:$I, 0)), "")</f>
        <v>0</v>
      </c>
      <c r="F24" s="2">
        <f>IFERROR(INDEX(البيانات_الأساسية!E:E, MATCH(12, البيانات_الأساسية!$I:$I, 0)), "")</f>
        <v>0</v>
      </c>
      <c r="G24" s="2">
        <f>IFERROR(INDEX(البيانات_الأساسية!F:F, MATCH(12, البيانات_الأساسية!$I:$I, 0)), "")</f>
        <v>0</v>
      </c>
      <c r="H24" s="2">
        <f>IFERROR(INDEX(البيانات_الأساسية!G:G, MATCH(12, البيانات_الأساسية!$I:$I, 0)), "")</f>
        <v>0</v>
      </c>
    </row>
    <row r="25" spans="2:8" s="3" customFormat="1" ht="20" customHeight="1">
      <c r="B25" s="2">
        <f>IFERROR(INDEX(البيانات_الأساسية!A:A, MATCH(13, البيانات_الأساسية!$I:$I, 0)), "")</f>
        <v>0</v>
      </c>
      <c r="C25" s="2">
        <f>IFERROR(INDEX(البيانات_الأساسية!B:B, MATCH(13, البيانات_الأساسية!$I:$I, 0)), "")</f>
        <v>0</v>
      </c>
      <c r="D25" s="2">
        <f>IFERROR(INDEX(البيانات_الأساسية!C:C, MATCH(13, البيانات_الأساسية!$I:$I, 0)), "")</f>
        <v>0</v>
      </c>
      <c r="E25" s="2">
        <f>IFERROR(INDEX(البيانات_الأساسية!D:D, MATCH(13, البيانات_الأساسية!$I:$I, 0)), "")</f>
        <v>0</v>
      </c>
      <c r="F25" s="2">
        <f>IFERROR(INDEX(البيانات_الأساسية!E:E, MATCH(13, البيانات_الأساسية!$I:$I, 0)), "")</f>
        <v>0</v>
      </c>
      <c r="G25" s="2">
        <f>IFERROR(INDEX(البيانات_الأساسية!F:F, MATCH(13, البيانات_الأساسية!$I:$I, 0)), "")</f>
        <v>0</v>
      </c>
      <c r="H25" s="2">
        <f>IFERROR(INDEX(البيانات_الأساسية!G:G, MATCH(13, البيانات_الأساسية!$I:$I, 0)), "")</f>
        <v>0</v>
      </c>
    </row>
    <row r="26" spans="2:8" s="3" customFormat="1" ht="20" customHeight="1">
      <c r="B26" s="2">
        <f>IFERROR(INDEX(البيانات_الأساسية!A:A, MATCH(14, البيانات_الأساسية!$I:$I, 0)), "")</f>
        <v>0</v>
      </c>
      <c r="C26" s="2">
        <f>IFERROR(INDEX(البيانات_الأساسية!B:B, MATCH(14, البيانات_الأساسية!$I:$I, 0)), "")</f>
        <v>0</v>
      </c>
      <c r="D26" s="2">
        <f>IFERROR(INDEX(البيانات_الأساسية!C:C, MATCH(14, البيانات_الأساسية!$I:$I, 0)), "")</f>
        <v>0</v>
      </c>
      <c r="E26" s="2">
        <f>IFERROR(INDEX(البيانات_الأساسية!D:D, MATCH(14, البيانات_الأساسية!$I:$I, 0)), "")</f>
        <v>0</v>
      </c>
      <c r="F26" s="2">
        <f>IFERROR(INDEX(البيانات_الأساسية!E:E, MATCH(14, البيانات_الأساسية!$I:$I, 0)), "")</f>
        <v>0</v>
      </c>
      <c r="G26" s="2">
        <f>IFERROR(INDEX(البيانات_الأساسية!F:F, MATCH(14, البيانات_الأساسية!$I:$I, 0)), "")</f>
        <v>0</v>
      </c>
      <c r="H26" s="2">
        <f>IFERROR(INDEX(البيانات_الأساسية!G:G, MATCH(14, البيانات_الأساسية!$I:$I, 0)), "")</f>
        <v>0</v>
      </c>
    </row>
    <row r="27" spans="2:8" s="3" customFormat="1" ht="20" customHeight="1">
      <c r="B27" s="2">
        <f>IFERROR(INDEX(البيانات_الأساسية!A:A, MATCH(15, البيانات_الأساسية!$I:$I, 0)), "")</f>
        <v>0</v>
      </c>
      <c r="C27" s="2">
        <f>IFERROR(INDEX(البيانات_الأساسية!B:B, MATCH(15, البيانات_الأساسية!$I:$I, 0)), "")</f>
        <v>0</v>
      </c>
      <c r="D27" s="2">
        <f>IFERROR(INDEX(البيانات_الأساسية!C:C, MATCH(15, البيانات_الأساسية!$I:$I, 0)), "")</f>
        <v>0</v>
      </c>
      <c r="E27" s="2">
        <f>IFERROR(INDEX(البيانات_الأساسية!D:D, MATCH(15, البيانات_الأساسية!$I:$I, 0)), "")</f>
        <v>0</v>
      </c>
      <c r="F27" s="2">
        <f>IFERROR(INDEX(البيانات_الأساسية!E:E, MATCH(15, البيانات_الأساسية!$I:$I, 0)), "")</f>
        <v>0</v>
      </c>
      <c r="G27" s="2">
        <f>IFERROR(INDEX(البيانات_الأساسية!F:F, MATCH(15, البيانات_الأساسية!$I:$I, 0)), "")</f>
        <v>0</v>
      </c>
      <c r="H27" s="2">
        <f>IFERROR(INDEX(البيانات_الأساسية!G:G, MATCH(15, البيانات_الأساسية!$I:$I, 0)), "")</f>
        <v>0</v>
      </c>
    </row>
    <row r="28" spans="2:8" s="3" customFormat="1" ht="20" customHeight="1">
      <c r="B28" s="2">
        <f>IFERROR(INDEX(البيانات_الأساسية!A:A, MATCH(16, البيانات_الأساسية!$I:$I, 0)), "")</f>
        <v>0</v>
      </c>
      <c r="C28" s="2">
        <f>IFERROR(INDEX(البيانات_الأساسية!B:B, MATCH(16, البيانات_الأساسية!$I:$I, 0)), "")</f>
        <v>0</v>
      </c>
      <c r="D28" s="2">
        <f>IFERROR(INDEX(البيانات_الأساسية!C:C, MATCH(16, البيانات_الأساسية!$I:$I, 0)), "")</f>
        <v>0</v>
      </c>
      <c r="E28" s="2">
        <f>IFERROR(INDEX(البيانات_الأساسية!D:D, MATCH(16, البيانات_الأساسية!$I:$I, 0)), "")</f>
        <v>0</v>
      </c>
      <c r="F28" s="2">
        <f>IFERROR(INDEX(البيانات_الأساسية!E:E, MATCH(16, البيانات_الأساسية!$I:$I, 0)), "")</f>
        <v>0</v>
      </c>
      <c r="G28" s="2">
        <f>IFERROR(INDEX(البيانات_الأساسية!F:F, MATCH(16, البيانات_الأساسية!$I:$I, 0)), "")</f>
        <v>0</v>
      </c>
      <c r="H28" s="2">
        <f>IFERROR(INDEX(البيانات_الأساسية!G:G, MATCH(16, البيانات_الأساسية!$I:$I, 0)), "")</f>
        <v>0</v>
      </c>
    </row>
    <row r="29" spans="2:8" s="3" customFormat="1" ht="20" customHeight="1">
      <c r="B29" s="2">
        <f>IFERROR(INDEX(البيانات_الأساسية!A:A, MATCH(17, البيانات_الأساسية!$I:$I, 0)), "")</f>
        <v>0</v>
      </c>
      <c r="C29" s="2">
        <f>IFERROR(INDEX(البيانات_الأساسية!B:B, MATCH(17, البيانات_الأساسية!$I:$I, 0)), "")</f>
        <v>0</v>
      </c>
      <c r="D29" s="2">
        <f>IFERROR(INDEX(البيانات_الأساسية!C:C, MATCH(17, البيانات_الأساسية!$I:$I, 0)), "")</f>
        <v>0</v>
      </c>
      <c r="E29" s="2">
        <f>IFERROR(INDEX(البيانات_الأساسية!D:D, MATCH(17, البيانات_الأساسية!$I:$I, 0)), "")</f>
        <v>0</v>
      </c>
      <c r="F29" s="2">
        <f>IFERROR(INDEX(البيانات_الأساسية!E:E, MATCH(17, البيانات_الأساسية!$I:$I, 0)), "")</f>
        <v>0</v>
      </c>
      <c r="G29" s="2">
        <f>IFERROR(INDEX(البيانات_الأساسية!F:F, MATCH(17, البيانات_الأساسية!$I:$I, 0)), "")</f>
        <v>0</v>
      </c>
      <c r="H29" s="2">
        <f>IFERROR(INDEX(البيانات_الأساسية!G:G, MATCH(17, البيانات_الأساسية!$I:$I, 0)), "")</f>
        <v>0</v>
      </c>
    </row>
    <row r="30" spans="2:8" s="3" customFormat="1" ht="20" customHeight="1">
      <c r="B30" s="2">
        <f>IFERROR(INDEX(البيانات_الأساسية!A:A, MATCH(18, البيانات_الأساسية!$I:$I, 0)), "")</f>
        <v>0</v>
      </c>
      <c r="C30" s="2">
        <f>IFERROR(INDEX(البيانات_الأساسية!B:B, MATCH(18, البيانات_الأساسية!$I:$I, 0)), "")</f>
        <v>0</v>
      </c>
      <c r="D30" s="2">
        <f>IFERROR(INDEX(البيانات_الأساسية!C:C, MATCH(18, البيانات_الأساسية!$I:$I, 0)), "")</f>
        <v>0</v>
      </c>
      <c r="E30" s="2">
        <f>IFERROR(INDEX(البيانات_الأساسية!D:D, MATCH(18, البيانات_الأساسية!$I:$I, 0)), "")</f>
        <v>0</v>
      </c>
      <c r="F30" s="2">
        <f>IFERROR(INDEX(البيانات_الأساسية!E:E, MATCH(18, البيانات_الأساسية!$I:$I, 0)), "")</f>
        <v>0</v>
      </c>
      <c r="G30" s="2">
        <f>IFERROR(INDEX(البيانات_الأساسية!F:F, MATCH(18, البيانات_الأساسية!$I:$I, 0)), "")</f>
        <v>0</v>
      </c>
      <c r="H30" s="2">
        <f>IFERROR(INDEX(البيانات_الأساسية!G:G, MATCH(18, البيانات_الأساسية!$I:$I, 0)), "")</f>
        <v>0</v>
      </c>
    </row>
    <row r="31" spans="2:8" s="3" customFormat="1" ht="20" customHeight="1">
      <c r="B31" s="2">
        <f>IFERROR(INDEX(البيانات_الأساسية!A:A, MATCH(19, البيانات_الأساسية!$I:$I, 0)), "")</f>
        <v>0</v>
      </c>
      <c r="C31" s="2">
        <f>IFERROR(INDEX(البيانات_الأساسية!B:B, MATCH(19, البيانات_الأساسية!$I:$I, 0)), "")</f>
        <v>0</v>
      </c>
      <c r="D31" s="2">
        <f>IFERROR(INDEX(البيانات_الأساسية!C:C, MATCH(19, البيانات_الأساسية!$I:$I, 0)), "")</f>
        <v>0</v>
      </c>
      <c r="E31" s="2">
        <f>IFERROR(INDEX(البيانات_الأساسية!D:D, MATCH(19, البيانات_الأساسية!$I:$I, 0)), "")</f>
        <v>0</v>
      </c>
      <c r="F31" s="2">
        <f>IFERROR(INDEX(البيانات_الأساسية!E:E, MATCH(19, البيانات_الأساسية!$I:$I, 0)), "")</f>
        <v>0</v>
      </c>
      <c r="G31" s="2">
        <f>IFERROR(INDEX(البيانات_الأساسية!F:F, MATCH(19, البيانات_الأساسية!$I:$I, 0)), "")</f>
        <v>0</v>
      </c>
      <c r="H31" s="2">
        <f>IFERROR(INDEX(البيانات_الأساسية!G:G, MATCH(19, البيانات_الأساسية!$I:$I, 0)), "")</f>
        <v>0</v>
      </c>
    </row>
    <row r="32" spans="2:8" s="3" customFormat="1" ht="20" customHeight="1">
      <c r="B32" s="2">
        <f>IFERROR(INDEX(البيانات_الأساسية!A:A, MATCH(20, البيانات_الأساسية!$I:$I, 0)), "")</f>
        <v>0</v>
      </c>
      <c r="C32" s="2">
        <f>IFERROR(INDEX(البيانات_الأساسية!B:B, MATCH(20, البيانات_الأساسية!$I:$I, 0)), "")</f>
        <v>0</v>
      </c>
      <c r="D32" s="2">
        <f>IFERROR(INDEX(البيانات_الأساسية!C:C, MATCH(20, البيانات_الأساسية!$I:$I, 0)), "")</f>
        <v>0</v>
      </c>
      <c r="E32" s="2">
        <f>IFERROR(INDEX(البيانات_الأساسية!D:D, MATCH(20, البيانات_الأساسية!$I:$I, 0)), "")</f>
        <v>0</v>
      </c>
      <c r="F32" s="2">
        <f>IFERROR(INDEX(البيانات_الأساسية!E:E, MATCH(20, البيانات_الأساسية!$I:$I, 0)), "")</f>
        <v>0</v>
      </c>
      <c r="G32" s="2">
        <f>IFERROR(INDEX(البيانات_الأساسية!F:F, MATCH(20, البيانات_الأساسية!$I:$I, 0)), "")</f>
        <v>0</v>
      </c>
      <c r="H32" s="2">
        <f>IFERROR(INDEX(البيانات_الأساسية!G:G, MATCH(20, البيانات_الأساسية!$I:$I, 0)), "")</f>
        <v>0</v>
      </c>
    </row>
    <row r="33" spans="2:8" s="3" customFormat="1" ht="20" customHeight="1">
      <c r="B33" s="2">
        <f>IFERROR(INDEX(البيانات_الأساسية!A:A, MATCH(21, البيانات_الأساسية!$I:$I, 0)), "")</f>
        <v>0</v>
      </c>
      <c r="C33" s="2">
        <f>IFERROR(INDEX(البيانات_الأساسية!B:B, MATCH(21, البيانات_الأساسية!$I:$I, 0)), "")</f>
        <v>0</v>
      </c>
      <c r="D33" s="2">
        <f>IFERROR(INDEX(البيانات_الأساسية!C:C, MATCH(21, البيانات_الأساسية!$I:$I, 0)), "")</f>
        <v>0</v>
      </c>
      <c r="E33" s="2">
        <f>IFERROR(INDEX(البيانات_الأساسية!D:D, MATCH(21, البيانات_الأساسية!$I:$I, 0)), "")</f>
        <v>0</v>
      </c>
      <c r="F33" s="2">
        <f>IFERROR(INDEX(البيانات_الأساسية!E:E, MATCH(21, البيانات_الأساسية!$I:$I, 0)), "")</f>
        <v>0</v>
      </c>
      <c r="G33" s="2">
        <f>IFERROR(INDEX(البيانات_الأساسية!F:F, MATCH(21, البيانات_الأساسية!$I:$I, 0)), "")</f>
        <v>0</v>
      </c>
      <c r="H33" s="2">
        <f>IFERROR(INDEX(البيانات_الأساسية!G:G, MATCH(21, البيانات_الأساسية!$I:$I, 0)), "")</f>
        <v>0</v>
      </c>
    </row>
    <row r="34" spans="2:8" s="3" customFormat="1" ht="20" customHeight="1">
      <c r="B34" s="2">
        <f>IFERROR(INDEX(البيانات_الأساسية!A:A, MATCH(22, البيانات_الأساسية!$I:$I, 0)), "")</f>
        <v>0</v>
      </c>
      <c r="C34" s="2">
        <f>IFERROR(INDEX(البيانات_الأساسية!B:B, MATCH(22, البيانات_الأساسية!$I:$I, 0)), "")</f>
        <v>0</v>
      </c>
      <c r="D34" s="2">
        <f>IFERROR(INDEX(البيانات_الأساسية!C:C, MATCH(22, البيانات_الأساسية!$I:$I, 0)), "")</f>
        <v>0</v>
      </c>
      <c r="E34" s="2">
        <f>IFERROR(INDEX(البيانات_الأساسية!D:D, MATCH(22, البيانات_الأساسية!$I:$I, 0)), "")</f>
        <v>0</v>
      </c>
      <c r="F34" s="2">
        <f>IFERROR(INDEX(البيانات_الأساسية!E:E, MATCH(22, البيانات_الأساسية!$I:$I, 0)), "")</f>
        <v>0</v>
      </c>
      <c r="G34" s="2">
        <f>IFERROR(INDEX(البيانات_الأساسية!F:F, MATCH(22, البيانات_الأساسية!$I:$I, 0)), "")</f>
        <v>0</v>
      </c>
      <c r="H34" s="2">
        <f>IFERROR(INDEX(البيانات_الأساسية!G:G, MATCH(22, البيانات_الأساسية!$I:$I, 0)), "")</f>
        <v>0</v>
      </c>
    </row>
    <row r="35" spans="2:8" s="3" customFormat="1" ht="20" customHeight="1">
      <c r="B35" s="2">
        <f>IFERROR(INDEX(البيانات_الأساسية!A:A, MATCH(23, البيانات_الأساسية!$I:$I, 0)), "")</f>
        <v>0</v>
      </c>
      <c r="C35" s="2">
        <f>IFERROR(INDEX(البيانات_الأساسية!B:B, MATCH(23, البيانات_الأساسية!$I:$I, 0)), "")</f>
        <v>0</v>
      </c>
      <c r="D35" s="2">
        <f>IFERROR(INDEX(البيانات_الأساسية!C:C, MATCH(23, البيانات_الأساسية!$I:$I, 0)), "")</f>
        <v>0</v>
      </c>
      <c r="E35" s="2">
        <f>IFERROR(INDEX(البيانات_الأساسية!D:D, MATCH(23, البيانات_الأساسية!$I:$I, 0)), "")</f>
        <v>0</v>
      </c>
      <c r="F35" s="2">
        <f>IFERROR(INDEX(البيانات_الأساسية!E:E, MATCH(23, البيانات_الأساسية!$I:$I, 0)), "")</f>
        <v>0</v>
      </c>
      <c r="G35" s="2">
        <f>IFERROR(INDEX(البيانات_الأساسية!F:F, MATCH(23, البيانات_الأساسية!$I:$I, 0)), "")</f>
        <v>0</v>
      </c>
      <c r="H35" s="2">
        <f>IFERROR(INDEX(البيانات_الأساسية!G:G, MATCH(23, البيانات_الأساسية!$I:$I, 0)), "")</f>
        <v>0</v>
      </c>
    </row>
    <row r="36" spans="2:8" s="3" customFormat="1" ht="20" customHeight="1">
      <c r="B36" s="2">
        <f>IFERROR(INDEX(البيانات_الأساسية!A:A, MATCH(24, البيانات_الأساسية!$I:$I, 0)), "")</f>
        <v>0</v>
      </c>
      <c r="C36" s="2">
        <f>IFERROR(INDEX(البيانات_الأساسية!B:B, MATCH(24, البيانات_الأساسية!$I:$I, 0)), "")</f>
        <v>0</v>
      </c>
      <c r="D36" s="2">
        <f>IFERROR(INDEX(البيانات_الأساسية!C:C, MATCH(24, البيانات_الأساسية!$I:$I, 0)), "")</f>
        <v>0</v>
      </c>
      <c r="E36" s="2">
        <f>IFERROR(INDEX(البيانات_الأساسية!D:D, MATCH(24, البيانات_الأساسية!$I:$I, 0)), "")</f>
        <v>0</v>
      </c>
      <c r="F36" s="2">
        <f>IFERROR(INDEX(البيانات_الأساسية!E:E, MATCH(24, البيانات_الأساسية!$I:$I, 0)), "")</f>
        <v>0</v>
      </c>
      <c r="G36" s="2">
        <f>IFERROR(INDEX(البيانات_الأساسية!F:F, MATCH(24, البيانات_الأساسية!$I:$I, 0)), "")</f>
        <v>0</v>
      </c>
      <c r="H36" s="2">
        <f>IFERROR(INDEX(البيانات_الأساسية!G:G, MATCH(24, البيانات_الأساسية!$I:$I, 0)), "")</f>
        <v>0</v>
      </c>
    </row>
    <row r="37" spans="2:8" s="3" customFormat="1" ht="20" customHeight="1">
      <c r="B37" s="2">
        <f>IFERROR(INDEX(البيانات_الأساسية!A:A, MATCH(25, البيانات_الأساسية!$I:$I, 0)), "")</f>
        <v>0</v>
      </c>
      <c r="C37" s="2">
        <f>IFERROR(INDEX(البيانات_الأساسية!B:B, MATCH(25, البيانات_الأساسية!$I:$I, 0)), "")</f>
        <v>0</v>
      </c>
      <c r="D37" s="2">
        <f>IFERROR(INDEX(البيانات_الأساسية!C:C, MATCH(25, البيانات_الأساسية!$I:$I, 0)), "")</f>
        <v>0</v>
      </c>
      <c r="E37" s="2">
        <f>IFERROR(INDEX(البيانات_الأساسية!D:D, MATCH(25, البيانات_الأساسية!$I:$I, 0)), "")</f>
        <v>0</v>
      </c>
      <c r="F37" s="2">
        <f>IFERROR(INDEX(البيانات_الأساسية!E:E, MATCH(25, البيانات_الأساسية!$I:$I, 0)), "")</f>
        <v>0</v>
      </c>
      <c r="G37" s="2">
        <f>IFERROR(INDEX(البيانات_الأساسية!F:F, MATCH(25, البيانات_الأساسية!$I:$I, 0)), "")</f>
        <v>0</v>
      </c>
      <c r="H37" s="2">
        <f>IFERROR(INDEX(البيانات_الأساسية!G:G, MATCH(25, البيانات_الأساسية!$I:$I, 0)), "")</f>
        <v>0</v>
      </c>
    </row>
    <row r="38" spans="2:8" s="3" customFormat="1" ht="20" customHeight="1">
      <c r="B38" s="2">
        <f>IFERROR(INDEX(البيانات_الأساسية!A:A, MATCH(26, البيانات_الأساسية!$I:$I, 0)), "")</f>
        <v>0</v>
      </c>
      <c r="C38" s="2">
        <f>IFERROR(INDEX(البيانات_الأساسية!B:B, MATCH(26, البيانات_الأساسية!$I:$I, 0)), "")</f>
        <v>0</v>
      </c>
      <c r="D38" s="2">
        <f>IFERROR(INDEX(البيانات_الأساسية!C:C, MATCH(26, البيانات_الأساسية!$I:$I, 0)), "")</f>
        <v>0</v>
      </c>
      <c r="E38" s="2">
        <f>IFERROR(INDEX(البيانات_الأساسية!D:D, MATCH(26, البيانات_الأساسية!$I:$I, 0)), "")</f>
        <v>0</v>
      </c>
      <c r="F38" s="2">
        <f>IFERROR(INDEX(البيانات_الأساسية!E:E, MATCH(26, البيانات_الأساسية!$I:$I, 0)), "")</f>
        <v>0</v>
      </c>
      <c r="G38" s="2">
        <f>IFERROR(INDEX(البيانات_الأساسية!F:F, MATCH(26, البيانات_الأساسية!$I:$I, 0)), "")</f>
        <v>0</v>
      </c>
      <c r="H38" s="2">
        <f>IFERROR(INDEX(البيانات_الأساسية!G:G, MATCH(26, البيانات_الأساسية!$I:$I, 0)), "")</f>
        <v>0</v>
      </c>
    </row>
    <row r="39" spans="2:8" s="3" customFormat="1" ht="20" customHeight="1">
      <c r="B39" s="2">
        <f>IFERROR(INDEX(البيانات_الأساسية!A:A, MATCH(27, البيانات_الأساسية!$I:$I, 0)), "")</f>
        <v>0</v>
      </c>
      <c r="C39" s="2">
        <f>IFERROR(INDEX(البيانات_الأساسية!B:B, MATCH(27, البيانات_الأساسية!$I:$I, 0)), "")</f>
        <v>0</v>
      </c>
      <c r="D39" s="2">
        <f>IFERROR(INDEX(البيانات_الأساسية!C:C, MATCH(27, البيانات_الأساسية!$I:$I, 0)), "")</f>
        <v>0</v>
      </c>
      <c r="E39" s="2">
        <f>IFERROR(INDEX(البيانات_الأساسية!D:D, MATCH(27, البيانات_الأساسية!$I:$I, 0)), "")</f>
        <v>0</v>
      </c>
      <c r="F39" s="2">
        <f>IFERROR(INDEX(البيانات_الأساسية!E:E, MATCH(27, البيانات_الأساسية!$I:$I, 0)), "")</f>
        <v>0</v>
      </c>
      <c r="G39" s="2">
        <f>IFERROR(INDEX(البيانات_الأساسية!F:F, MATCH(27, البيانات_الأساسية!$I:$I, 0)), "")</f>
        <v>0</v>
      </c>
      <c r="H39" s="2">
        <f>IFERROR(INDEX(البيانات_الأساسية!G:G, MATCH(27, البيانات_الأساسية!$I:$I, 0)), "")</f>
        <v>0</v>
      </c>
    </row>
    <row r="40" spans="2:8" s="3" customFormat="1" ht="20" customHeight="1">
      <c r="B40" s="2">
        <f>IFERROR(INDEX(البيانات_الأساسية!A:A, MATCH(28, البيانات_الأساسية!$I:$I, 0)), "")</f>
        <v>0</v>
      </c>
      <c r="C40" s="2">
        <f>IFERROR(INDEX(البيانات_الأساسية!B:B, MATCH(28, البيانات_الأساسية!$I:$I, 0)), "")</f>
        <v>0</v>
      </c>
      <c r="D40" s="2">
        <f>IFERROR(INDEX(البيانات_الأساسية!C:C, MATCH(28, البيانات_الأساسية!$I:$I, 0)), "")</f>
        <v>0</v>
      </c>
      <c r="E40" s="2">
        <f>IFERROR(INDEX(البيانات_الأساسية!D:D, MATCH(28, البيانات_الأساسية!$I:$I, 0)), "")</f>
        <v>0</v>
      </c>
      <c r="F40" s="2">
        <f>IFERROR(INDEX(البيانات_الأساسية!E:E, MATCH(28, البيانات_الأساسية!$I:$I, 0)), "")</f>
        <v>0</v>
      </c>
      <c r="G40" s="2">
        <f>IFERROR(INDEX(البيانات_الأساسية!F:F, MATCH(28, البيانات_الأساسية!$I:$I, 0)), "")</f>
        <v>0</v>
      </c>
      <c r="H40" s="2">
        <f>IFERROR(INDEX(البيانات_الأساسية!G:G, MATCH(28, البيانات_الأساسية!$I:$I, 0)), "")</f>
        <v>0</v>
      </c>
    </row>
    <row r="41" spans="2:8" s="3" customFormat="1" ht="20" customHeight="1">
      <c r="B41" s="2">
        <f>IFERROR(INDEX(البيانات_الأساسية!A:A, MATCH(29, البيانات_الأساسية!$I:$I, 0)), "")</f>
        <v>0</v>
      </c>
      <c r="C41" s="2">
        <f>IFERROR(INDEX(البيانات_الأساسية!B:B, MATCH(29, البيانات_الأساسية!$I:$I, 0)), "")</f>
        <v>0</v>
      </c>
      <c r="D41" s="2">
        <f>IFERROR(INDEX(البيانات_الأساسية!C:C, MATCH(29, البيانات_الأساسية!$I:$I, 0)), "")</f>
        <v>0</v>
      </c>
      <c r="E41" s="2">
        <f>IFERROR(INDEX(البيانات_الأساسية!D:D, MATCH(29, البيانات_الأساسية!$I:$I, 0)), "")</f>
        <v>0</v>
      </c>
      <c r="F41" s="2">
        <f>IFERROR(INDEX(البيانات_الأساسية!E:E, MATCH(29, البيانات_الأساسية!$I:$I, 0)), "")</f>
        <v>0</v>
      </c>
      <c r="G41" s="2">
        <f>IFERROR(INDEX(البيانات_الأساسية!F:F, MATCH(29, البيانات_الأساسية!$I:$I, 0)), "")</f>
        <v>0</v>
      </c>
      <c r="H41" s="2">
        <f>IFERROR(INDEX(البيانات_الأساسية!G:G, MATCH(29, البيانات_الأساسية!$I:$I, 0)), "")</f>
        <v>0</v>
      </c>
    </row>
    <row r="42" spans="2:8" s="3" customFormat="1" ht="20" customHeight="1">
      <c r="B42" s="2">
        <f>IFERROR(INDEX(البيانات_الأساسية!A:A, MATCH(30, البيانات_الأساسية!$I:$I, 0)), "")</f>
        <v>0</v>
      </c>
      <c r="C42" s="2">
        <f>IFERROR(INDEX(البيانات_الأساسية!B:B, MATCH(30, البيانات_الأساسية!$I:$I, 0)), "")</f>
        <v>0</v>
      </c>
      <c r="D42" s="2">
        <f>IFERROR(INDEX(البيانات_الأساسية!C:C, MATCH(30, البيانات_الأساسية!$I:$I, 0)), "")</f>
        <v>0</v>
      </c>
      <c r="E42" s="2">
        <f>IFERROR(INDEX(البيانات_الأساسية!D:D, MATCH(30, البيانات_الأساسية!$I:$I, 0)), "")</f>
        <v>0</v>
      </c>
      <c r="F42" s="2">
        <f>IFERROR(INDEX(البيانات_الأساسية!E:E, MATCH(30, البيانات_الأساسية!$I:$I, 0)), "")</f>
        <v>0</v>
      </c>
      <c r="G42" s="2">
        <f>IFERROR(INDEX(البيانات_الأساسية!F:F, MATCH(30, البيانات_الأساسية!$I:$I, 0)), "")</f>
        <v>0</v>
      </c>
      <c r="H42" s="2">
        <f>IFERROR(INDEX(البيانات_الأساسية!G:G, MATCH(30, البيانات_الأساسية!$I:$I, 0)), "")</f>
        <v>0</v>
      </c>
    </row>
    <row r="43" spans="2:8" s="3" customFormat="1" ht="20" customHeight="1">
      <c r="B43" s="2">
        <f>IFERROR(INDEX(البيانات_الأساسية!A:A, MATCH(31, البيانات_الأساسية!$I:$I, 0)), "")</f>
        <v>0</v>
      </c>
      <c r="C43" s="2">
        <f>IFERROR(INDEX(البيانات_الأساسية!B:B, MATCH(31, البيانات_الأساسية!$I:$I, 0)), "")</f>
        <v>0</v>
      </c>
      <c r="D43" s="2">
        <f>IFERROR(INDEX(البيانات_الأساسية!C:C, MATCH(31, البيانات_الأساسية!$I:$I, 0)), "")</f>
        <v>0</v>
      </c>
      <c r="E43" s="2">
        <f>IFERROR(INDEX(البيانات_الأساسية!D:D, MATCH(31, البيانات_الأساسية!$I:$I, 0)), "")</f>
        <v>0</v>
      </c>
      <c r="F43" s="2">
        <f>IFERROR(INDEX(البيانات_الأساسية!E:E, MATCH(31, البيانات_الأساسية!$I:$I, 0)), "")</f>
        <v>0</v>
      </c>
      <c r="G43" s="2">
        <f>IFERROR(INDEX(البيانات_الأساسية!F:F, MATCH(31, البيانات_الأساسية!$I:$I, 0)), "")</f>
        <v>0</v>
      </c>
      <c r="H43" s="2">
        <f>IFERROR(INDEX(البيانات_الأساسية!G:G, MATCH(31, البيانات_الأساسية!$I:$I, 0)), "")</f>
        <v>0</v>
      </c>
    </row>
    <row r="44" spans="2:8" s="3" customFormat="1" ht="20" customHeight="1">
      <c r="B44" s="2">
        <f>IFERROR(INDEX(البيانات_الأساسية!A:A, MATCH(32, البيانات_الأساسية!$I:$I, 0)), "")</f>
        <v>0</v>
      </c>
      <c r="C44" s="2">
        <f>IFERROR(INDEX(البيانات_الأساسية!B:B, MATCH(32, البيانات_الأساسية!$I:$I, 0)), "")</f>
        <v>0</v>
      </c>
      <c r="D44" s="2">
        <f>IFERROR(INDEX(البيانات_الأساسية!C:C, MATCH(32, البيانات_الأساسية!$I:$I, 0)), "")</f>
        <v>0</v>
      </c>
      <c r="E44" s="2">
        <f>IFERROR(INDEX(البيانات_الأساسية!D:D, MATCH(32, البيانات_الأساسية!$I:$I, 0)), "")</f>
        <v>0</v>
      </c>
      <c r="F44" s="2">
        <f>IFERROR(INDEX(البيانات_الأساسية!E:E, MATCH(32, البيانات_الأساسية!$I:$I, 0)), "")</f>
        <v>0</v>
      </c>
      <c r="G44" s="2">
        <f>IFERROR(INDEX(البيانات_الأساسية!F:F, MATCH(32, البيانات_الأساسية!$I:$I, 0)), "")</f>
        <v>0</v>
      </c>
      <c r="H44" s="2">
        <f>IFERROR(INDEX(البيانات_الأساسية!G:G, MATCH(32, البيانات_الأساسية!$I:$I, 0)), "")</f>
        <v>0</v>
      </c>
    </row>
    <row r="45" spans="2:8" s="3" customFormat="1" ht="20" customHeight="1">
      <c r="B45" s="2">
        <f>IFERROR(INDEX(البيانات_الأساسية!A:A, MATCH(33, البيانات_الأساسية!$I:$I, 0)), "")</f>
        <v>0</v>
      </c>
      <c r="C45" s="2">
        <f>IFERROR(INDEX(البيانات_الأساسية!B:B, MATCH(33, البيانات_الأساسية!$I:$I, 0)), "")</f>
        <v>0</v>
      </c>
      <c r="D45" s="2">
        <f>IFERROR(INDEX(البيانات_الأساسية!C:C, MATCH(33, البيانات_الأساسية!$I:$I, 0)), "")</f>
        <v>0</v>
      </c>
      <c r="E45" s="2">
        <f>IFERROR(INDEX(البيانات_الأساسية!D:D, MATCH(33, البيانات_الأساسية!$I:$I, 0)), "")</f>
        <v>0</v>
      </c>
      <c r="F45" s="2">
        <f>IFERROR(INDEX(البيانات_الأساسية!E:E, MATCH(33, البيانات_الأساسية!$I:$I, 0)), "")</f>
        <v>0</v>
      </c>
      <c r="G45" s="2">
        <f>IFERROR(INDEX(البيانات_الأساسية!F:F, MATCH(33, البيانات_الأساسية!$I:$I, 0)), "")</f>
        <v>0</v>
      </c>
      <c r="H45" s="2">
        <f>IFERROR(INDEX(البيانات_الأساسية!G:G, MATCH(33, البيانات_الأساسية!$I:$I, 0)), "")</f>
        <v>0</v>
      </c>
    </row>
    <row r="46" spans="2:8" s="3" customFormat="1" ht="20" customHeight="1">
      <c r="B46" s="2">
        <f>IFERROR(INDEX(البيانات_الأساسية!A:A, MATCH(34, البيانات_الأساسية!$I:$I, 0)), "")</f>
        <v>0</v>
      </c>
      <c r="C46" s="2">
        <f>IFERROR(INDEX(البيانات_الأساسية!B:B, MATCH(34, البيانات_الأساسية!$I:$I, 0)), "")</f>
        <v>0</v>
      </c>
      <c r="D46" s="2">
        <f>IFERROR(INDEX(البيانات_الأساسية!C:C, MATCH(34, البيانات_الأساسية!$I:$I, 0)), "")</f>
        <v>0</v>
      </c>
      <c r="E46" s="2">
        <f>IFERROR(INDEX(البيانات_الأساسية!D:D, MATCH(34, البيانات_الأساسية!$I:$I, 0)), "")</f>
        <v>0</v>
      </c>
      <c r="F46" s="2">
        <f>IFERROR(INDEX(البيانات_الأساسية!E:E, MATCH(34, البيانات_الأساسية!$I:$I, 0)), "")</f>
        <v>0</v>
      </c>
      <c r="G46" s="2">
        <f>IFERROR(INDEX(البيانات_الأساسية!F:F, MATCH(34, البيانات_الأساسية!$I:$I, 0)), "")</f>
        <v>0</v>
      </c>
      <c r="H46" s="2">
        <f>IFERROR(INDEX(البيانات_الأساسية!G:G, MATCH(34, البيانات_الأساسية!$I:$I, 0)), "")</f>
        <v>0</v>
      </c>
    </row>
    <row r="47" spans="2:8" s="3" customFormat="1" ht="20" customHeight="1">
      <c r="B47" s="2">
        <f>IFERROR(INDEX(البيانات_الأساسية!A:A, MATCH(35, البيانات_الأساسية!$I:$I, 0)), "")</f>
        <v>0</v>
      </c>
      <c r="C47" s="2">
        <f>IFERROR(INDEX(البيانات_الأساسية!B:B, MATCH(35, البيانات_الأساسية!$I:$I, 0)), "")</f>
        <v>0</v>
      </c>
      <c r="D47" s="2">
        <f>IFERROR(INDEX(البيانات_الأساسية!C:C, MATCH(35, البيانات_الأساسية!$I:$I, 0)), "")</f>
        <v>0</v>
      </c>
      <c r="E47" s="2">
        <f>IFERROR(INDEX(البيانات_الأساسية!D:D, MATCH(35, البيانات_الأساسية!$I:$I, 0)), "")</f>
        <v>0</v>
      </c>
      <c r="F47" s="2">
        <f>IFERROR(INDEX(البيانات_الأساسية!E:E, MATCH(35, البيانات_الأساسية!$I:$I, 0)), "")</f>
        <v>0</v>
      </c>
      <c r="G47" s="2">
        <f>IFERROR(INDEX(البيانات_الأساسية!F:F, MATCH(35, البيانات_الأساسية!$I:$I, 0)), "")</f>
        <v>0</v>
      </c>
      <c r="H47" s="2">
        <f>IFERROR(INDEX(البيانات_الأساسية!G:G, MATCH(35, البيانات_الأساسية!$I:$I, 0)), "")</f>
        <v>0</v>
      </c>
    </row>
    <row r="48" spans="2:8" s="3" customFormat="1" ht="20" customHeight="1">
      <c r="B48" s="2">
        <f>IFERROR(INDEX(البيانات_الأساسية!A:A, MATCH(36, البيانات_الأساسية!$I:$I, 0)), "")</f>
        <v>0</v>
      </c>
      <c r="C48" s="2">
        <f>IFERROR(INDEX(البيانات_الأساسية!B:B, MATCH(36, البيانات_الأساسية!$I:$I, 0)), "")</f>
        <v>0</v>
      </c>
      <c r="D48" s="2">
        <f>IFERROR(INDEX(البيانات_الأساسية!C:C, MATCH(36, البيانات_الأساسية!$I:$I, 0)), "")</f>
        <v>0</v>
      </c>
      <c r="E48" s="2">
        <f>IFERROR(INDEX(البيانات_الأساسية!D:D, MATCH(36, البيانات_الأساسية!$I:$I, 0)), "")</f>
        <v>0</v>
      </c>
      <c r="F48" s="2">
        <f>IFERROR(INDEX(البيانات_الأساسية!E:E, MATCH(36, البيانات_الأساسية!$I:$I, 0)), "")</f>
        <v>0</v>
      </c>
      <c r="G48" s="2">
        <f>IFERROR(INDEX(البيانات_الأساسية!F:F, MATCH(36, البيانات_الأساسية!$I:$I, 0)), "")</f>
        <v>0</v>
      </c>
      <c r="H48" s="2">
        <f>IFERROR(INDEX(البيانات_الأساسية!G:G, MATCH(36, البيانات_الأساسية!$I:$I, 0)), "")</f>
        <v>0</v>
      </c>
    </row>
    <row r="49" spans="2:8" s="3" customFormat="1" ht="20" customHeight="1">
      <c r="B49" s="2">
        <f>IFERROR(INDEX(البيانات_الأساسية!A:A, MATCH(37, البيانات_الأساسية!$I:$I, 0)), "")</f>
        <v>0</v>
      </c>
      <c r="C49" s="2">
        <f>IFERROR(INDEX(البيانات_الأساسية!B:B, MATCH(37, البيانات_الأساسية!$I:$I, 0)), "")</f>
        <v>0</v>
      </c>
      <c r="D49" s="2">
        <f>IFERROR(INDEX(البيانات_الأساسية!C:C, MATCH(37, البيانات_الأساسية!$I:$I, 0)), "")</f>
        <v>0</v>
      </c>
      <c r="E49" s="2">
        <f>IFERROR(INDEX(البيانات_الأساسية!D:D, MATCH(37, البيانات_الأساسية!$I:$I, 0)), "")</f>
        <v>0</v>
      </c>
      <c r="F49" s="2">
        <f>IFERROR(INDEX(البيانات_الأساسية!E:E, MATCH(37, البيانات_الأساسية!$I:$I, 0)), "")</f>
        <v>0</v>
      </c>
      <c r="G49" s="2">
        <f>IFERROR(INDEX(البيانات_الأساسية!F:F, MATCH(37, البيانات_الأساسية!$I:$I, 0)), "")</f>
        <v>0</v>
      </c>
      <c r="H49" s="2">
        <f>IFERROR(INDEX(البيانات_الأساسية!G:G, MATCH(37, البيانات_الأساسية!$I:$I, 0)), "")</f>
        <v>0</v>
      </c>
    </row>
    <row r="50" spans="2:8" s="3" customFormat="1" ht="20" customHeight="1">
      <c r="B50" s="2">
        <f>IFERROR(INDEX(البيانات_الأساسية!A:A, MATCH(38, البيانات_الأساسية!$I:$I, 0)), "")</f>
        <v>0</v>
      </c>
      <c r="C50" s="2">
        <f>IFERROR(INDEX(البيانات_الأساسية!B:B, MATCH(38, البيانات_الأساسية!$I:$I, 0)), "")</f>
        <v>0</v>
      </c>
      <c r="D50" s="2">
        <f>IFERROR(INDEX(البيانات_الأساسية!C:C, MATCH(38, البيانات_الأساسية!$I:$I, 0)), "")</f>
        <v>0</v>
      </c>
      <c r="E50" s="2">
        <f>IFERROR(INDEX(البيانات_الأساسية!D:D, MATCH(38, البيانات_الأساسية!$I:$I, 0)), "")</f>
        <v>0</v>
      </c>
      <c r="F50" s="2">
        <f>IFERROR(INDEX(البيانات_الأساسية!E:E, MATCH(38, البيانات_الأساسية!$I:$I, 0)), "")</f>
        <v>0</v>
      </c>
      <c r="G50" s="2">
        <f>IFERROR(INDEX(البيانات_الأساسية!F:F, MATCH(38, البيانات_الأساسية!$I:$I, 0)), "")</f>
        <v>0</v>
      </c>
      <c r="H50" s="2">
        <f>IFERROR(INDEX(البيانات_الأساسية!G:G, MATCH(38, البيانات_الأساسية!$I:$I, 0)), "")</f>
        <v>0</v>
      </c>
    </row>
    <row r="51" spans="2:8" s="3" customFormat="1" ht="20" customHeight="1">
      <c r="B51" s="2">
        <f>IFERROR(INDEX(البيانات_الأساسية!A:A, MATCH(39, البيانات_الأساسية!$I:$I, 0)), "")</f>
        <v>0</v>
      </c>
      <c r="C51" s="2">
        <f>IFERROR(INDEX(البيانات_الأساسية!B:B, MATCH(39, البيانات_الأساسية!$I:$I, 0)), "")</f>
        <v>0</v>
      </c>
      <c r="D51" s="2">
        <f>IFERROR(INDEX(البيانات_الأساسية!C:C, MATCH(39, البيانات_الأساسية!$I:$I, 0)), "")</f>
        <v>0</v>
      </c>
      <c r="E51" s="2">
        <f>IFERROR(INDEX(البيانات_الأساسية!D:D, MATCH(39, البيانات_الأساسية!$I:$I, 0)), "")</f>
        <v>0</v>
      </c>
      <c r="F51" s="2">
        <f>IFERROR(INDEX(البيانات_الأساسية!E:E, MATCH(39, البيانات_الأساسية!$I:$I, 0)), "")</f>
        <v>0</v>
      </c>
      <c r="G51" s="2">
        <f>IFERROR(INDEX(البيانات_الأساسية!F:F, MATCH(39, البيانات_الأساسية!$I:$I, 0)), "")</f>
        <v>0</v>
      </c>
      <c r="H51" s="2">
        <f>IFERROR(INDEX(البيانات_الأساسية!G:G, MATCH(39, البيانات_الأساسية!$I:$I, 0)), "")</f>
        <v>0</v>
      </c>
    </row>
    <row r="52" spans="2:8" s="3" customFormat="1" ht="20" customHeight="1">
      <c r="B52" s="2">
        <f>IFERROR(INDEX(البيانات_الأساسية!A:A, MATCH(40, البيانات_الأساسية!$I:$I, 0)), "")</f>
        <v>0</v>
      </c>
      <c r="C52" s="2">
        <f>IFERROR(INDEX(البيانات_الأساسية!B:B, MATCH(40, البيانات_الأساسية!$I:$I, 0)), "")</f>
        <v>0</v>
      </c>
      <c r="D52" s="2">
        <f>IFERROR(INDEX(البيانات_الأساسية!C:C, MATCH(40, البيانات_الأساسية!$I:$I, 0)), "")</f>
        <v>0</v>
      </c>
      <c r="E52" s="2">
        <f>IFERROR(INDEX(البيانات_الأساسية!D:D, MATCH(40, البيانات_الأساسية!$I:$I, 0)), "")</f>
        <v>0</v>
      </c>
      <c r="F52" s="2">
        <f>IFERROR(INDEX(البيانات_الأساسية!E:E, MATCH(40, البيانات_الأساسية!$I:$I, 0)), "")</f>
        <v>0</v>
      </c>
      <c r="G52" s="2">
        <f>IFERROR(INDEX(البيانات_الأساسية!F:F, MATCH(40, البيانات_الأساسية!$I:$I, 0)), "")</f>
        <v>0</v>
      </c>
      <c r="H52" s="2">
        <f>IFERROR(INDEX(البيانات_الأساسية!G:G, MATCH(40, البيانات_الأساسية!$I:$I, 0)), "")</f>
        <v>0</v>
      </c>
    </row>
    <row r="53" spans="2:8" s="3" customFormat="1" ht="20" customHeight="1">
      <c r="B53" s="2">
        <f>IFERROR(INDEX(البيانات_الأساسية!A:A, MATCH(41, البيانات_الأساسية!$I:$I, 0)), "")</f>
        <v>0</v>
      </c>
      <c r="C53" s="2">
        <f>IFERROR(INDEX(البيانات_الأساسية!B:B, MATCH(41, البيانات_الأساسية!$I:$I, 0)), "")</f>
        <v>0</v>
      </c>
      <c r="D53" s="2">
        <f>IFERROR(INDEX(البيانات_الأساسية!C:C, MATCH(41, البيانات_الأساسية!$I:$I, 0)), "")</f>
        <v>0</v>
      </c>
      <c r="E53" s="2">
        <f>IFERROR(INDEX(البيانات_الأساسية!D:D, MATCH(41, البيانات_الأساسية!$I:$I, 0)), "")</f>
        <v>0</v>
      </c>
      <c r="F53" s="2">
        <f>IFERROR(INDEX(البيانات_الأساسية!E:E, MATCH(41, البيانات_الأساسية!$I:$I, 0)), "")</f>
        <v>0</v>
      </c>
      <c r="G53" s="2">
        <f>IFERROR(INDEX(البيانات_الأساسية!F:F, MATCH(41, البيانات_الأساسية!$I:$I, 0)), "")</f>
        <v>0</v>
      </c>
      <c r="H53" s="2">
        <f>IFERROR(INDEX(البيانات_الأساسية!G:G, MATCH(41, البيانات_الأساسية!$I:$I, 0)), "")</f>
        <v>0</v>
      </c>
    </row>
    <row r="54" spans="2:8" s="3" customFormat="1" ht="20" customHeight="1">
      <c r="B54" s="2">
        <f>IFERROR(INDEX(البيانات_الأساسية!A:A, MATCH(42, البيانات_الأساسية!$I:$I, 0)), "")</f>
        <v>0</v>
      </c>
      <c r="C54" s="2">
        <f>IFERROR(INDEX(البيانات_الأساسية!B:B, MATCH(42, البيانات_الأساسية!$I:$I, 0)), "")</f>
        <v>0</v>
      </c>
      <c r="D54" s="2">
        <f>IFERROR(INDEX(البيانات_الأساسية!C:C, MATCH(42, البيانات_الأساسية!$I:$I, 0)), "")</f>
        <v>0</v>
      </c>
      <c r="E54" s="2">
        <f>IFERROR(INDEX(البيانات_الأساسية!D:D, MATCH(42, البيانات_الأساسية!$I:$I, 0)), "")</f>
        <v>0</v>
      </c>
      <c r="F54" s="2">
        <f>IFERROR(INDEX(البيانات_الأساسية!E:E, MATCH(42, البيانات_الأساسية!$I:$I, 0)), "")</f>
        <v>0</v>
      </c>
      <c r="G54" s="2">
        <f>IFERROR(INDEX(البيانات_الأساسية!F:F, MATCH(42, البيانات_الأساسية!$I:$I, 0)), "")</f>
        <v>0</v>
      </c>
      <c r="H54" s="2">
        <f>IFERROR(INDEX(البيانات_الأساسية!G:G, MATCH(42, البيانات_الأساسية!$I:$I, 0)), "")</f>
        <v>0</v>
      </c>
    </row>
    <row r="55" spans="2:8" s="3" customFormat="1" ht="20" customHeight="1">
      <c r="B55" s="2">
        <f>IFERROR(INDEX(البيانات_الأساسية!A:A, MATCH(43, البيانات_الأساسية!$I:$I, 0)), "")</f>
        <v>0</v>
      </c>
      <c r="C55" s="2">
        <f>IFERROR(INDEX(البيانات_الأساسية!B:B, MATCH(43, البيانات_الأساسية!$I:$I, 0)), "")</f>
        <v>0</v>
      </c>
      <c r="D55" s="2">
        <f>IFERROR(INDEX(البيانات_الأساسية!C:C, MATCH(43, البيانات_الأساسية!$I:$I, 0)), "")</f>
        <v>0</v>
      </c>
      <c r="E55" s="2">
        <f>IFERROR(INDEX(البيانات_الأساسية!D:D, MATCH(43, البيانات_الأساسية!$I:$I, 0)), "")</f>
        <v>0</v>
      </c>
      <c r="F55" s="2">
        <f>IFERROR(INDEX(البيانات_الأساسية!E:E, MATCH(43, البيانات_الأساسية!$I:$I, 0)), "")</f>
        <v>0</v>
      </c>
      <c r="G55" s="2">
        <f>IFERROR(INDEX(البيانات_الأساسية!F:F, MATCH(43, البيانات_الأساسية!$I:$I, 0)), "")</f>
        <v>0</v>
      </c>
      <c r="H55" s="2">
        <f>IFERROR(INDEX(البيانات_الأساسية!G:G, MATCH(43, البيانات_الأساسية!$I:$I, 0)), "")</f>
        <v>0</v>
      </c>
    </row>
    <row r="56" spans="2:8" s="3" customFormat="1" ht="20" customHeight="1">
      <c r="B56" s="2">
        <f>IFERROR(INDEX(البيانات_الأساسية!A:A, MATCH(44, البيانات_الأساسية!$I:$I, 0)), "")</f>
        <v>0</v>
      </c>
      <c r="C56" s="2">
        <f>IFERROR(INDEX(البيانات_الأساسية!B:B, MATCH(44, البيانات_الأساسية!$I:$I, 0)), "")</f>
        <v>0</v>
      </c>
      <c r="D56" s="2">
        <f>IFERROR(INDEX(البيانات_الأساسية!C:C, MATCH(44, البيانات_الأساسية!$I:$I, 0)), "")</f>
        <v>0</v>
      </c>
      <c r="E56" s="2">
        <f>IFERROR(INDEX(البيانات_الأساسية!D:D, MATCH(44, البيانات_الأساسية!$I:$I, 0)), "")</f>
        <v>0</v>
      </c>
      <c r="F56" s="2">
        <f>IFERROR(INDEX(البيانات_الأساسية!E:E, MATCH(44, البيانات_الأساسية!$I:$I, 0)), "")</f>
        <v>0</v>
      </c>
      <c r="G56" s="2">
        <f>IFERROR(INDEX(البيانات_الأساسية!F:F, MATCH(44, البيانات_الأساسية!$I:$I, 0)), "")</f>
        <v>0</v>
      </c>
      <c r="H56" s="2">
        <f>IFERROR(INDEX(البيانات_الأساسية!G:G, MATCH(44, البيانات_الأساسية!$I:$I, 0)), "")</f>
        <v>0</v>
      </c>
    </row>
    <row r="57" spans="2:8" s="3" customFormat="1" ht="20" customHeight="1">
      <c r="B57" s="2">
        <f>IFERROR(INDEX(البيانات_الأساسية!A:A, MATCH(45, البيانات_الأساسية!$I:$I, 0)), "")</f>
        <v>0</v>
      </c>
      <c r="C57" s="2">
        <f>IFERROR(INDEX(البيانات_الأساسية!B:B, MATCH(45, البيانات_الأساسية!$I:$I, 0)), "")</f>
        <v>0</v>
      </c>
      <c r="D57" s="2">
        <f>IFERROR(INDEX(البيانات_الأساسية!C:C, MATCH(45, البيانات_الأساسية!$I:$I, 0)), "")</f>
        <v>0</v>
      </c>
      <c r="E57" s="2">
        <f>IFERROR(INDEX(البيانات_الأساسية!D:D, MATCH(45, البيانات_الأساسية!$I:$I, 0)), "")</f>
        <v>0</v>
      </c>
      <c r="F57" s="2">
        <f>IFERROR(INDEX(البيانات_الأساسية!E:E, MATCH(45, البيانات_الأساسية!$I:$I, 0)), "")</f>
        <v>0</v>
      </c>
      <c r="G57" s="2">
        <f>IFERROR(INDEX(البيانات_الأساسية!F:F, MATCH(45, البيانات_الأساسية!$I:$I, 0)), "")</f>
        <v>0</v>
      </c>
      <c r="H57" s="2">
        <f>IFERROR(INDEX(البيانات_الأساسية!G:G, MATCH(45, البيانات_الأساسية!$I:$I, 0)), "")</f>
        <v>0</v>
      </c>
    </row>
    <row r="58" spans="2:8" s="3" customFormat="1" ht="20" customHeight="1">
      <c r="B58" s="2">
        <f>IFERROR(INDEX(البيانات_الأساسية!A:A, MATCH(46, البيانات_الأساسية!$I:$I, 0)), "")</f>
        <v>0</v>
      </c>
      <c r="C58" s="2">
        <f>IFERROR(INDEX(البيانات_الأساسية!B:B, MATCH(46, البيانات_الأساسية!$I:$I, 0)), "")</f>
        <v>0</v>
      </c>
      <c r="D58" s="2">
        <f>IFERROR(INDEX(البيانات_الأساسية!C:C, MATCH(46, البيانات_الأساسية!$I:$I, 0)), "")</f>
        <v>0</v>
      </c>
      <c r="E58" s="2">
        <f>IFERROR(INDEX(البيانات_الأساسية!D:D, MATCH(46, البيانات_الأساسية!$I:$I, 0)), "")</f>
        <v>0</v>
      </c>
      <c r="F58" s="2">
        <f>IFERROR(INDEX(البيانات_الأساسية!E:E, MATCH(46, البيانات_الأساسية!$I:$I, 0)), "")</f>
        <v>0</v>
      </c>
      <c r="G58" s="2">
        <f>IFERROR(INDEX(البيانات_الأساسية!F:F, MATCH(46, البيانات_الأساسية!$I:$I, 0)), "")</f>
        <v>0</v>
      </c>
      <c r="H58" s="2">
        <f>IFERROR(INDEX(البيانات_الأساسية!G:G, MATCH(46, البيانات_الأساسية!$I:$I, 0)), "")</f>
        <v>0</v>
      </c>
    </row>
    <row r="59" spans="2:8" s="3" customFormat="1" ht="20" customHeight="1">
      <c r="B59" s="2">
        <f>IFERROR(INDEX(البيانات_الأساسية!A:A, MATCH(47, البيانات_الأساسية!$I:$I, 0)), "")</f>
        <v>0</v>
      </c>
      <c r="C59" s="2">
        <f>IFERROR(INDEX(البيانات_الأساسية!B:B, MATCH(47, البيانات_الأساسية!$I:$I, 0)), "")</f>
        <v>0</v>
      </c>
      <c r="D59" s="2">
        <f>IFERROR(INDEX(البيانات_الأساسية!C:C, MATCH(47, البيانات_الأساسية!$I:$I, 0)), "")</f>
        <v>0</v>
      </c>
      <c r="E59" s="2">
        <f>IFERROR(INDEX(البيانات_الأساسية!D:D, MATCH(47, البيانات_الأساسية!$I:$I, 0)), "")</f>
        <v>0</v>
      </c>
      <c r="F59" s="2">
        <f>IFERROR(INDEX(البيانات_الأساسية!E:E, MATCH(47, البيانات_الأساسية!$I:$I, 0)), "")</f>
        <v>0</v>
      </c>
      <c r="G59" s="2">
        <f>IFERROR(INDEX(البيانات_الأساسية!F:F, MATCH(47, البيانات_الأساسية!$I:$I, 0)), "")</f>
        <v>0</v>
      </c>
      <c r="H59" s="2">
        <f>IFERROR(INDEX(البيانات_الأساسية!G:G, MATCH(47, البيانات_الأساسية!$I:$I, 0)), "")</f>
        <v>0</v>
      </c>
    </row>
    <row r="60" spans="2:8" s="3" customFormat="1" ht="20" customHeight="1">
      <c r="B60" s="2">
        <f>IFERROR(INDEX(البيانات_الأساسية!A:A, MATCH(48, البيانات_الأساسية!$I:$I, 0)), "")</f>
        <v>0</v>
      </c>
      <c r="C60" s="2">
        <f>IFERROR(INDEX(البيانات_الأساسية!B:B, MATCH(48, البيانات_الأساسية!$I:$I, 0)), "")</f>
        <v>0</v>
      </c>
      <c r="D60" s="2">
        <f>IFERROR(INDEX(البيانات_الأساسية!C:C, MATCH(48, البيانات_الأساسية!$I:$I, 0)), "")</f>
        <v>0</v>
      </c>
      <c r="E60" s="2">
        <f>IFERROR(INDEX(البيانات_الأساسية!D:D, MATCH(48, البيانات_الأساسية!$I:$I, 0)), "")</f>
        <v>0</v>
      </c>
      <c r="F60" s="2">
        <f>IFERROR(INDEX(البيانات_الأساسية!E:E, MATCH(48, البيانات_الأساسية!$I:$I, 0)), "")</f>
        <v>0</v>
      </c>
      <c r="G60" s="2">
        <f>IFERROR(INDEX(البيانات_الأساسية!F:F, MATCH(48, البيانات_الأساسية!$I:$I, 0)), "")</f>
        <v>0</v>
      </c>
      <c r="H60" s="2">
        <f>IFERROR(INDEX(البيانات_الأساسية!G:G, MATCH(48, البيانات_الأساسية!$I:$I, 0)), "")</f>
        <v>0</v>
      </c>
    </row>
    <row r="61" spans="2:8" s="3" customFormat="1" ht="20" customHeight="1">
      <c r="B61" s="2">
        <f>IFERROR(INDEX(البيانات_الأساسية!A:A, MATCH(49, البيانات_الأساسية!$I:$I, 0)), "")</f>
        <v>0</v>
      </c>
      <c r="C61" s="2">
        <f>IFERROR(INDEX(البيانات_الأساسية!B:B, MATCH(49, البيانات_الأساسية!$I:$I, 0)), "")</f>
        <v>0</v>
      </c>
      <c r="D61" s="2">
        <f>IFERROR(INDEX(البيانات_الأساسية!C:C, MATCH(49, البيانات_الأساسية!$I:$I, 0)), "")</f>
        <v>0</v>
      </c>
      <c r="E61" s="2">
        <f>IFERROR(INDEX(البيانات_الأساسية!D:D, MATCH(49, البيانات_الأساسية!$I:$I, 0)), "")</f>
        <v>0</v>
      </c>
      <c r="F61" s="2">
        <f>IFERROR(INDEX(البيانات_الأساسية!E:E, MATCH(49, البيانات_الأساسية!$I:$I, 0)), "")</f>
        <v>0</v>
      </c>
      <c r="G61" s="2">
        <f>IFERROR(INDEX(البيانات_الأساسية!F:F, MATCH(49, البيانات_الأساسية!$I:$I, 0)), "")</f>
        <v>0</v>
      </c>
      <c r="H61" s="2">
        <f>IFERROR(INDEX(البيانات_الأساسية!G:G, MATCH(49, البيانات_الأساسية!$I:$I, 0)), "")</f>
        <v>0</v>
      </c>
    </row>
    <row r="62" spans="2:8" s="3" customFormat="1" ht="20" customHeight="1">
      <c r="B62" s="2">
        <f>IFERROR(INDEX(البيانات_الأساسية!A:A, MATCH(50, البيانات_الأساسية!$I:$I, 0)), "")</f>
        <v>0</v>
      </c>
      <c r="C62" s="2">
        <f>IFERROR(INDEX(البيانات_الأساسية!B:B, MATCH(50, البيانات_الأساسية!$I:$I, 0)), "")</f>
        <v>0</v>
      </c>
      <c r="D62" s="2">
        <f>IFERROR(INDEX(البيانات_الأساسية!C:C, MATCH(50, البيانات_الأساسية!$I:$I, 0)), "")</f>
        <v>0</v>
      </c>
      <c r="E62" s="2">
        <f>IFERROR(INDEX(البيانات_الأساسية!D:D, MATCH(50, البيانات_الأساسية!$I:$I, 0)), "")</f>
        <v>0</v>
      </c>
      <c r="F62" s="2">
        <f>IFERROR(INDEX(البيانات_الأساسية!E:E, MATCH(50, البيانات_الأساسية!$I:$I, 0)), "")</f>
        <v>0</v>
      </c>
      <c r="G62" s="2">
        <f>IFERROR(INDEX(البيانات_الأساسية!F:F, MATCH(50, البيانات_الأساسية!$I:$I, 0)), "")</f>
        <v>0</v>
      </c>
      <c r="H62" s="2">
        <f>IFERROR(INDEX(البيانات_الأساسية!G:G, MATCH(50, البيانات_الأساسية!$I:$I, 0)), "")</f>
        <v>0</v>
      </c>
    </row>
    <row r="63" spans="2:8" s="3" customFormat="1" ht="20" customHeight="1">
      <c r="B63" s="2">
        <f>IFERROR(INDEX(البيانات_الأساسية!A:A, MATCH(51, البيانات_الأساسية!$I:$I, 0)), "")</f>
        <v>0</v>
      </c>
      <c r="C63" s="2">
        <f>IFERROR(INDEX(البيانات_الأساسية!B:B, MATCH(51, البيانات_الأساسية!$I:$I, 0)), "")</f>
        <v>0</v>
      </c>
      <c r="D63" s="2">
        <f>IFERROR(INDEX(البيانات_الأساسية!C:C, MATCH(51, البيانات_الأساسية!$I:$I, 0)), "")</f>
        <v>0</v>
      </c>
      <c r="E63" s="2">
        <f>IFERROR(INDEX(البيانات_الأساسية!D:D, MATCH(51, البيانات_الأساسية!$I:$I, 0)), "")</f>
        <v>0</v>
      </c>
      <c r="F63" s="2">
        <f>IFERROR(INDEX(البيانات_الأساسية!E:E, MATCH(51, البيانات_الأساسية!$I:$I, 0)), "")</f>
        <v>0</v>
      </c>
      <c r="G63" s="2">
        <f>IFERROR(INDEX(البيانات_الأساسية!F:F, MATCH(51, البيانات_الأساسية!$I:$I, 0)), "")</f>
        <v>0</v>
      </c>
      <c r="H63" s="2">
        <f>IFERROR(INDEX(البيانات_الأساسية!G:G, MATCH(51, البيانات_الأساسية!$I:$I, 0)), "")</f>
        <v>0</v>
      </c>
    </row>
    <row r="64" spans="2:8" s="3" customFormat="1" ht="20" customHeight="1">
      <c r="B64" s="2">
        <f>IFERROR(INDEX(البيانات_الأساسية!A:A, MATCH(52, البيانات_الأساسية!$I:$I, 0)), "")</f>
        <v>0</v>
      </c>
      <c r="C64" s="2">
        <f>IFERROR(INDEX(البيانات_الأساسية!B:B, MATCH(52, البيانات_الأساسية!$I:$I, 0)), "")</f>
        <v>0</v>
      </c>
      <c r="D64" s="2">
        <f>IFERROR(INDEX(البيانات_الأساسية!C:C, MATCH(52, البيانات_الأساسية!$I:$I, 0)), "")</f>
        <v>0</v>
      </c>
      <c r="E64" s="2">
        <f>IFERROR(INDEX(البيانات_الأساسية!D:D, MATCH(52, البيانات_الأساسية!$I:$I, 0)), "")</f>
        <v>0</v>
      </c>
      <c r="F64" s="2">
        <f>IFERROR(INDEX(البيانات_الأساسية!E:E, MATCH(52, البيانات_الأساسية!$I:$I, 0)), "")</f>
        <v>0</v>
      </c>
      <c r="G64" s="2">
        <f>IFERROR(INDEX(البيانات_الأساسية!F:F, MATCH(52, البيانات_الأساسية!$I:$I, 0)), "")</f>
        <v>0</v>
      </c>
      <c r="H64" s="2">
        <f>IFERROR(INDEX(البيانات_الأساسية!G:G, MATCH(52, البيانات_الأساسية!$I:$I, 0)), "")</f>
        <v>0</v>
      </c>
    </row>
    <row r="65" spans="2:8" s="3" customFormat="1" ht="20" customHeight="1">
      <c r="B65" s="2">
        <f>IFERROR(INDEX(البيانات_الأساسية!A:A, MATCH(53, البيانات_الأساسية!$I:$I, 0)), "")</f>
        <v>0</v>
      </c>
      <c r="C65" s="2">
        <f>IFERROR(INDEX(البيانات_الأساسية!B:B, MATCH(53, البيانات_الأساسية!$I:$I, 0)), "")</f>
        <v>0</v>
      </c>
      <c r="D65" s="2">
        <f>IFERROR(INDEX(البيانات_الأساسية!C:C, MATCH(53, البيانات_الأساسية!$I:$I, 0)), "")</f>
        <v>0</v>
      </c>
      <c r="E65" s="2">
        <f>IFERROR(INDEX(البيانات_الأساسية!D:D, MATCH(53, البيانات_الأساسية!$I:$I, 0)), "")</f>
        <v>0</v>
      </c>
      <c r="F65" s="2">
        <f>IFERROR(INDEX(البيانات_الأساسية!E:E, MATCH(53, البيانات_الأساسية!$I:$I, 0)), "")</f>
        <v>0</v>
      </c>
      <c r="G65" s="2">
        <f>IFERROR(INDEX(البيانات_الأساسية!F:F, MATCH(53, البيانات_الأساسية!$I:$I, 0)), "")</f>
        <v>0</v>
      </c>
      <c r="H65" s="2">
        <f>IFERROR(INDEX(البيانات_الأساسية!G:G, MATCH(53, البيانات_الأساسية!$I:$I, 0)), "")</f>
        <v>0</v>
      </c>
    </row>
    <row r="66" spans="2:8" s="3" customFormat="1" ht="20" customHeight="1">
      <c r="B66" s="2">
        <f>IFERROR(INDEX(البيانات_الأساسية!A:A, MATCH(54, البيانات_الأساسية!$I:$I, 0)), "")</f>
        <v>0</v>
      </c>
      <c r="C66" s="2">
        <f>IFERROR(INDEX(البيانات_الأساسية!B:B, MATCH(54, البيانات_الأساسية!$I:$I, 0)), "")</f>
        <v>0</v>
      </c>
      <c r="D66" s="2">
        <f>IFERROR(INDEX(البيانات_الأساسية!C:C, MATCH(54, البيانات_الأساسية!$I:$I, 0)), "")</f>
        <v>0</v>
      </c>
      <c r="E66" s="2">
        <f>IFERROR(INDEX(البيانات_الأساسية!D:D, MATCH(54, البيانات_الأساسية!$I:$I, 0)), "")</f>
        <v>0</v>
      </c>
      <c r="F66" s="2">
        <f>IFERROR(INDEX(البيانات_الأساسية!E:E, MATCH(54, البيانات_الأساسية!$I:$I, 0)), "")</f>
        <v>0</v>
      </c>
      <c r="G66" s="2">
        <f>IFERROR(INDEX(البيانات_الأساسية!F:F, MATCH(54, البيانات_الأساسية!$I:$I, 0)), "")</f>
        <v>0</v>
      </c>
      <c r="H66" s="2">
        <f>IFERROR(INDEX(البيانات_الأساسية!G:G, MATCH(54, البيانات_الأساسية!$I:$I, 0)), "")</f>
        <v>0</v>
      </c>
    </row>
    <row r="67" spans="2:8" s="3" customFormat="1" ht="20" customHeight="1">
      <c r="B67" s="2">
        <f>IFERROR(INDEX(البيانات_الأساسية!A:A, MATCH(55, البيانات_الأساسية!$I:$I, 0)), "")</f>
        <v>0</v>
      </c>
      <c r="C67" s="2">
        <f>IFERROR(INDEX(البيانات_الأساسية!B:B, MATCH(55, البيانات_الأساسية!$I:$I, 0)), "")</f>
        <v>0</v>
      </c>
      <c r="D67" s="2">
        <f>IFERROR(INDEX(البيانات_الأساسية!C:C, MATCH(55, البيانات_الأساسية!$I:$I, 0)), "")</f>
        <v>0</v>
      </c>
      <c r="E67" s="2">
        <f>IFERROR(INDEX(البيانات_الأساسية!D:D, MATCH(55, البيانات_الأساسية!$I:$I, 0)), "")</f>
        <v>0</v>
      </c>
      <c r="F67" s="2">
        <f>IFERROR(INDEX(البيانات_الأساسية!E:E, MATCH(55, البيانات_الأساسية!$I:$I, 0)), "")</f>
        <v>0</v>
      </c>
      <c r="G67" s="2">
        <f>IFERROR(INDEX(البيانات_الأساسية!F:F, MATCH(55, البيانات_الأساسية!$I:$I, 0)), "")</f>
        <v>0</v>
      </c>
      <c r="H67" s="2">
        <f>IFERROR(INDEX(البيانات_الأساسية!G:G, MATCH(55, البيانات_الأساسية!$I:$I, 0)), "")</f>
        <v>0</v>
      </c>
    </row>
    <row r="68" spans="2:8" s="3" customFormat="1" ht="20" customHeight="1">
      <c r="B68" s="2">
        <f>IFERROR(INDEX(البيانات_الأساسية!A:A, MATCH(56, البيانات_الأساسية!$I:$I, 0)), "")</f>
        <v>0</v>
      </c>
      <c r="C68" s="2">
        <f>IFERROR(INDEX(البيانات_الأساسية!B:B, MATCH(56, البيانات_الأساسية!$I:$I, 0)), "")</f>
        <v>0</v>
      </c>
      <c r="D68" s="2">
        <f>IFERROR(INDEX(البيانات_الأساسية!C:C, MATCH(56, البيانات_الأساسية!$I:$I, 0)), "")</f>
        <v>0</v>
      </c>
      <c r="E68" s="2">
        <f>IFERROR(INDEX(البيانات_الأساسية!D:D, MATCH(56, البيانات_الأساسية!$I:$I, 0)), "")</f>
        <v>0</v>
      </c>
      <c r="F68" s="2">
        <f>IFERROR(INDEX(البيانات_الأساسية!E:E, MATCH(56, البيانات_الأساسية!$I:$I, 0)), "")</f>
        <v>0</v>
      </c>
      <c r="G68" s="2">
        <f>IFERROR(INDEX(البيانات_الأساسية!F:F, MATCH(56, البيانات_الأساسية!$I:$I, 0)), "")</f>
        <v>0</v>
      </c>
      <c r="H68" s="2">
        <f>IFERROR(INDEX(البيانات_الأساسية!G:G, MATCH(56, البيانات_الأساسية!$I:$I, 0)), "")</f>
        <v>0</v>
      </c>
    </row>
    <row r="69" spans="2:8" s="3" customFormat="1" ht="20" customHeight="1">
      <c r="B69" s="2">
        <f>IFERROR(INDEX(البيانات_الأساسية!A:A, MATCH(57, البيانات_الأساسية!$I:$I, 0)), "")</f>
        <v>0</v>
      </c>
      <c r="C69" s="2">
        <f>IFERROR(INDEX(البيانات_الأساسية!B:B, MATCH(57, البيانات_الأساسية!$I:$I, 0)), "")</f>
        <v>0</v>
      </c>
      <c r="D69" s="2">
        <f>IFERROR(INDEX(البيانات_الأساسية!C:C, MATCH(57, البيانات_الأساسية!$I:$I, 0)), "")</f>
        <v>0</v>
      </c>
      <c r="E69" s="2">
        <f>IFERROR(INDEX(البيانات_الأساسية!D:D, MATCH(57, البيانات_الأساسية!$I:$I, 0)), "")</f>
        <v>0</v>
      </c>
      <c r="F69" s="2">
        <f>IFERROR(INDEX(البيانات_الأساسية!E:E, MATCH(57, البيانات_الأساسية!$I:$I, 0)), "")</f>
        <v>0</v>
      </c>
      <c r="G69" s="2">
        <f>IFERROR(INDEX(البيانات_الأساسية!F:F, MATCH(57, البيانات_الأساسية!$I:$I, 0)), "")</f>
        <v>0</v>
      </c>
      <c r="H69" s="2">
        <f>IFERROR(INDEX(البيانات_الأساسية!G:G, MATCH(57, البيانات_الأساسية!$I:$I, 0)), "")</f>
        <v>0</v>
      </c>
    </row>
    <row r="70" spans="2:8" s="3" customFormat="1" ht="20" customHeight="1">
      <c r="B70" s="2">
        <f>IFERROR(INDEX(البيانات_الأساسية!A:A, MATCH(58, البيانات_الأساسية!$I:$I, 0)), "")</f>
        <v>0</v>
      </c>
      <c r="C70" s="2">
        <f>IFERROR(INDEX(البيانات_الأساسية!B:B, MATCH(58, البيانات_الأساسية!$I:$I, 0)), "")</f>
        <v>0</v>
      </c>
      <c r="D70" s="2">
        <f>IFERROR(INDEX(البيانات_الأساسية!C:C, MATCH(58, البيانات_الأساسية!$I:$I, 0)), "")</f>
        <v>0</v>
      </c>
      <c r="E70" s="2">
        <f>IFERROR(INDEX(البيانات_الأساسية!D:D, MATCH(58, البيانات_الأساسية!$I:$I, 0)), "")</f>
        <v>0</v>
      </c>
      <c r="F70" s="2">
        <f>IFERROR(INDEX(البيانات_الأساسية!E:E, MATCH(58, البيانات_الأساسية!$I:$I, 0)), "")</f>
        <v>0</v>
      </c>
      <c r="G70" s="2">
        <f>IFERROR(INDEX(البيانات_الأساسية!F:F, MATCH(58, البيانات_الأساسية!$I:$I, 0)), "")</f>
        <v>0</v>
      </c>
      <c r="H70" s="2">
        <f>IFERROR(INDEX(البيانات_الأساسية!G:G, MATCH(58, البيانات_الأساسية!$I:$I, 0)), "")</f>
        <v>0</v>
      </c>
    </row>
    <row r="71" spans="2:8" s="3" customFormat="1" ht="20" customHeight="1">
      <c r="B71" s="2">
        <f>IFERROR(INDEX(البيانات_الأساسية!A:A, MATCH(59, البيانات_الأساسية!$I:$I, 0)), "")</f>
        <v>0</v>
      </c>
      <c r="C71" s="2">
        <f>IFERROR(INDEX(البيانات_الأساسية!B:B, MATCH(59, البيانات_الأساسية!$I:$I, 0)), "")</f>
        <v>0</v>
      </c>
      <c r="D71" s="2">
        <f>IFERROR(INDEX(البيانات_الأساسية!C:C, MATCH(59, البيانات_الأساسية!$I:$I, 0)), "")</f>
        <v>0</v>
      </c>
      <c r="E71" s="2">
        <f>IFERROR(INDEX(البيانات_الأساسية!D:D, MATCH(59, البيانات_الأساسية!$I:$I, 0)), "")</f>
        <v>0</v>
      </c>
      <c r="F71" s="2">
        <f>IFERROR(INDEX(البيانات_الأساسية!E:E, MATCH(59, البيانات_الأساسية!$I:$I, 0)), "")</f>
        <v>0</v>
      </c>
      <c r="G71" s="2">
        <f>IFERROR(INDEX(البيانات_الأساسية!F:F, MATCH(59, البيانات_الأساسية!$I:$I, 0)), "")</f>
        <v>0</v>
      </c>
      <c r="H71" s="2">
        <f>IFERROR(INDEX(البيانات_الأساسية!G:G, MATCH(59, البيانات_الأساسية!$I:$I, 0)), "")</f>
        <v>0</v>
      </c>
    </row>
    <row r="72" spans="2:8" s="3" customFormat="1" ht="20" customHeight="1">
      <c r="B72" s="2">
        <f>IFERROR(INDEX(البيانات_الأساسية!A:A, MATCH(60, البيانات_الأساسية!$I:$I, 0)), "")</f>
        <v>0</v>
      </c>
      <c r="C72" s="2">
        <f>IFERROR(INDEX(البيانات_الأساسية!B:B, MATCH(60, البيانات_الأساسية!$I:$I, 0)), "")</f>
        <v>0</v>
      </c>
      <c r="D72" s="2">
        <f>IFERROR(INDEX(البيانات_الأساسية!C:C, MATCH(60, البيانات_الأساسية!$I:$I, 0)), "")</f>
        <v>0</v>
      </c>
      <c r="E72" s="2">
        <f>IFERROR(INDEX(البيانات_الأساسية!D:D, MATCH(60, البيانات_الأساسية!$I:$I, 0)), "")</f>
        <v>0</v>
      </c>
      <c r="F72" s="2">
        <f>IFERROR(INDEX(البيانات_الأساسية!E:E, MATCH(60, البيانات_الأساسية!$I:$I, 0)), "")</f>
        <v>0</v>
      </c>
      <c r="G72" s="2">
        <f>IFERROR(INDEX(البيانات_الأساسية!F:F, MATCH(60, البيانات_الأساسية!$I:$I, 0)), "")</f>
        <v>0</v>
      </c>
      <c r="H72" s="2">
        <f>IFERROR(INDEX(البيانات_الأساسية!G:G, MATCH(60, البيانات_الأساسية!$I:$I, 0)), "")</f>
        <v>0</v>
      </c>
    </row>
    <row r="73" spans="2:8" s="3" customFormat="1" ht="20" customHeight="1">
      <c r="B73" s="2">
        <f>IFERROR(INDEX(البيانات_الأساسية!A:A, MATCH(61, البيانات_الأساسية!$I:$I, 0)), "")</f>
        <v>0</v>
      </c>
      <c r="C73" s="2">
        <f>IFERROR(INDEX(البيانات_الأساسية!B:B, MATCH(61, البيانات_الأساسية!$I:$I, 0)), "")</f>
        <v>0</v>
      </c>
      <c r="D73" s="2">
        <f>IFERROR(INDEX(البيانات_الأساسية!C:C, MATCH(61, البيانات_الأساسية!$I:$I, 0)), "")</f>
        <v>0</v>
      </c>
      <c r="E73" s="2">
        <f>IFERROR(INDEX(البيانات_الأساسية!D:D, MATCH(61, البيانات_الأساسية!$I:$I, 0)), "")</f>
        <v>0</v>
      </c>
      <c r="F73" s="2">
        <f>IFERROR(INDEX(البيانات_الأساسية!E:E, MATCH(61, البيانات_الأساسية!$I:$I, 0)), "")</f>
        <v>0</v>
      </c>
      <c r="G73" s="2">
        <f>IFERROR(INDEX(البيانات_الأساسية!F:F, MATCH(61, البيانات_الأساسية!$I:$I, 0)), "")</f>
        <v>0</v>
      </c>
      <c r="H73" s="2">
        <f>IFERROR(INDEX(البيانات_الأساسية!G:G, MATCH(61, البيانات_الأساسية!$I:$I, 0)), "")</f>
        <v>0</v>
      </c>
    </row>
    <row r="74" spans="2:8" s="3" customFormat="1" ht="20" customHeight="1">
      <c r="B74" s="2">
        <f>IFERROR(INDEX(البيانات_الأساسية!A:A, MATCH(62, البيانات_الأساسية!$I:$I, 0)), "")</f>
        <v>0</v>
      </c>
      <c r="C74" s="2">
        <f>IFERROR(INDEX(البيانات_الأساسية!B:B, MATCH(62, البيانات_الأساسية!$I:$I, 0)), "")</f>
        <v>0</v>
      </c>
      <c r="D74" s="2">
        <f>IFERROR(INDEX(البيانات_الأساسية!C:C, MATCH(62, البيانات_الأساسية!$I:$I, 0)), "")</f>
        <v>0</v>
      </c>
      <c r="E74" s="2">
        <f>IFERROR(INDEX(البيانات_الأساسية!D:D, MATCH(62, البيانات_الأساسية!$I:$I, 0)), "")</f>
        <v>0</v>
      </c>
      <c r="F74" s="2">
        <f>IFERROR(INDEX(البيانات_الأساسية!E:E, MATCH(62, البيانات_الأساسية!$I:$I, 0)), "")</f>
        <v>0</v>
      </c>
      <c r="G74" s="2">
        <f>IFERROR(INDEX(البيانات_الأساسية!F:F, MATCH(62, البيانات_الأساسية!$I:$I, 0)), "")</f>
        <v>0</v>
      </c>
      <c r="H74" s="2">
        <f>IFERROR(INDEX(البيانات_الأساسية!G:G, MATCH(62, البيانات_الأساسية!$I:$I, 0)), "")</f>
        <v>0</v>
      </c>
    </row>
    <row r="75" spans="2:8" s="3" customFormat="1" ht="20" customHeight="1">
      <c r="B75" s="2">
        <f>IFERROR(INDEX(البيانات_الأساسية!A:A, MATCH(63, البيانات_الأساسية!$I:$I, 0)), "")</f>
        <v>0</v>
      </c>
      <c r="C75" s="2">
        <f>IFERROR(INDEX(البيانات_الأساسية!B:B, MATCH(63, البيانات_الأساسية!$I:$I, 0)), "")</f>
        <v>0</v>
      </c>
      <c r="D75" s="2">
        <f>IFERROR(INDEX(البيانات_الأساسية!C:C, MATCH(63, البيانات_الأساسية!$I:$I, 0)), "")</f>
        <v>0</v>
      </c>
      <c r="E75" s="2">
        <f>IFERROR(INDEX(البيانات_الأساسية!D:D, MATCH(63, البيانات_الأساسية!$I:$I, 0)), "")</f>
        <v>0</v>
      </c>
      <c r="F75" s="2">
        <f>IFERROR(INDEX(البيانات_الأساسية!E:E, MATCH(63, البيانات_الأساسية!$I:$I, 0)), "")</f>
        <v>0</v>
      </c>
      <c r="G75" s="2">
        <f>IFERROR(INDEX(البيانات_الأساسية!F:F, MATCH(63, البيانات_الأساسية!$I:$I, 0)), "")</f>
        <v>0</v>
      </c>
      <c r="H75" s="2">
        <f>IFERROR(INDEX(البيانات_الأساسية!G:G, MATCH(63, البيانات_الأساسية!$I:$I, 0)), "")</f>
        <v>0</v>
      </c>
    </row>
    <row r="76" spans="2:8" s="3" customFormat="1" ht="20" customHeight="1">
      <c r="B76" s="2">
        <f>IFERROR(INDEX(البيانات_الأساسية!A:A, MATCH(64, البيانات_الأساسية!$I:$I, 0)), "")</f>
        <v>0</v>
      </c>
      <c r="C76" s="2">
        <f>IFERROR(INDEX(البيانات_الأساسية!B:B, MATCH(64, البيانات_الأساسية!$I:$I, 0)), "")</f>
        <v>0</v>
      </c>
      <c r="D76" s="2">
        <f>IFERROR(INDEX(البيانات_الأساسية!C:C, MATCH(64, البيانات_الأساسية!$I:$I, 0)), "")</f>
        <v>0</v>
      </c>
      <c r="E76" s="2">
        <f>IFERROR(INDEX(البيانات_الأساسية!D:D, MATCH(64, البيانات_الأساسية!$I:$I, 0)), "")</f>
        <v>0</v>
      </c>
      <c r="F76" s="2">
        <f>IFERROR(INDEX(البيانات_الأساسية!E:E, MATCH(64, البيانات_الأساسية!$I:$I, 0)), "")</f>
        <v>0</v>
      </c>
      <c r="G76" s="2">
        <f>IFERROR(INDEX(البيانات_الأساسية!F:F, MATCH(64, البيانات_الأساسية!$I:$I, 0)), "")</f>
        <v>0</v>
      </c>
      <c r="H76" s="2">
        <f>IFERROR(INDEX(البيانات_الأساسية!G:G, MATCH(64, البيانات_الأساسية!$I:$I, 0)), "")</f>
        <v>0</v>
      </c>
    </row>
    <row r="77" spans="2:8" s="3" customFormat="1" ht="20" customHeight="1">
      <c r="B77" s="2">
        <f>IFERROR(INDEX(البيانات_الأساسية!A:A, MATCH(65, البيانات_الأساسية!$I:$I, 0)), "")</f>
        <v>0</v>
      </c>
      <c r="C77" s="2">
        <f>IFERROR(INDEX(البيانات_الأساسية!B:B, MATCH(65, البيانات_الأساسية!$I:$I, 0)), "")</f>
        <v>0</v>
      </c>
      <c r="D77" s="2">
        <f>IFERROR(INDEX(البيانات_الأساسية!C:C, MATCH(65, البيانات_الأساسية!$I:$I, 0)), "")</f>
        <v>0</v>
      </c>
      <c r="E77" s="2">
        <f>IFERROR(INDEX(البيانات_الأساسية!D:D, MATCH(65, البيانات_الأساسية!$I:$I, 0)), "")</f>
        <v>0</v>
      </c>
      <c r="F77" s="2">
        <f>IFERROR(INDEX(البيانات_الأساسية!E:E, MATCH(65, البيانات_الأساسية!$I:$I, 0)), "")</f>
        <v>0</v>
      </c>
      <c r="G77" s="2">
        <f>IFERROR(INDEX(البيانات_الأساسية!F:F, MATCH(65, البيانات_الأساسية!$I:$I, 0)), "")</f>
        <v>0</v>
      </c>
      <c r="H77" s="2">
        <f>IFERROR(INDEX(البيانات_الأساسية!G:G, MATCH(65, البيانات_الأساسية!$I:$I, 0)), "")</f>
        <v>0</v>
      </c>
    </row>
    <row r="78" spans="2:8" s="3" customFormat="1" ht="20" customHeight="1">
      <c r="B78" s="2">
        <f>IFERROR(INDEX(البيانات_الأساسية!A:A, MATCH(66, البيانات_الأساسية!$I:$I, 0)), "")</f>
        <v>0</v>
      </c>
      <c r="C78" s="2">
        <f>IFERROR(INDEX(البيانات_الأساسية!B:B, MATCH(66, البيانات_الأساسية!$I:$I, 0)), "")</f>
        <v>0</v>
      </c>
      <c r="D78" s="2">
        <f>IFERROR(INDEX(البيانات_الأساسية!C:C, MATCH(66, البيانات_الأساسية!$I:$I, 0)), "")</f>
        <v>0</v>
      </c>
      <c r="E78" s="2">
        <f>IFERROR(INDEX(البيانات_الأساسية!D:D, MATCH(66, البيانات_الأساسية!$I:$I, 0)), "")</f>
        <v>0</v>
      </c>
      <c r="F78" s="2">
        <f>IFERROR(INDEX(البيانات_الأساسية!E:E, MATCH(66, البيانات_الأساسية!$I:$I, 0)), "")</f>
        <v>0</v>
      </c>
      <c r="G78" s="2">
        <f>IFERROR(INDEX(البيانات_الأساسية!F:F, MATCH(66, البيانات_الأساسية!$I:$I, 0)), "")</f>
        <v>0</v>
      </c>
      <c r="H78" s="2">
        <f>IFERROR(INDEX(البيانات_الأساسية!G:G, MATCH(66, البيانات_الأساسية!$I:$I, 0)), "")</f>
        <v>0</v>
      </c>
    </row>
    <row r="79" spans="2:8" s="3" customFormat="1" ht="20" customHeight="1">
      <c r="B79" s="2">
        <f>IFERROR(INDEX(البيانات_الأساسية!A:A, MATCH(67, البيانات_الأساسية!$I:$I, 0)), "")</f>
        <v>0</v>
      </c>
      <c r="C79" s="2">
        <f>IFERROR(INDEX(البيانات_الأساسية!B:B, MATCH(67, البيانات_الأساسية!$I:$I, 0)), "")</f>
        <v>0</v>
      </c>
      <c r="D79" s="2">
        <f>IFERROR(INDEX(البيانات_الأساسية!C:C, MATCH(67, البيانات_الأساسية!$I:$I, 0)), "")</f>
        <v>0</v>
      </c>
      <c r="E79" s="2">
        <f>IFERROR(INDEX(البيانات_الأساسية!D:D, MATCH(67, البيانات_الأساسية!$I:$I, 0)), "")</f>
        <v>0</v>
      </c>
      <c r="F79" s="2">
        <f>IFERROR(INDEX(البيانات_الأساسية!E:E, MATCH(67, البيانات_الأساسية!$I:$I, 0)), "")</f>
        <v>0</v>
      </c>
      <c r="G79" s="2">
        <f>IFERROR(INDEX(البيانات_الأساسية!F:F, MATCH(67, البيانات_الأساسية!$I:$I, 0)), "")</f>
        <v>0</v>
      </c>
      <c r="H79" s="2">
        <f>IFERROR(INDEX(البيانات_الأساسية!G:G, MATCH(67, البيانات_الأساسية!$I:$I, 0)), "")</f>
        <v>0</v>
      </c>
    </row>
    <row r="80" spans="2:8" s="3" customFormat="1" ht="20" customHeight="1">
      <c r="B80" s="2">
        <f>IFERROR(INDEX(البيانات_الأساسية!A:A, MATCH(68, البيانات_الأساسية!$I:$I, 0)), "")</f>
        <v>0</v>
      </c>
      <c r="C80" s="2">
        <f>IFERROR(INDEX(البيانات_الأساسية!B:B, MATCH(68, البيانات_الأساسية!$I:$I, 0)), "")</f>
        <v>0</v>
      </c>
      <c r="D80" s="2">
        <f>IFERROR(INDEX(البيانات_الأساسية!C:C, MATCH(68, البيانات_الأساسية!$I:$I, 0)), "")</f>
        <v>0</v>
      </c>
      <c r="E80" s="2">
        <f>IFERROR(INDEX(البيانات_الأساسية!D:D, MATCH(68, البيانات_الأساسية!$I:$I, 0)), "")</f>
        <v>0</v>
      </c>
      <c r="F80" s="2">
        <f>IFERROR(INDEX(البيانات_الأساسية!E:E, MATCH(68, البيانات_الأساسية!$I:$I, 0)), "")</f>
        <v>0</v>
      </c>
      <c r="G80" s="2">
        <f>IFERROR(INDEX(البيانات_الأساسية!F:F, MATCH(68, البيانات_الأساسية!$I:$I, 0)), "")</f>
        <v>0</v>
      </c>
      <c r="H80" s="2">
        <f>IFERROR(INDEX(البيانات_الأساسية!G:G, MATCH(68, البيانات_الأساسية!$I:$I, 0)), "")</f>
        <v>0</v>
      </c>
    </row>
    <row r="81" spans="2:8" s="3" customFormat="1" ht="20" customHeight="1">
      <c r="B81" s="2">
        <f>IFERROR(INDEX(البيانات_الأساسية!A:A, MATCH(69, البيانات_الأساسية!$I:$I, 0)), "")</f>
        <v>0</v>
      </c>
      <c r="C81" s="2">
        <f>IFERROR(INDEX(البيانات_الأساسية!B:B, MATCH(69, البيانات_الأساسية!$I:$I, 0)), "")</f>
        <v>0</v>
      </c>
      <c r="D81" s="2">
        <f>IFERROR(INDEX(البيانات_الأساسية!C:C, MATCH(69, البيانات_الأساسية!$I:$I, 0)), "")</f>
        <v>0</v>
      </c>
      <c r="E81" s="2">
        <f>IFERROR(INDEX(البيانات_الأساسية!D:D, MATCH(69, البيانات_الأساسية!$I:$I, 0)), "")</f>
        <v>0</v>
      </c>
      <c r="F81" s="2">
        <f>IFERROR(INDEX(البيانات_الأساسية!E:E, MATCH(69, البيانات_الأساسية!$I:$I, 0)), "")</f>
        <v>0</v>
      </c>
      <c r="G81" s="2">
        <f>IFERROR(INDEX(البيانات_الأساسية!F:F, MATCH(69, البيانات_الأساسية!$I:$I, 0)), "")</f>
        <v>0</v>
      </c>
      <c r="H81" s="2">
        <f>IFERROR(INDEX(البيانات_الأساسية!G:G, MATCH(69, البيانات_الأساسية!$I:$I, 0)), "")</f>
        <v>0</v>
      </c>
    </row>
    <row r="82" spans="2:8" s="3" customFormat="1" ht="20" customHeight="1">
      <c r="B82" s="2">
        <f>IFERROR(INDEX(البيانات_الأساسية!A:A, MATCH(70, البيانات_الأساسية!$I:$I, 0)), "")</f>
        <v>0</v>
      </c>
      <c r="C82" s="2">
        <f>IFERROR(INDEX(البيانات_الأساسية!B:B, MATCH(70, البيانات_الأساسية!$I:$I, 0)), "")</f>
        <v>0</v>
      </c>
      <c r="D82" s="2">
        <f>IFERROR(INDEX(البيانات_الأساسية!C:C, MATCH(70, البيانات_الأساسية!$I:$I, 0)), "")</f>
        <v>0</v>
      </c>
      <c r="E82" s="2">
        <f>IFERROR(INDEX(البيانات_الأساسية!D:D, MATCH(70, البيانات_الأساسية!$I:$I, 0)), "")</f>
        <v>0</v>
      </c>
      <c r="F82" s="2">
        <f>IFERROR(INDEX(البيانات_الأساسية!E:E, MATCH(70, البيانات_الأساسية!$I:$I, 0)), "")</f>
        <v>0</v>
      </c>
      <c r="G82" s="2">
        <f>IFERROR(INDEX(البيانات_الأساسية!F:F, MATCH(70, البيانات_الأساسية!$I:$I, 0)), "")</f>
        <v>0</v>
      </c>
      <c r="H82" s="2">
        <f>IFERROR(INDEX(البيانات_الأساسية!G:G, MATCH(70, البيانات_الأساسية!$I:$I, 0)), "")</f>
        <v>0</v>
      </c>
    </row>
    <row r="83" spans="2:8" s="3" customFormat="1" ht="20" customHeight="1">
      <c r="B83" s="2">
        <f>IFERROR(INDEX(البيانات_الأساسية!A:A, MATCH(71, البيانات_الأساسية!$I:$I, 0)), "")</f>
        <v>0</v>
      </c>
      <c r="C83" s="2">
        <f>IFERROR(INDEX(البيانات_الأساسية!B:B, MATCH(71, البيانات_الأساسية!$I:$I, 0)), "")</f>
        <v>0</v>
      </c>
      <c r="D83" s="2">
        <f>IFERROR(INDEX(البيانات_الأساسية!C:C, MATCH(71, البيانات_الأساسية!$I:$I, 0)), "")</f>
        <v>0</v>
      </c>
      <c r="E83" s="2">
        <f>IFERROR(INDEX(البيانات_الأساسية!D:D, MATCH(71, البيانات_الأساسية!$I:$I, 0)), "")</f>
        <v>0</v>
      </c>
      <c r="F83" s="2">
        <f>IFERROR(INDEX(البيانات_الأساسية!E:E, MATCH(71, البيانات_الأساسية!$I:$I, 0)), "")</f>
        <v>0</v>
      </c>
      <c r="G83" s="2">
        <f>IFERROR(INDEX(البيانات_الأساسية!F:F, MATCH(71, البيانات_الأساسية!$I:$I, 0)), "")</f>
        <v>0</v>
      </c>
      <c r="H83" s="2">
        <f>IFERROR(INDEX(البيانات_الأساسية!G:G, MATCH(71, البيانات_الأساسية!$I:$I, 0)), "")</f>
        <v>0</v>
      </c>
    </row>
    <row r="84" spans="2:8" s="3" customFormat="1" ht="20" customHeight="1">
      <c r="B84" s="2">
        <f>IFERROR(INDEX(البيانات_الأساسية!A:A, MATCH(72, البيانات_الأساسية!$I:$I, 0)), "")</f>
        <v>0</v>
      </c>
      <c r="C84" s="2">
        <f>IFERROR(INDEX(البيانات_الأساسية!B:B, MATCH(72, البيانات_الأساسية!$I:$I, 0)), "")</f>
        <v>0</v>
      </c>
      <c r="D84" s="2">
        <f>IFERROR(INDEX(البيانات_الأساسية!C:C, MATCH(72, البيانات_الأساسية!$I:$I, 0)), "")</f>
        <v>0</v>
      </c>
      <c r="E84" s="2">
        <f>IFERROR(INDEX(البيانات_الأساسية!D:D, MATCH(72, البيانات_الأساسية!$I:$I, 0)), "")</f>
        <v>0</v>
      </c>
      <c r="F84" s="2">
        <f>IFERROR(INDEX(البيانات_الأساسية!E:E, MATCH(72, البيانات_الأساسية!$I:$I, 0)), "")</f>
        <v>0</v>
      </c>
      <c r="G84" s="2">
        <f>IFERROR(INDEX(البيانات_الأساسية!F:F, MATCH(72, البيانات_الأساسية!$I:$I, 0)), "")</f>
        <v>0</v>
      </c>
      <c r="H84" s="2">
        <f>IFERROR(INDEX(البيانات_الأساسية!G:G, MATCH(72, البيانات_الأساسية!$I:$I, 0)), "")</f>
        <v>0</v>
      </c>
    </row>
    <row r="85" spans="2:8" s="3" customFormat="1" ht="20" customHeight="1">
      <c r="B85" s="2">
        <f>IFERROR(INDEX(البيانات_الأساسية!A:A, MATCH(73, البيانات_الأساسية!$I:$I, 0)), "")</f>
        <v>0</v>
      </c>
      <c r="C85" s="2">
        <f>IFERROR(INDEX(البيانات_الأساسية!B:B, MATCH(73, البيانات_الأساسية!$I:$I, 0)), "")</f>
        <v>0</v>
      </c>
      <c r="D85" s="2">
        <f>IFERROR(INDEX(البيانات_الأساسية!C:C, MATCH(73, البيانات_الأساسية!$I:$I, 0)), "")</f>
        <v>0</v>
      </c>
      <c r="E85" s="2">
        <f>IFERROR(INDEX(البيانات_الأساسية!D:D, MATCH(73, البيانات_الأساسية!$I:$I, 0)), "")</f>
        <v>0</v>
      </c>
      <c r="F85" s="2">
        <f>IFERROR(INDEX(البيانات_الأساسية!E:E, MATCH(73, البيانات_الأساسية!$I:$I, 0)), "")</f>
        <v>0</v>
      </c>
      <c r="G85" s="2">
        <f>IFERROR(INDEX(البيانات_الأساسية!F:F, MATCH(73, البيانات_الأساسية!$I:$I, 0)), "")</f>
        <v>0</v>
      </c>
      <c r="H85" s="2">
        <f>IFERROR(INDEX(البيانات_الأساسية!G:G, MATCH(73, البيانات_الأساسية!$I:$I, 0)), "")</f>
        <v>0</v>
      </c>
    </row>
    <row r="86" spans="2:8" s="3" customFormat="1" ht="20" customHeight="1">
      <c r="B86" s="2">
        <f>IFERROR(INDEX(البيانات_الأساسية!A:A, MATCH(74, البيانات_الأساسية!$I:$I, 0)), "")</f>
        <v>0</v>
      </c>
      <c r="C86" s="2">
        <f>IFERROR(INDEX(البيانات_الأساسية!B:B, MATCH(74, البيانات_الأساسية!$I:$I, 0)), "")</f>
        <v>0</v>
      </c>
      <c r="D86" s="2">
        <f>IFERROR(INDEX(البيانات_الأساسية!C:C, MATCH(74, البيانات_الأساسية!$I:$I, 0)), "")</f>
        <v>0</v>
      </c>
      <c r="E86" s="2">
        <f>IFERROR(INDEX(البيانات_الأساسية!D:D, MATCH(74, البيانات_الأساسية!$I:$I, 0)), "")</f>
        <v>0</v>
      </c>
      <c r="F86" s="2">
        <f>IFERROR(INDEX(البيانات_الأساسية!E:E, MATCH(74, البيانات_الأساسية!$I:$I, 0)), "")</f>
        <v>0</v>
      </c>
      <c r="G86" s="2">
        <f>IFERROR(INDEX(البيانات_الأساسية!F:F, MATCH(74, البيانات_الأساسية!$I:$I, 0)), "")</f>
        <v>0</v>
      </c>
      <c r="H86" s="2">
        <f>IFERROR(INDEX(البيانات_الأساسية!G:G, MATCH(74, البيانات_الأساسية!$I:$I, 0)), "")</f>
        <v>0</v>
      </c>
    </row>
    <row r="87" spans="2:8" s="3" customFormat="1" ht="20" customHeight="1">
      <c r="B87" s="2">
        <f>IFERROR(INDEX(البيانات_الأساسية!A:A, MATCH(75, البيانات_الأساسية!$I:$I, 0)), "")</f>
        <v>0</v>
      </c>
      <c r="C87" s="2">
        <f>IFERROR(INDEX(البيانات_الأساسية!B:B, MATCH(75, البيانات_الأساسية!$I:$I, 0)), "")</f>
        <v>0</v>
      </c>
      <c r="D87" s="2">
        <f>IFERROR(INDEX(البيانات_الأساسية!C:C, MATCH(75, البيانات_الأساسية!$I:$I, 0)), "")</f>
        <v>0</v>
      </c>
      <c r="E87" s="2">
        <f>IFERROR(INDEX(البيانات_الأساسية!D:D, MATCH(75, البيانات_الأساسية!$I:$I, 0)), "")</f>
        <v>0</v>
      </c>
      <c r="F87" s="2">
        <f>IFERROR(INDEX(البيانات_الأساسية!E:E, MATCH(75, البيانات_الأساسية!$I:$I, 0)), "")</f>
        <v>0</v>
      </c>
      <c r="G87" s="2">
        <f>IFERROR(INDEX(البيانات_الأساسية!F:F, MATCH(75, البيانات_الأساسية!$I:$I, 0)), "")</f>
        <v>0</v>
      </c>
      <c r="H87" s="2">
        <f>IFERROR(INDEX(البيانات_الأساسية!G:G, MATCH(75, البيانات_الأساسية!$I:$I, 0)), "")</f>
        <v>0</v>
      </c>
    </row>
    <row r="88" spans="2:8" s="3" customFormat="1" ht="20" customHeight="1">
      <c r="B88" s="2">
        <f>IFERROR(INDEX(البيانات_الأساسية!A:A, MATCH(76, البيانات_الأساسية!$I:$I, 0)), "")</f>
        <v>0</v>
      </c>
      <c r="C88" s="2">
        <f>IFERROR(INDEX(البيانات_الأساسية!B:B, MATCH(76, البيانات_الأساسية!$I:$I, 0)), "")</f>
        <v>0</v>
      </c>
      <c r="D88" s="2">
        <f>IFERROR(INDEX(البيانات_الأساسية!C:C, MATCH(76, البيانات_الأساسية!$I:$I, 0)), "")</f>
        <v>0</v>
      </c>
      <c r="E88" s="2">
        <f>IFERROR(INDEX(البيانات_الأساسية!D:D, MATCH(76, البيانات_الأساسية!$I:$I, 0)), "")</f>
        <v>0</v>
      </c>
      <c r="F88" s="2">
        <f>IFERROR(INDEX(البيانات_الأساسية!E:E, MATCH(76, البيانات_الأساسية!$I:$I, 0)), "")</f>
        <v>0</v>
      </c>
      <c r="G88" s="2">
        <f>IFERROR(INDEX(البيانات_الأساسية!F:F, MATCH(76, البيانات_الأساسية!$I:$I, 0)), "")</f>
        <v>0</v>
      </c>
      <c r="H88" s="2">
        <f>IFERROR(INDEX(البيانات_الأساسية!G:G, MATCH(76, البيانات_الأساسية!$I:$I, 0)), "")</f>
        <v>0</v>
      </c>
    </row>
    <row r="89" spans="2:8" s="3" customFormat="1" ht="20" customHeight="1">
      <c r="B89" s="2">
        <f>IFERROR(INDEX(البيانات_الأساسية!A:A, MATCH(77, البيانات_الأساسية!$I:$I, 0)), "")</f>
        <v>0</v>
      </c>
      <c r="C89" s="2">
        <f>IFERROR(INDEX(البيانات_الأساسية!B:B, MATCH(77, البيانات_الأساسية!$I:$I, 0)), "")</f>
        <v>0</v>
      </c>
      <c r="D89" s="2">
        <f>IFERROR(INDEX(البيانات_الأساسية!C:C, MATCH(77, البيانات_الأساسية!$I:$I, 0)), "")</f>
        <v>0</v>
      </c>
      <c r="E89" s="2">
        <f>IFERROR(INDEX(البيانات_الأساسية!D:D, MATCH(77, البيانات_الأساسية!$I:$I, 0)), "")</f>
        <v>0</v>
      </c>
      <c r="F89" s="2">
        <f>IFERROR(INDEX(البيانات_الأساسية!E:E, MATCH(77, البيانات_الأساسية!$I:$I, 0)), "")</f>
        <v>0</v>
      </c>
      <c r="G89" s="2">
        <f>IFERROR(INDEX(البيانات_الأساسية!F:F, MATCH(77, البيانات_الأساسية!$I:$I, 0)), "")</f>
        <v>0</v>
      </c>
      <c r="H89" s="2">
        <f>IFERROR(INDEX(البيانات_الأساسية!G:G, MATCH(77, البيانات_الأساسية!$I:$I, 0)), "")</f>
        <v>0</v>
      </c>
    </row>
    <row r="90" spans="2:8" s="3" customFormat="1" ht="20" customHeight="1">
      <c r="B90" s="2">
        <f>IFERROR(INDEX(البيانات_الأساسية!A:A, MATCH(78, البيانات_الأساسية!$I:$I, 0)), "")</f>
        <v>0</v>
      </c>
      <c r="C90" s="2">
        <f>IFERROR(INDEX(البيانات_الأساسية!B:B, MATCH(78, البيانات_الأساسية!$I:$I, 0)), "")</f>
        <v>0</v>
      </c>
      <c r="D90" s="2">
        <f>IFERROR(INDEX(البيانات_الأساسية!C:C, MATCH(78, البيانات_الأساسية!$I:$I, 0)), "")</f>
        <v>0</v>
      </c>
      <c r="E90" s="2">
        <f>IFERROR(INDEX(البيانات_الأساسية!D:D, MATCH(78, البيانات_الأساسية!$I:$I, 0)), "")</f>
        <v>0</v>
      </c>
      <c r="F90" s="2">
        <f>IFERROR(INDEX(البيانات_الأساسية!E:E, MATCH(78, البيانات_الأساسية!$I:$I, 0)), "")</f>
        <v>0</v>
      </c>
      <c r="G90" s="2">
        <f>IFERROR(INDEX(البيانات_الأساسية!F:F, MATCH(78, البيانات_الأساسية!$I:$I, 0)), "")</f>
        <v>0</v>
      </c>
      <c r="H90" s="2">
        <f>IFERROR(INDEX(البيانات_الأساسية!G:G, MATCH(78, البيانات_الأساسية!$I:$I, 0)), "")</f>
        <v>0</v>
      </c>
    </row>
    <row r="91" spans="2:8" s="3" customFormat="1" ht="20" customHeight="1">
      <c r="B91" s="2">
        <f>IFERROR(INDEX(البيانات_الأساسية!A:A, MATCH(79, البيانات_الأساسية!$I:$I, 0)), "")</f>
        <v>0</v>
      </c>
      <c r="C91" s="2">
        <f>IFERROR(INDEX(البيانات_الأساسية!B:B, MATCH(79, البيانات_الأساسية!$I:$I, 0)), "")</f>
        <v>0</v>
      </c>
      <c r="D91" s="2">
        <f>IFERROR(INDEX(البيانات_الأساسية!C:C, MATCH(79, البيانات_الأساسية!$I:$I, 0)), "")</f>
        <v>0</v>
      </c>
      <c r="E91" s="2">
        <f>IFERROR(INDEX(البيانات_الأساسية!D:D, MATCH(79, البيانات_الأساسية!$I:$I, 0)), "")</f>
        <v>0</v>
      </c>
      <c r="F91" s="2">
        <f>IFERROR(INDEX(البيانات_الأساسية!E:E, MATCH(79, البيانات_الأساسية!$I:$I, 0)), "")</f>
        <v>0</v>
      </c>
      <c r="G91" s="2">
        <f>IFERROR(INDEX(البيانات_الأساسية!F:F, MATCH(79, البيانات_الأساسية!$I:$I, 0)), "")</f>
        <v>0</v>
      </c>
      <c r="H91" s="2">
        <f>IFERROR(INDEX(البيانات_الأساسية!G:G, MATCH(79, البيانات_الأساسية!$I:$I, 0)), "")</f>
        <v>0</v>
      </c>
    </row>
    <row r="92" spans="2:8" s="3" customFormat="1" ht="20" customHeight="1">
      <c r="B92" s="2">
        <f>IFERROR(INDEX(البيانات_الأساسية!A:A, MATCH(80, البيانات_الأساسية!$I:$I, 0)), "")</f>
        <v>0</v>
      </c>
      <c r="C92" s="2">
        <f>IFERROR(INDEX(البيانات_الأساسية!B:B, MATCH(80, البيانات_الأساسية!$I:$I, 0)), "")</f>
        <v>0</v>
      </c>
      <c r="D92" s="2">
        <f>IFERROR(INDEX(البيانات_الأساسية!C:C, MATCH(80, البيانات_الأساسية!$I:$I, 0)), "")</f>
        <v>0</v>
      </c>
      <c r="E92" s="2">
        <f>IFERROR(INDEX(البيانات_الأساسية!D:D, MATCH(80, البيانات_الأساسية!$I:$I, 0)), "")</f>
        <v>0</v>
      </c>
      <c r="F92" s="2">
        <f>IFERROR(INDEX(البيانات_الأساسية!E:E, MATCH(80, البيانات_الأساسية!$I:$I, 0)), "")</f>
        <v>0</v>
      </c>
      <c r="G92" s="2">
        <f>IFERROR(INDEX(البيانات_الأساسية!F:F, MATCH(80, البيانات_الأساسية!$I:$I, 0)), "")</f>
        <v>0</v>
      </c>
      <c r="H92" s="2">
        <f>IFERROR(INDEX(البيانات_الأساسية!G:G, MATCH(80, البيانات_الأساسية!$I:$I, 0)), "")</f>
        <v>0</v>
      </c>
    </row>
    <row r="93" spans="2:8" s="3" customFormat="1" ht="20" customHeight="1">
      <c r="B93" s="2">
        <f>IFERROR(INDEX(البيانات_الأساسية!A:A, MATCH(81, البيانات_الأساسية!$I:$I, 0)), "")</f>
        <v>0</v>
      </c>
      <c r="C93" s="2">
        <f>IFERROR(INDEX(البيانات_الأساسية!B:B, MATCH(81, البيانات_الأساسية!$I:$I, 0)), "")</f>
        <v>0</v>
      </c>
      <c r="D93" s="2">
        <f>IFERROR(INDEX(البيانات_الأساسية!C:C, MATCH(81, البيانات_الأساسية!$I:$I, 0)), "")</f>
        <v>0</v>
      </c>
      <c r="E93" s="2">
        <f>IFERROR(INDEX(البيانات_الأساسية!D:D, MATCH(81, البيانات_الأساسية!$I:$I, 0)), "")</f>
        <v>0</v>
      </c>
      <c r="F93" s="2">
        <f>IFERROR(INDEX(البيانات_الأساسية!E:E, MATCH(81, البيانات_الأساسية!$I:$I, 0)), "")</f>
        <v>0</v>
      </c>
      <c r="G93" s="2">
        <f>IFERROR(INDEX(البيانات_الأساسية!F:F, MATCH(81, البيانات_الأساسية!$I:$I, 0)), "")</f>
        <v>0</v>
      </c>
      <c r="H93" s="2">
        <f>IFERROR(INDEX(البيانات_الأساسية!G:G, MATCH(81, البيانات_الأساسية!$I:$I, 0)), "")</f>
        <v>0</v>
      </c>
    </row>
    <row r="94" spans="2:8" s="3" customFormat="1" ht="20" customHeight="1">
      <c r="B94" s="2">
        <f>IFERROR(INDEX(البيانات_الأساسية!A:A, MATCH(82, البيانات_الأساسية!$I:$I, 0)), "")</f>
        <v>0</v>
      </c>
      <c r="C94" s="2">
        <f>IFERROR(INDEX(البيانات_الأساسية!B:B, MATCH(82, البيانات_الأساسية!$I:$I, 0)), "")</f>
        <v>0</v>
      </c>
      <c r="D94" s="2">
        <f>IFERROR(INDEX(البيانات_الأساسية!C:C, MATCH(82, البيانات_الأساسية!$I:$I, 0)), "")</f>
        <v>0</v>
      </c>
      <c r="E94" s="2">
        <f>IFERROR(INDEX(البيانات_الأساسية!D:D, MATCH(82, البيانات_الأساسية!$I:$I, 0)), "")</f>
        <v>0</v>
      </c>
      <c r="F94" s="2">
        <f>IFERROR(INDEX(البيانات_الأساسية!E:E, MATCH(82, البيانات_الأساسية!$I:$I, 0)), "")</f>
        <v>0</v>
      </c>
      <c r="G94" s="2">
        <f>IFERROR(INDEX(البيانات_الأساسية!F:F, MATCH(82, البيانات_الأساسية!$I:$I, 0)), "")</f>
        <v>0</v>
      </c>
      <c r="H94" s="2">
        <f>IFERROR(INDEX(البيانات_الأساسية!G:G, MATCH(82, البيانات_الأساسية!$I:$I, 0)), "")</f>
        <v>0</v>
      </c>
    </row>
    <row r="95" spans="2:8" s="3" customFormat="1" ht="20" customHeight="1">
      <c r="B95" s="2">
        <f>IFERROR(INDEX(البيانات_الأساسية!A:A, MATCH(83, البيانات_الأساسية!$I:$I, 0)), "")</f>
        <v>0</v>
      </c>
      <c r="C95" s="2">
        <f>IFERROR(INDEX(البيانات_الأساسية!B:B, MATCH(83, البيانات_الأساسية!$I:$I, 0)), "")</f>
        <v>0</v>
      </c>
      <c r="D95" s="2">
        <f>IFERROR(INDEX(البيانات_الأساسية!C:C, MATCH(83, البيانات_الأساسية!$I:$I, 0)), "")</f>
        <v>0</v>
      </c>
      <c r="E95" s="2">
        <f>IFERROR(INDEX(البيانات_الأساسية!D:D, MATCH(83, البيانات_الأساسية!$I:$I, 0)), "")</f>
        <v>0</v>
      </c>
      <c r="F95" s="2">
        <f>IFERROR(INDEX(البيانات_الأساسية!E:E, MATCH(83, البيانات_الأساسية!$I:$I, 0)), "")</f>
        <v>0</v>
      </c>
      <c r="G95" s="2">
        <f>IFERROR(INDEX(البيانات_الأساسية!F:F, MATCH(83, البيانات_الأساسية!$I:$I, 0)), "")</f>
        <v>0</v>
      </c>
      <c r="H95" s="2">
        <f>IFERROR(INDEX(البيانات_الأساسية!G:G, MATCH(83, البيانات_الأساسية!$I:$I, 0)), "")</f>
        <v>0</v>
      </c>
    </row>
    <row r="96" spans="2:8" s="3" customFormat="1" ht="20" customHeight="1">
      <c r="B96" s="2">
        <f>IFERROR(INDEX(البيانات_الأساسية!A:A, MATCH(84, البيانات_الأساسية!$I:$I, 0)), "")</f>
        <v>0</v>
      </c>
      <c r="C96" s="2">
        <f>IFERROR(INDEX(البيانات_الأساسية!B:B, MATCH(84, البيانات_الأساسية!$I:$I, 0)), "")</f>
        <v>0</v>
      </c>
      <c r="D96" s="2">
        <f>IFERROR(INDEX(البيانات_الأساسية!C:C, MATCH(84, البيانات_الأساسية!$I:$I, 0)), "")</f>
        <v>0</v>
      </c>
      <c r="E96" s="2">
        <f>IFERROR(INDEX(البيانات_الأساسية!D:D, MATCH(84, البيانات_الأساسية!$I:$I, 0)), "")</f>
        <v>0</v>
      </c>
      <c r="F96" s="2">
        <f>IFERROR(INDEX(البيانات_الأساسية!E:E, MATCH(84, البيانات_الأساسية!$I:$I, 0)), "")</f>
        <v>0</v>
      </c>
      <c r="G96" s="2">
        <f>IFERROR(INDEX(البيانات_الأساسية!F:F, MATCH(84, البيانات_الأساسية!$I:$I, 0)), "")</f>
        <v>0</v>
      </c>
      <c r="H96" s="2">
        <f>IFERROR(INDEX(البيانات_الأساسية!G:G, MATCH(84, البيانات_الأساسية!$I:$I, 0)), "")</f>
        <v>0</v>
      </c>
    </row>
    <row r="97" spans="2:8" s="3" customFormat="1" ht="20" customHeight="1">
      <c r="B97" s="2">
        <f>IFERROR(INDEX(البيانات_الأساسية!A:A, MATCH(85, البيانات_الأساسية!$I:$I, 0)), "")</f>
        <v>0</v>
      </c>
      <c r="C97" s="2">
        <f>IFERROR(INDEX(البيانات_الأساسية!B:B, MATCH(85, البيانات_الأساسية!$I:$I, 0)), "")</f>
        <v>0</v>
      </c>
      <c r="D97" s="2">
        <f>IFERROR(INDEX(البيانات_الأساسية!C:C, MATCH(85, البيانات_الأساسية!$I:$I, 0)), "")</f>
        <v>0</v>
      </c>
      <c r="E97" s="2">
        <f>IFERROR(INDEX(البيانات_الأساسية!D:D, MATCH(85, البيانات_الأساسية!$I:$I, 0)), "")</f>
        <v>0</v>
      </c>
      <c r="F97" s="2">
        <f>IFERROR(INDEX(البيانات_الأساسية!E:E, MATCH(85, البيانات_الأساسية!$I:$I, 0)), "")</f>
        <v>0</v>
      </c>
      <c r="G97" s="2">
        <f>IFERROR(INDEX(البيانات_الأساسية!F:F, MATCH(85, البيانات_الأساسية!$I:$I, 0)), "")</f>
        <v>0</v>
      </c>
      <c r="H97" s="2">
        <f>IFERROR(INDEX(البيانات_الأساسية!G:G, MATCH(85, البيانات_الأساسية!$I:$I, 0)), "")</f>
        <v>0</v>
      </c>
    </row>
    <row r="98" spans="2:8" s="3" customFormat="1" ht="20" customHeight="1">
      <c r="B98" s="2">
        <f>IFERROR(INDEX(البيانات_الأساسية!A:A, MATCH(86, البيانات_الأساسية!$I:$I, 0)), "")</f>
        <v>0</v>
      </c>
      <c r="C98" s="2">
        <f>IFERROR(INDEX(البيانات_الأساسية!B:B, MATCH(86, البيانات_الأساسية!$I:$I, 0)), "")</f>
        <v>0</v>
      </c>
      <c r="D98" s="2">
        <f>IFERROR(INDEX(البيانات_الأساسية!C:C, MATCH(86, البيانات_الأساسية!$I:$I, 0)), "")</f>
        <v>0</v>
      </c>
      <c r="E98" s="2">
        <f>IFERROR(INDEX(البيانات_الأساسية!D:D, MATCH(86, البيانات_الأساسية!$I:$I, 0)), "")</f>
        <v>0</v>
      </c>
      <c r="F98" s="2">
        <f>IFERROR(INDEX(البيانات_الأساسية!E:E, MATCH(86, البيانات_الأساسية!$I:$I, 0)), "")</f>
        <v>0</v>
      </c>
      <c r="G98" s="2">
        <f>IFERROR(INDEX(البيانات_الأساسية!F:F, MATCH(86, البيانات_الأساسية!$I:$I, 0)), "")</f>
        <v>0</v>
      </c>
      <c r="H98" s="2">
        <f>IFERROR(INDEX(البيانات_الأساسية!G:G, MATCH(86, البيانات_الأساسية!$I:$I, 0)), "")</f>
        <v>0</v>
      </c>
    </row>
    <row r="99" spans="2:8" s="3" customFormat="1" ht="20" customHeight="1">
      <c r="B99" s="2">
        <f>IFERROR(INDEX(البيانات_الأساسية!A:A, MATCH(87, البيانات_الأساسية!$I:$I, 0)), "")</f>
        <v>0</v>
      </c>
      <c r="C99" s="2">
        <f>IFERROR(INDEX(البيانات_الأساسية!B:B, MATCH(87, البيانات_الأساسية!$I:$I, 0)), "")</f>
        <v>0</v>
      </c>
      <c r="D99" s="2">
        <f>IFERROR(INDEX(البيانات_الأساسية!C:C, MATCH(87, البيانات_الأساسية!$I:$I, 0)), "")</f>
        <v>0</v>
      </c>
      <c r="E99" s="2">
        <f>IFERROR(INDEX(البيانات_الأساسية!D:D, MATCH(87, البيانات_الأساسية!$I:$I, 0)), "")</f>
        <v>0</v>
      </c>
      <c r="F99" s="2">
        <f>IFERROR(INDEX(البيانات_الأساسية!E:E, MATCH(87, البيانات_الأساسية!$I:$I, 0)), "")</f>
        <v>0</v>
      </c>
      <c r="G99" s="2">
        <f>IFERROR(INDEX(البيانات_الأساسية!F:F, MATCH(87, البيانات_الأساسية!$I:$I, 0)), "")</f>
        <v>0</v>
      </c>
      <c r="H99" s="2">
        <f>IFERROR(INDEX(البيانات_الأساسية!G:G, MATCH(87, البيانات_الأساسية!$I:$I, 0)), "")</f>
        <v>0</v>
      </c>
    </row>
    <row r="100" spans="2:8" s="3" customFormat="1" ht="20" customHeight="1">
      <c r="B100" s="2">
        <f>IFERROR(INDEX(البيانات_الأساسية!A:A, MATCH(88, البيانات_الأساسية!$I:$I, 0)), "")</f>
        <v>0</v>
      </c>
      <c r="C100" s="2">
        <f>IFERROR(INDEX(البيانات_الأساسية!B:B, MATCH(88, البيانات_الأساسية!$I:$I, 0)), "")</f>
        <v>0</v>
      </c>
      <c r="D100" s="2">
        <f>IFERROR(INDEX(البيانات_الأساسية!C:C, MATCH(88, البيانات_الأساسية!$I:$I, 0)), "")</f>
        <v>0</v>
      </c>
      <c r="E100" s="2">
        <f>IFERROR(INDEX(البيانات_الأساسية!D:D, MATCH(88, البيانات_الأساسية!$I:$I, 0)), "")</f>
        <v>0</v>
      </c>
      <c r="F100" s="2">
        <f>IFERROR(INDEX(البيانات_الأساسية!E:E, MATCH(88, البيانات_الأساسية!$I:$I, 0)), "")</f>
        <v>0</v>
      </c>
      <c r="G100" s="2">
        <f>IFERROR(INDEX(البيانات_الأساسية!F:F, MATCH(88, البيانات_الأساسية!$I:$I, 0)), "")</f>
        <v>0</v>
      </c>
      <c r="H100" s="2">
        <f>IFERROR(INDEX(البيانات_الأساسية!G:G, MATCH(88, البيانات_الأساسية!$I:$I, 0)), "")</f>
        <v>0</v>
      </c>
    </row>
    <row r="101" spans="2:8" s="3" customFormat="1" ht="20" customHeight="1">
      <c r="B101" s="2">
        <f>IFERROR(INDEX(البيانات_الأساسية!A:A, MATCH(89, البيانات_الأساسية!$I:$I, 0)), "")</f>
        <v>0</v>
      </c>
      <c r="C101" s="2">
        <f>IFERROR(INDEX(البيانات_الأساسية!B:B, MATCH(89, البيانات_الأساسية!$I:$I, 0)), "")</f>
        <v>0</v>
      </c>
      <c r="D101" s="2">
        <f>IFERROR(INDEX(البيانات_الأساسية!C:C, MATCH(89, البيانات_الأساسية!$I:$I, 0)), "")</f>
        <v>0</v>
      </c>
      <c r="E101" s="2">
        <f>IFERROR(INDEX(البيانات_الأساسية!D:D, MATCH(89, البيانات_الأساسية!$I:$I, 0)), "")</f>
        <v>0</v>
      </c>
      <c r="F101" s="2">
        <f>IFERROR(INDEX(البيانات_الأساسية!E:E, MATCH(89, البيانات_الأساسية!$I:$I, 0)), "")</f>
        <v>0</v>
      </c>
      <c r="G101" s="2">
        <f>IFERROR(INDEX(البيانات_الأساسية!F:F, MATCH(89, البيانات_الأساسية!$I:$I, 0)), "")</f>
        <v>0</v>
      </c>
      <c r="H101" s="2">
        <f>IFERROR(INDEX(البيانات_الأساسية!G:G, MATCH(89, البيانات_الأساسية!$I:$I, 0)), "")</f>
        <v>0</v>
      </c>
    </row>
    <row r="102" spans="2:8" s="3" customFormat="1" ht="20" customHeight="1">
      <c r="B102" s="2">
        <f>IFERROR(INDEX(البيانات_الأساسية!A:A, MATCH(90, البيانات_الأساسية!$I:$I, 0)), "")</f>
        <v>0</v>
      </c>
      <c r="C102" s="2">
        <f>IFERROR(INDEX(البيانات_الأساسية!B:B, MATCH(90, البيانات_الأساسية!$I:$I, 0)), "")</f>
        <v>0</v>
      </c>
      <c r="D102" s="2">
        <f>IFERROR(INDEX(البيانات_الأساسية!C:C, MATCH(90, البيانات_الأساسية!$I:$I, 0)), "")</f>
        <v>0</v>
      </c>
      <c r="E102" s="2">
        <f>IFERROR(INDEX(البيانات_الأساسية!D:D, MATCH(90, البيانات_الأساسية!$I:$I, 0)), "")</f>
        <v>0</v>
      </c>
      <c r="F102" s="2">
        <f>IFERROR(INDEX(البيانات_الأساسية!E:E, MATCH(90, البيانات_الأساسية!$I:$I, 0)), "")</f>
        <v>0</v>
      </c>
      <c r="G102" s="2">
        <f>IFERROR(INDEX(البيانات_الأساسية!F:F, MATCH(90, البيانات_الأساسية!$I:$I, 0)), "")</f>
        <v>0</v>
      </c>
      <c r="H102" s="2">
        <f>IFERROR(INDEX(البيانات_الأساسية!G:G, MATCH(90, البيانات_الأساسية!$I:$I, 0)), "")</f>
        <v>0</v>
      </c>
    </row>
    <row r="103" spans="2:8" s="3" customFormat="1" ht="20" customHeight="1">
      <c r="B103" s="2">
        <f>IFERROR(INDEX(البيانات_الأساسية!A:A, MATCH(91, البيانات_الأساسية!$I:$I, 0)), "")</f>
        <v>0</v>
      </c>
      <c r="C103" s="2">
        <f>IFERROR(INDEX(البيانات_الأساسية!B:B, MATCH(91, البيانات_الأساسية!$I:$I, 0)), "")</f>
        <v>0</v>
      </c>
      <c r="D103" s="2">
        <f>IFERROR(INDEX(البيانات_الأساسية!C:C, MATCH(91, البيانات_الأساسية!$I:$I, 0)), "")</f>
        <v>0</v>
      </c>
      <c r="E103" s="2">
        <f>IFERROR(INDEX(البيانات_الأساسية!D:D, MATCH(91, البيانات_الأساسية!$I:$I, 0)), "")</f>
        <v>0</v>
      </c>
      <c r="F103" s="2">
        <f>IFERROR(INDEX(البيانات_الأساسية!E:E, MATCH(91, البيانات_الأساسية!$I:$I, 0)), "")</f>
        <v>0</v>
      </c>
      <c r="G103" s="2">
        <f>IFERROR(INDEX(البيانات_الأساسية!F:F, MATCH(91, البيانات_الأساسية!$I:$I, 0)), "")</f>
        <v>0</v>
      </c>
      <c r="H103" s="2">
        <f>IFERROR(INDEX(البيانات_الأساسية!G:G, MATCH(91, البيانات_الأساسية!$I:$I, 0)), "")</f>
        <v>0</v>
      </c>
    </row>
    <row r="104" spans="2:8" s="3" customFormat="1" ht="20" customHeight="1">
      <c r="B104" s="2">
        <f>IFERROR(INDEX(البيانات_الأساسية!A:A, MATCH(92, البيانات_الأساسية!$I:$I, 0)), "")</f>
        <v>0</v>
      </c>
      <c r="C104" s="2">
        <f>IFERROR(INDEX(البيانات_الأساسية!B:B, MATCH(92, البيانات_الأساسية!$I:$I, 0)), "")</f>
        <v>0</v>
      </c>
      <c r="D104" s="2">
        <f>IFERROR(INDEX(البيانات_الأساسية!C:C, MATCH(92, البيانات_الأساسية!$I:$I, 0)), "")</f>
        <v>0</v>
      </c>
      <c r="E104" s="2">
        <f>IFERROR(INDEX(البيانات_الأساسية!D:D, MATCH(92, البيانات_الأساسية!$I:$I, 0)), "")</f>
        <v>0</v>
      </c>
      <c r="F104" s="2">
        <f>IFERROR(INDEX(البيانات_الأساسية!E:E, MATCH(92, البيانات_الأساسية!$I:$I, 0)), "")</f>
        <v>0</v>
      </c>
      <c r="G104" s="2">
        <f>IFERROR(INDEX(البيانات_الأساسية!F:F, MATCH(92, البيانات_الأساسية!$I:$I, 0)), "")</f>
        <v>0</v>
      </c>
      <c r="H104" s="2">
        <f>IFERROR(INDEX(البيانات_الأساسية!G:G, MATCH(92, البيانات_الأساسية!$I:$I, 0)), "")</f>
        <v>0</v>
      </c>
    </row>
    <row r="105" spans="2:8" s="3" customFormat="1" ht="20" customHeight="1">
      <c r="B105" s="2">
        <f>IFERROR(INDEX(البيانات_الأساسية!A:A, MATCH(93, البيانات_الأساسية!$I:$I, 0)), "")</f>
        <v>0</v>
      </c>
      <c r="C105" s="2">
        <f>IFERROR(INDEX(البيانات_الأساسية!B:B, MATCH(93, البيانات_الأساسية!$I:$I, 0)), "")</f>
        <v>0</v>
      </c>
      <c r="D105" s="2">
        <f>IFERROR(INDEX(البيانات_الأساسية!C:C, MATCH(93, البيانات_الأساسية!$I:$I, 0)), "")</f>
        <v>0</v>
      </c>
      <c r="E105" s="2">
        <f>IFERROR(INDEX(البيانات_الأساسية!D:D, MATCH(93, البيانات_الأساسية!$I:$I, 0)), "")</f>
        <v>0</v>
      </c>
      <c r="F105" s="2">
        <f>IFERROR(INDEX(البيانات_الأساسية!E:E, MATCH(93, البيانات_الأساسية!$I:$I, 0)), "")</f>
        <v>0</v>
      </c>
      <c r="G105" s="2">
        <f>IFERROR(INDEX(البيانات_الأساسية!F:F, MATCH(93, البيانات_الأساسية!$I:$I, 0)), "")</f>
        <v>0</v>
      </c>
      <c r="H105" s="2">
        <f>IFERROR(INDEX(البيانات_الأساسية!G:G, MATCH(93, البيانات_الأساسية!$I:$I, 0)), "")</f>
        <v>0</v>
      </c>
    </row>
    <row r="106" spans="2:8" s="3" customFormat="1" ht="20" customHeight="1">
      <c r="B106" s="2">
        <f>IFERROR(INDEX(البيانات_الأساسية!A:A, MATCH(94, البيانات_الأساسية!$I:$I, 0)), "")</f>
        <v>0</v>
      </c>
      <c r="C106" s="2">
        <f>IFERROR(INDEX(البيانات_الأساسية!B:B, MATCH(94, البيانات_الأساسية!$I:$I, 0)), "")</f>
        <v>0</v>
      </c>
      <c r="D106" s="2">
        <f>IFERROR(INDEX(البيانات_الأساسية!C:C, MATCH(94, البيانات_الأساسية!$I:$I, 0)), "")</f>
        <v>0</v>
      </c>
      <c r="E106" s="2">
        <f>IFERROR(INDEX(البيانات_الأساسية!D:D, MATCH(94, البيانات_الأساسية!$I:$I, 0)), "")</f>
        <v>0</v>
      </c>
      <c r="F106" s="2">
        <f>IFERROR(INDEX(البيانات_الأساسية!E:E, MATCH(94, البيانات_الأساسية!$I:$I, 0)), "")</f>
        <v>0</v>
      </c>
      <c r="G106" s="2">
        <f>IFERROR(INDEX(البيانات_الأساسية!F:F, MATCH(94, البيانات_الأساسية!$I:$I, 0)), "")</f>
        <v>0</v>
      </c>
      <c r="H106" s="2">
        <f>IFERROR(INDEX(البيانات_الأساسية!G:G, MATCH(94, البيانات_الأساسية!$I:$I, 0)), "")</f>
        <v>0</v>
      </c>
    </row>
    <row r="107" spans="2:8" s="3" customFormat="1" ht="20" customHeight="1">
      <c r="B107" s="2">
        <f>IFERROR(INDEX(البيانات_الأساسية!A:A, MATCH(95, البيانات_الأساسية!$I:$I, 0)), "")</f>
        <v>0</v>
      </c>
      <c r="C107" s="2">
        <f>IFERROR(INDEX(البيانات_الأساسية!B:B, MATCH(95, البيانات_الأساسية!$I:$I, 0)), "")</f>
        <v>0</v>
      </c>
      <c r="D107" s="2">
        <f>IFERROR(INDEX(البيانات_الأساسية!C:C, MATCH(95, البيانات_الأساسية!$I:$I, 0)), "")</f>
        <v>0</v>
      </c>
      <c r="E107" s="2">
        <f>IFERROR(INDEX(البيانات_الأساسية!D:D, MATCH(95, البيانات_الأساسية!$I:$I, 0)), "")</f>
        <v>0</v>
      </c>
      <c r="F107" s="2">
        <f>IFERROR(INDEX(البيانات_الأساسية!E:E, MATCH(95, البيانات_الأساسية!$I:$I, 0)), "")</f>
        <v>0</v>
      </c>
      <c r="G107" s="2">
        <f>IFERROR(INDEX(البيانات_الأساسية!F:F, MATCH(95, البيانات_الأساسية!$I:$I, 0)), "")</f>
        <v>0</v>
      </c>
      <c r="H107" s="2">
        <f>IFERROR(INDEX(البيانات_الأساسية!G:G, MATCH(95, البيانات_الأساسية!$I:$I, 0)), "")</f>
        <v>0</v>
      </c>
    </row>
    <row r="108" spans="2:8" s="3" customFormat="1" ht="20" customHeight="1">
      <c r="B108" s="2">
        <f>IFERROR(INDEX(البيانات_الأساسية!A:A, MATCH(96, البيانات_الأساسية!$I:$I, 0)), "")</f>
        <v>0</v>
      </c>
      <c r="C108" s="2">
        <f>IFERROR(INDEX(البيانات_الأساسية!B:B, MATCH(96, البيانات_الأساسية!$I:$I, 0)), "")</f>
        <v>0</v>
      </c>
      <c r="D108" s="2">
        <f>IFERROR(INDEX(البيانات_الأساسية!C:C, MATCH(96, البيانات_الأساسية!$I:$I, 0)), "")</f>
        <v>0</v>
      </c>
      <c r="E108" s="2">
        <f>IFERROR(INDEX(البيانات_الأساسية!D:D, MATCH(96, البيانات_الأساسية!$I:$I, 0)), "")</f>
        <v>0</v>
      </c>
      <c r="F108" s="2">
        <f>IFERROR(INDEX(البيانات_الأساسية!E:E, MATCH(96, البيانات_الأساسية!$I:$I, 0)), "")</f>
        <v>0</v>
      </c>
      <c r="G108" s="2">
        <f>IFERROR(INDEX(البيانات_الأساسية!F:F, MATCH(96, البيانات_الأساسية!$I:$I, 0)), "")</f>
        <v>0</v>
      </c>
      <c r="H108" s="2">
        <f>IFERROR(INDEX(البيانات_الأساسية!G:G, MATCH(96, البيانات_الأساسية!$I:$I, 0)), "")</f>
        <v>0</v>
      </c>
    </row>
    <row r="109" spans="2:8" s="3" customFormat="1" ht="20" customHeight="1">
      <c r="B109" s="2">
        <f>IFERROR(INDEX(البيانات_الأساسية!A:A, MATCH(97, البيانات_الأساسية!$I:$I, 0)), "")</f>
        <v>0</v>
      </c>
      <c r="C109" s="2">
        <f>IFERROR(INDEX(البيانات_الأساسية!B:B, MATCH(97, البيانات_الأساسية!$I:$I, 0)), "")</f>
        <v>0</v>
      </c>
      <c r="D109" s="2">
        <f>IFERROR(INDEX(البيانات_الأساسية!C:C, MATCH(97, البيانات_الأساسية!$I:$I, 0)), "")</f>
        <v>0</v>
      </c>
      <c r="E109" s="2">
        <f>IFERROR(INDEX(البيانات_الأساسية!D:D, MATCH(97, البيانات_الأساسية!$I:$I, 0)), "")</f>
        <v>0</v>
      </c>
      <c r="F109" s="2">
        <f>IFERROR(INDEX(البيانات_الأساسية!E:E, MATCH(97, البيانات_الأساسية!$I:$I, 0)), "")</f>
        <v>0</v>
      </c>
      <c r="G109" s="2">
        <f>IFERROR(INDEX(البيانات_الأساسية!F:F, MATCH(97, البيانات_الأساسية!$I:$I, 0)), "")</f>
        <v>0</v>
      </c>
      <c r="H109" s="2">
        <f>IFERROR(INDEX(البيانات_الأساسية!G:G, MATCH(97, البيانات_الأساسية!$I:$I, 0)), "")</f>
        <v>0</v>
      </c>
    </row>
    <row r="110" spans="2:8" s="3" customFormat="1" ht="20" customHeight="1">
      <c r="B110" s="2">
        <f>IFERROR(INDEX(البيانات_الأساسية!A:A, MATCH(98, البيانات_الأساسية!$I:$I, 0)), "")</f>
        <v>0</v>
      </c>
      <c r="C110" s="2">
        <f>IFERROR(INDEX(البيانات_الأساسية!B:B, MATCH(98, البيانات_الأساسية!$I:$I, 0)), "")</f>
        <v>0</v>
      </c>
      <c r="D110" s="2">
        <f>IFERROR(INDEX(البيانات_الأساسية!C:C, MATCH(98, البيانات_الأساسية!$I:$I, 0)), "")</f>
        <v>0</v>
      </c>
      <c r="E110" s="2">
        <f>IFERROR(INDEX(البيانات_الأساسية!D:D, MATCH(98, البيانات_الأساسية!$I:$I, 0)), "")</f>
        <v>0</v>
      </c>
      <c r="F110" s="2">
        <f>IFERROR(INDEX(البيانات_الأساسية!E:E, MATCH(98, البيانات_الأساسية!$I:$I, 0)), "")</f>
        <v>0</v>
      </c>
      <c r="G110" s="2">
        <f>IFERROR(INDEX(البيانات_الأساسية!F:F, MATCH(98, البيانات_الأساسية!$I:$I, 0)), "")</f>
        <v>0</v>
      </c>
      <c r="H110" s="2">
        <f>IFERROR(INDEX(البيانات_الأساسية!G:G, MATCH(98, البيانات_الأساسية!$I:$I, 0)), "")</f>
        <v>0</v>
      </c>
    </row>
    <row r="111" spans="2:8" s="3" customFormat="1" ht="20" customHeight="1">
      <c r="B111" s="2">
        <f>IFERROR(INDEX(البيانات_الأساسية!A:A, MATCH(99, البيانات_الأساسية!$I:$I, 0)), "")</f>
        <v>0</v>
      </c>
      <c r="C111" s="2">
        <f>IFERROR(INDEX(البيانات_الأساسية!B:B, MATCH(99, البيانات_الأساسية!$I:$I, 0)), "")</f>
        <v>0</v>
      </c>
      <c r="D111" s="2">
        <f>IFERROR(INDEX(البيانات_الأساسية!C:C, MATCH(99, البيانات_الأساسية!$I:$I, 0)), "")</f>
        <v>0</v>
      </c>
      <c r="E111" s="2">
        <f>IFERROR(INDEX(البيانات_الأساسية!D:D, MATCH(99, البيانات_الأساسية!$I:$I, 0)), "")</f>
        <v>0</v>
      </c>
      <c r="F111" s="2">
        <f>IFERROR(INDEX(البيانات_الأساسية!E:E, MATCH(99, البيانات_الأساسية!$I:$I, 0)), "")</f>
        <v>0</v>
      </c>
      <c r="G111" s="2">
        <f>IFERROR(INDEX(البيانات_الأساسية!F:F, MATCH(99, البيانات_الأساسية!$I:$I, 0)), "")</f>
        <v>0</v>
      </c>
      <c r="H111" s="2">
        <f>IFERROR(INDEX(البيانات_الأساسية!G:G, MATCH(99, البيانات_الأساسية!$I:$I, 0)), "")</f>
        <v>0</v>
      </c>
    </row>
    <row r="112" spans="2:8" s="3" customFormat="1" ht="20" customHeight="1">
      <c r="B112" s="2">
        <f>IFERROR(INDEX(البيانات_الأساسية!A:A, MATCH(100, البيانات_الأساسية!$I:$I, 0)), "")</f>
        <v>0</v>
      </c>
      <c r="C112" s="2">
        <f>IFERROR(INDEX(البيانات_الأساسية!B:B, MATCH(100, البيانات_الأساسية!$I:$I, 0)), "")</f>
        <v>0</v>
      </c>
      <c r="D112" s="2">
        <f>IFERROR(INDEX(البيانات_الأساسية!C:C, MATCH(100, البيانات_الأساسية!$I:$I, 0)), "")</f>
        <v>0</v>
      </c>
      <c r="E112" s="2">
        <f>IFERROR(INDEX(البيانات_الأساسية!D:D, MATCH(100, البيانات_الأساسية!$I:$I, 0)), "")</f>
        <v>0</v>
      </c>
      <c r="F112" s="2">
        <f>IFERROR(INDEX(البيانات_الأساسية!E:E, MATCH(100, البيانات_الأساسية!$I:$I, 0)), "")</f>
        <v>0</v>
      </c>
      <c r="G112" s="2">
        <f>IFERROR(INDEX(البيانات_الأساسية!F:F, MATCH(100, البيانات_الأساسية!$I:$I, 0)), "")</f>
        <v>0</v>
      </c>
      <c r="H112" s="2">
        <f>IFERROR(INDEX(البيانات_الأساسية!G:G, MATCH(100, البيانات_الأساسية!$I:$I, 0)), "")</f>
        <v>0</v>
      </c>
    </row>
    <row r="113" spans="2:8" s="3" customFormat="1" ht="20" customHeight="1">
      <c r="B113" s="2">
        <f>IFERROR(INDEX(البيانات_الأساسية!A:A, MATCH(101, البيانات_الأساسية!$I:$I, 0)), "")</f>
        <v>0</v>
      </c>
      <c r="C113" s="2">
        <f>IFERROR(INDEX(البيانات_الأساسية!B:B, MATCH(101, البيانات_الأساسية!$I:$I, 0)), "")</f>
        <v>0</v>
      </c>
      <c r="D113" s="2">
        <f>IFERROR(INDEX(البيانات_الأساسية!C:C, MATCH(101, البيانات_الأساسية!$I:$I, 0)), "")</f>
        <v>0</v>
      </c>
      <c r="E113" s="2">
        <f>IFERROR(INDEX(البيانات_الأساسية!D:D, MATCH(101, البيانات_الأساسية!$I:$I, 0)), "")</f>
        <v>0</v>
      </c>
      <c r="F113" s="2">
        <f>IFERROR(INDEX(البيانات_الأساسية!E:E, MATCH(101, البيانات_الأساسية!$I:$I, 0)), "")</f>
        <v>0</v>
      </c>
      <c r="G113" s="2">
        <f>IFERROR(INDEX(البيانات_الأساسية!F:F, MATCH(101, البيانات_الأساسية!$I:$I, 0)), "")</f>
        <v>0</v>
      </c>
      <c r="H113" s="2">
        <f>IFERROR(INDEX(البيانات_الأساسية!G:G, MATCH(101, البيانات_الأساسية!$I:$I, 0)), "")</f>
        <v>0</v>
      </c>
    </row>
    <row r="114" spans="2:8" s="3" customFormat="1" ht="20" customHeight="1">
      <c r="B114" s="2">
        <f>IFERROR(INDEX(البيانات_الأساسية!A:A, MATCH(102, البيانات_الأساسية!$I:$I, 0)), "")</f>
        <v>0</v>
      </c>
      <c r="C114" s="2">
        <f>IFERROR(INDEX(البيانات_الأساسية!B:B, MATCH(102, البيانات_الأساسية!$I:$I, 0)), "")</f>
        <v>0</v>
      </c>
      <c r="D114" s="2">
        <f>IFERROR(INDEX(البيانات_الأساسية!C:C, MATCH(102, البيانات_الأساسية!$I:$I, 0)), "")</f>
        <v>0</v>
      </c>
      <c r="E114" s="2">
        <f>IFERROR(INDEX(البيانات_الأساسية!D:D, MATCH(102, البيانات_الأساسية!$I:$I, 0)), "")</f>
        <v>0</v>
      </c>
      <c r="F114" s="2">
        <f>IFERROR(INDEX(البيانات_الأساسية!E:E, MATCH(102, البيانات_الأساسية!$I:$I, 0)), "")</f>
        <v>0</v>
      </c>
      <c r="G114" s="2">
        <f>IFERROR(INDEX(البيانات_الأساسية!F:F, MATCH(102, البيانات_الأساسية!$I:$I, 0)), "")</f>
        <v>0</v>
      </c>
      <c r="H114" s="2">
        <f>IFERROR(INDEX(البيانات_الأساسية!G:G, MATCH(102, البيانات_الأساسية!$I:$I, 0)), "")</f>
        <v>0</v>
      </c>
    </row>
    <row r="115" spans="2:8" s="3" customFormat="1" ht="20" customHeight="1">
      <c r="B115" s="2">
        <f>IFERROR(INDEX(البيانات_الأساسية!A:A, MATCH(103, البيانات_الأساسية!$I:$I, 0)), "")</f>
        <v>0</v>
      </c>
      <c r="C115" s="2">
        <f>IFERROR(INDEX(البيانات_الأساسية!B:B, MATCH(103, البيانات_الأساسية!$I:$I, 0)), "")</f>
        <v>0</v>
      </c>
      <c r="D115" s="2">
        <f>IFERROR(INDEX(البيانات_الأساسية!C:C, MATCH(103, البيانات_الأساسية!$I:$I, 0)), "")</f>
        <v>0</v>
      </c>
      <c r="E115" s="2">
        <f>IFERROR(INDEX(البيانات_الأساسية!D:D, MATCH(103, البيانات_الأساسية!$I:$I, 0)), "")</f>
        <v>0</v>
      </c>
      <c r="F115" s="2">
        <f>IFERROR(INDEX(البيانات_الأساسية!E:E, MATCH(103, البيانات_الأساسية!$I:$I, 0)), "")</f>
        <v>0</v>
      </c>
      <c r="G115" s="2">
        <f>IFERROR(INDEX(البيانات_الأساسية!F:F, MATCH(103, البيانات_الأساسية!$I:$I, 0)), "")</f>
        <v>0</v>
      </c>
      <c r="H115" s="2">
        <f>IFERROR(INDEX(البيانات_الأساسية!G:G, MATCH(103, البيانات_الأساسية!$I:$I, 0)), "")</f>
        <v>0</v>
      </c>
    </row>
    <row r="116" spans="2:8" s="3" customFormat="1" ht="20" customHeight="1">
      <c r="B116" s="2">
        <f>IFERROR(INDEX(البيانات_الأساسية!A:A, MATCH(104, البيانات_الأساسية!$I:$I, 0)), "")</f>
        <v>0</v>
      </c>
      <c r="C116" s="2">
        <f>IFERROR(INDEX(البيانات_الأساسية!B:B, MATCH(104, البيانات_الأساسية!$I:$I, 0)), "")</f>
        <v>0</v>
      </c>
      <c r="D116" s="2">
        <f>IFERROR(INDEX(البيانات_الأساسية!C:C, MATCH(104, البيانات_الأساسية!$I:$I, 0)), "")</f>
        <v>0</v>
      </c>
      <c r="E116" s="2">
        <f>IFERROR(INDEX(البيانات_الأساسية!D:D, MATCH(104, البيانات_الأساسية!$I:$I, 0)), "")</f>
        <v>0</v>
      </c>
      <c r="F116" s="2">
        <f>IFERROR(INDEX(البيانات_الأساسية!E:E, MATCH(104, البيانات_الأساسية!$I:$I, 0)), "")</f>
        <v>0</v>
      </c>
      <c r="G116" s="2">
        <f>IFERROR(INDEX(البيانات_الأساسية!F:F, MATCH(104, البيانات_الأساسية!$I:$I, 0)), "")</f>
        <v>0</v>
      </c>
      <c r="H116" s="2">
        <f>IFERROR(INDEX(البيانات_الأساسية!G:G, MATCH(104, البيانات_الأساسية!$I:$I, 0)), "")</f>
        <v>0</v>
      </c>
    </row>
    <row r="117" spans="2:8" s="3" customFormat="1" ht="20" customHeight="1">
      <c r="B117" s="2">
        <f>IFERROR(INDEX(البيانات_الأساسية!A:A, MATCH(105, البيانات_الأساسية!$I:$I, 0)), "")</f>
        <v>0</v>
      </c>
      <c r="C117" s="2">
        <f>IFERROR(INDEX(البيانات_الأساسية!B:B, MATCH(105, البيانات_الأساسية!$I:$I, 0)), "")</f>
        <v>0</v>
      </c>
      <c r="D117" s="2">
        <f>IFERROR(INDEX(البيانات_الأساسية!C:C, MATCH(105, البيانات_الأساسية!$I:$I, 0)), "")</f>
        <v>0</v>
      </c>
      <c r="E117" s="2">
        <f>IFERROR(INDEX(البيانات_الأساسية!D:D, MATCH(105, البيانات_الأساسية!$I:$I, 0)), "")</f>
        <v>0</v>
      </c>
      <c r="F117" s="2">
        <f>IFERROR(INDEX(البيانات_الأساسية!E:E, MATCH(105, البيانات_الأساسية!$I:$I, 0)), "")</f>
        <v>0</v>
      </c>
      <c r="G117" s="2">
        <f>IFERROR(INDEX(البيانات_الأساسية!F:F, MATCH(105, البيانات_الأساسية!$I:$I, 0)), "")</f>
        <v>0</v>
      </c>
      <c r="H117" s="2">
        <f>IFERROR(INDEX(البيانات_الأساسية!G:G, MATCH(105, البيانات_الأساسية!$I:$I, 0)), "")</f>
        <v>0</v>
      </c>
    </row>
    <row r="118" spans="2:8" s="3" customFormat="1" ht="20" customHeight="1">
      <c r="B118" s="2">
        <f>IFERROR(INDEX(البيانات_الأساسية!A:A, MATCH(106, البيانات_الأساسية!$I:$I, 0)), "")</f>
        <v>0</v>
      </c>
      <c r="C118" s="2">
        <f>IFERROR(INDEX(البيانات_الأساسية!B:B, MATCH(106, البيانات_الأساسية!$I:$I, 0)), "")</f>
        <v>0</v>
      </c>
      <c r="D118" s="2">
        <f>IFERROR(INDEX(البيانات_الأساسية!C:C, MATCH(106, البيانات_الأساسية!$I:$I, 0)), "")</f>
        <v>0</v>
      </c>
      <c r="E118" s="2">
        <f>IFERROR(INDEX(البيانات_الأساسية!D:D, MATCH(106, البيانات_الأساسية!$I:$I, 0)), "")</f>
        <v>0</v>
      </c>
      <c r="F118" s="2">
        <f>IFERROR(INDEX(البيانات_الأساسية!E:E, MATCH(106, البيانات_الأساسية!$I:$I, 0)), "")</f>
        <v>0</v>
      </c>
      <c r="G118" s="2">
        <f>IFERROR(INDEX(البيانات_الأساسية!F:F, MATCH(106, البيانات_الأساسية!$I:$I, 0)), "")</f>
        <v>0</v>
      </c>
      <c r="H118" s="2">
        <f>IFERROR(INDEX(البيانات_الأساسية!G:G, MATCH(106, البيانات_الأساسية!$I:$I, 0)), "")</f>
        <v>0</v>
      </c>
    </row>
    <row r="119" spans="2:8" s="3" customFormat="1" ht="20" customHeight="1">
      <c r="B119" s="2">
        <f>IFERROR(INDEX(البيانات_الأساسية!A:A, MATCH(107, البيانات_الأساسية!$I:$I, 0)), "")</f>
        <v>0</v>
      </c>
      <c r="C119" s="2">
        <f>IFERROR(INDEX(البيانات_الأساسية!B:B, MATCH(107, البيانات_الأساسية!$I:$I, 0)), "")</f>
        <v>0</v>
      </c>
      <c r="D119" s="2">
        <f>IFERROR(INDEX(البيانات_الأساسية!C:C, MATCH(107, البيانات_الأساسية!$I:$I, 0)), "")</f>
        <v>0</v>
      </c>
      <c r="E119" s="2">
        <f>IFERROR(INDEX(البيانات_الأساسية!D:D, MATCH(107, البيانات_الأساسية!$I:$I, 0)), "")</f>
        <v>0</v>
      </c>
      <c r="F119" s="2">
        <f>IFERROR(INDEX(البيانات_الأساسية!E:E, MATCH(107, البيانات_الأساسية!$I:$I, 0)), "")</f>
        <v>0</v>
      </c>
      <c r="G119" s="2">
        <f>IFERROR(INDEX(البيانات_الأساسية!F:F, MATCH(107, البيانات_الأساسية!$I:$I, 0)), "")</f>
        <v>0</v>
      </c>
      <c r="H119" s="2">
        <f>IFERROR(INDEX(البيانات_الأساسية!G:G, MATCH(107, البيانات_الأساسية!$I:$I, 0)), "")</f>
        <v>0</v>
      </c>
    </row>
    <row r="120" spans="2:8" s="3" customFormat="1" ht="20" customHeight="1">
      <c r="B120" s="2">
        <f>IFERROR(INDEX(البيانات_الأساسية!A:A, MATCH(108, البيانات_الأساسية!$I:$I, 0)), "")</f>
        <v>0</v>
      </c>
      <c r="C120" s="2">
        <f>IFERROR(INDEX(البيانات_الأساسية!B:B, MATCH(108, البيانات_الأساسية!$I:$I, 0)), "")</f>
        <v>0</v>
      </c>
      <c r="D120" s="2">
        <f>IFERROR(INDEX(البيانات_الأساسية!C:C, MATCH(108, البيانات_الأساسية!$I:$I, 0)), "")</f>
        <v>0</v>
      </c>
      <c r="E120" s="2">
        <f>IFERROR(INDEX(البيانات_الأساسية!D:D, MATCH(108, البيانات_الأساسية!$I:$I, 0)), "")</f>
        <v>0</v>
      </c>
      <c r="F120" s="2">
        <f>IFERROR(INDEX(البيانات_الأساسية!E:E, MATCH(108, البيانات_الأساسية!$I:$I, 0)), "")</f>
        <v>0</v>
      </c>
      <c r="G120" s="2">
        <f>IFERROR(INDEX(البيانات_الأساسية!F:F, MATCH(108, البيانات_الأساسية!$I:$I, 0)), "")</f>
        <v>0</v>
      </c>
      <c r="H120" s="2">
        <f>IFERROR(INDEX(البيانات_الأساسية!G:G, MATCH(108, البيانات_الأساسية!$I:$I, 0)), "")</f>
        <v>0</v>
      </c>
    </row>
    <row r="121" spans="2:8" s="3" customFormat="1" ht="20" customHeight="1">
      <c r="B121" s="2">
        <f>IFERROR(INDEX(البيانات_الأساسية!A:A, MATCH(109, البيانات_الأساسية!$I:$I, 0)), "")</f>
        <v>0</v>
      </c>
      <c r="C121" s="2">
        <f>IFERROR(INDEX(البيانات_الأساسية!B:B, MATCH(109, البيانات_الأساسية!$I:$I, 0)), "")</f>
        <v>0</v>
      </c>
      <c r="D121" s="2">
        <f>IFERROR(INDEX(البيانات_الأساسية!C:C, MATCH(109, البيانات_الأساسية!$I:$I, 0)), "")</f>
        <v>0</v>
      </c>
      <c r="E121" s="2">
        <f>IFERROR(INDEX(البيانات_الأساسية!D:D, MATCH(109, البيانات_الأساسية!$I:$I, 0)), "")</f>
        <v>0</v>
      </c>
      <c r="F121" s="2">
        <f>IFERROR(INDEX(البيانات_الأساسية!E:E, MATCH(109, البيانات_الأساسية!$I:$I, 0)), "")</f>
        <v>0</v>
      </c>
      <c r="G121" s="2">
        <f>IFERROR(INDEX(البيانات_الأساسية!F:F, MATCH(109, البيانات_الأساسية!$I:$I, 0)), "")</f>
        <v>0</v>
      </c>
      <c r="H121" s="2">
        <f>IFERROR(INDEX(البيانات_الأساسية!G:G, MATCH(109, البيانات_الأساسية!$I:$I, 0)), "")</f>
        <v>0</v>
      </c>
    </row>
    <row r="122" spans="2:8" s="3" customFormat="1" ht="20" customHeight="1">
      <c r="B122" s="2">
        <f>IFERROR(INDEX(البيانات_الأساسية!A:A, MATCH(110, البيانات_الأساسية!$I:$I, 0)), "")</f>
        <v>0</v>
      </c>
      <c r="C122" s="2">
        <f>IFERROR(INDEX(البيانات_الأساسية!B:B, MATCH(110, البيانات_الأساسية!$I:$I, 0)), "")</f>
        <v>0</v>
      </c>
      <c r="D122" s="2">
        <f>IFERROR(INDEX(البيانات_الأساسية!C:C, MATCH(110, البيانات_الأساسية!$I:$I, 0)), "")</f>
        <v>0</v>
      </c>
      <c r="E122" s="2">
        <f>IFERROR(INDEX(البيانات_الأساسية!D:D, MATCH(110, البيانات_الأساسية!$I:$I, 0)), "")</f>
        <v>0</v>
      </c>
      <c r="F122" s="2">
        <f>IFERROR(INDEX(البيانات_الأساسية!E:E, MATCH(110, البيانات_الأساسية!$I:$I, 0)), "")</f>
        <v>0</v>
      </c>
      <c r="G122" s="2">
        <f>IFERROR(INDEX(البيانات_الأساسية!F:F, MATCH(110, البيانات_الأساسية!$I:$I, 0)), "")</f>
        <v>0</v>
      </c>
      <c r="H122" s="2">
        <f>IFERROR(INDEX(البيانات_الأساسية!G:G, MATCH(110, البيانات_الأساسية!$I:$I, 0)), "")</f>
        <v>0</v>
      </c>
    </row>
    <row r="123" spans="2:8" s="3" customFormat="1" ht="20" customHeight="1">
      <c r="B123" s="2">
        <f>IFERROR(INDEX(البيانات_الأساسية!A:A, MATCH(111, البيانات_الأساسية!$I:$I, 0)), "")</f>
        <v>0</v>
      </c>
      <c r="C123" s="2">
        <f>IFERROR(INDEX(البيانات_الأساسية!B:B, MATCH(111, البيانات_الأساسية!$I:$I, 0)), "")</f>
        <v>0</v>
      </c>
      <c r="D123" s="2">
        <f>IFERROR(INDEX(البيانات_الأساسية!C:C, MATCH(111, البيانات_الأساسية!$I:$I, 0)), "")</f>
        <v>0</v>
      </c>
      <c r="E123" s="2">
        <f>IFERROR(INDEX(البيانات_الأساسية!D:D, MATCH(111, البيانات_الأساسية!$I:$I, 0)), "")</f>
        <v>0</v>
      </c>
      <c r="F123" s="2">
        <f>IFERROR(INDEX(البيانات_الأساسية!E:E, MATCH(111, البيانات_الأساسية!$I:$I, 0)), "")</f>
        <v>0</v>
      </c>
      <c r="G123" s="2">
        <f>IFERROR(INDEX(البيانات_الأساسية!F:F, MATCH(111, البيانات_الأساسية!$I:$I, 0)), "")</f>
        <v>0</v>
      </c>
      <c r="H123" s="2">
        <f>IFERROR(INDEX(البيانات_الأساسية!G:G, MATCH(111, البيانات_الأساسية!$I:$I, 0)), "")</f>
        <v>0</v>
      </c>
    </row>
    <row r="124" spans="2:8" s="3" customFormat="1" ht="20" customHeight="1">
      <c r="B124" s="2">
        <f>IFERROR(INDEX(البيانات_الأساسية!A:A, MATCH(112, البيانات_الأساسية!$I:$I, 0)), "")</f>
        <v>0</v>
      </c>
      <c r="C124" s="2">
        <f>IFERROR(INDEX(البيانات_الأساسية!B:B, MATCH(112, البيانات_الأساسية!$I:$I, 0)), "")</f>
        <v>0</v>
      </c>
      <c r="D124" s="2">
        <f>IFERROR(INDEX(البيانات_الأساسية!C:C, MATCH(112, البيانات_الأساسية!$I:$I, 0)), "")</f>
        <v>0</v>
      </c>
      <c r="E124" s="2">
        <f>IFERROR(INDEX(البيانات_الأساسية!D:D, MATCH(112, البيانات_الأساسية!$I:$I, 0)), "")</f>
        <v>0</v>
      </c>
      <c r="F124" s="2">
        <f>IFERROR(INDEX(البيانات_الأساسية!E:E, MATCH(112, البيانات_الأساسية!$I:$I, 0)), "")</f>
        <v>0</v>
      </c>
      <c r="G124" s="2">
        <f>IFERROR(INDEX(البيانات_الأساسية!F:F, MATCH(112, البيانات_الأساسية!$I:$I, 0)), "")</f>
        <v>0</v>
      </c>
      <c r="H124" s="2">
        <f>IFERROR(INDEX(البيانات_الأساسية!G:G, MATCH(112, البيانات_الأساسية!$I:$I, 0)), "")</f>
        <v>0</v>
      </c>
    </row>
    <row r="125" spans="2:8" s="3" customFormat="1" ht="20" customHeight="1">
      <c r="B125" s="2">
        <f>IFERROR(INDEX(البيانات_الأساسية!A:A, MATCH(113, البيانات_الأساسية!$I:$I, 0)), "")</f>
        <v>0</v>
      </c>
      <c r="C125" s="2">
        <f>IFERROR(INDEX(البيانات_الأساسية!B:B, MATCH(113, البيانات_الأساسية!$I:$I, 0)), "")</f>
        <v>0</v>
      </c>
      <c r="D125" s="2">
        <f>IFERROR(INDEX(البيانات_الأساسية!C:C, MATCH(113, البيانات_الأساسية!$I:$I, 0)), "")</f>
        <v>0</v>
      </c>
      <c r="E125" s="2">
        <f>IFERROR(INDEX(البيانات_الأساسية!D:D, MATCH(113, البيانات_الأساسية!$I:$I, 0)), "")</f>
        <v>0</v>
      </c>
      <c r="F125" s="2">
        <f>IFERROR(INDEX(البيانات_الأساسية!E:E, MATCH(113, البيانات_الأساسية!$I:$I, 0)), "")</f>
        <v>0</v>
      </c>
      <c r="G125" s="2">
        <f>IFERROR(INDEX(البيانات_الأساسية!F:F, MATCH(113, البيانات_الأساسية!$I:$I, 0)), "")</f>
        <v>0</v>
      </c>
      <c r="H125" s="2">
        <f>IFERROR(INDEX(البيانات_الأساسية!G:G, MATCH(113, البيانات_الأساسية!$I:$I, 0)), "")</f>
        <v>0</v>
      </c>
    </row>
    <row r="126" spans="2:8" s="3" customFormat="1" ht="20" customHeight="1">
      <c r="B126" s="2">
        <f>IFERROR(INDEX(البيانات_الأساسية!A:A, MATCH(114, البيانات_الأساسية!$I:$I, 0)), "")</f>
        <v>0</v>
      </c>
      <c r="C126" s="2">
        <f>IFERROR(INDEX(البيانات_الأساسية!B:B, MATCH(114, البيانات_الأساسية!$I:$I, 0)), "")</f>
        <v>0</v>
      </c>
      <c r="D126" s="2">
        <f>IFERROR(INDEX(البيانات_الأساسية!C:C, MATCH(114, البيانات_الأساسية!$I:$I, 0)), "")</f>
        <v>0</v>
      </c>
      <c r="E126" s="2">
        <f>IFERROR(INDEX(البيانات_الأساسية!D:D, MATCH(114, البيانات_الأساسية!$I:$I, 0)), "")</f>
        <v>0</v>
      </c>
      <c r="F126" s="2">
        <f>IFERROR(INDEX(البيانات_الأساسية!E:E, MATCH(114, البيانات_الأساسية!$I:$I, 0)), "")</f>
        <v>0</v>
      </c>
      <c r="G126" s="2">
        <f>IFERROR(INDEX(البيانات_الأساسية!F:F, MATCH(114, البيانات_الأساسية!$I:$I, 0)), "")</f>
        <v>0</v>
      </c>
      <c r="H126" s="2">
        <f>IFERROR(INDEX(البيانات_الأساسية!G:G, MATCH(114, البيانات_الأساسية!$I:$I, 0)), "")</f>
        <v>0</v>
      </c>
    </row>
    <row r="127" spans="2:8" s="3" customFormat="1" ht="20" customHeight="1">
      <c r="B127" s="2">
        <f>IFERROR(INDEX(البيانات_الأساسية!A:A, MATCH(115, البيانات_الأساسية!$I:$I, 0)), "")</f>
        <v>0</v>
      </c>
      <c r="C127" s="2">
        <f>IFERROR(INDEX(البيانات_الأساسية!B:B, MATCH(115, البيانات_الأساسية!$I:$I, 0)), "")</f>
        <v>0</v>
      </c>
      <c r="D127" s="2">
        <f>IFERROR(INDEX(البيانات_الأساسية!C:C, MATCH(115, البيانات_الأساسية!$I:$I, 0)), "")</f>
        <v>0</v>
      </c>
      <c r="E127" s="2">
        <f>IFERROR(INDEX(البيانات_الأساسية!D:D, MATCH(115, البيانات_الأساسية!$I:$I, 0)), "")</f>
        <v>0</v>
      </c>
      <c r="F127" s="2">
        <f>IFERROR(INDEX(البيانات_الأساسية!E:E, MATCH(115, البيانات_الأساسية!$I:$I, 0)), "")</f>
        <v>0</v>
      </c>
      <c r="G127" s="2">
        <f>IFERROR(INDEX(البيانات_الأساسية!F:F, MATCH(115, البيانات_الأساسية!$I:$I, 0)), "")</f>
        <v>0</v>
      </c>
      <c r="H127" s="2">
        <f>IFERROR(INDEX(البيانات_الأساسية!G:G, MATCH(115, البيانات_الأساسية!$I:$I, 0)), "")</f>
        <v>0</v>
      </c>
    </row>
    <row r="128" spans="2:8" s="3" customFormat="1" ht="20" customHeight="1">
      <c r="B128" s="2">
        <f>IFERROR(INDEX(البيانات_الأساسية!A:A, MATCH(116, البيانات_الأساسية!$I:$I, 0)), "")</f>
        <v>0</v>
      </c>
      <c r="C128" s="2">
        <f>IFERROR(INDEX(البيانات_الأساسية!B:B, MATCH(116, البيانات_الأساسية!$I:$I, 0)), "")</f>
        <v>0</v>
      </c>
      <c r="D128" s="2">
        <f>IFERROR(INDEX(البيانات_الأساسية!C:C, MATCH(116, البيانات_الأساسية!$I:$I, 0)), "")</f>
        <v>0</v>
      </c>
      <c r="E128" s="2">
        <f>IFERROR(INDEX(البيانات_الأساسية!D:D, MATCH(116, البيانات_الأساسية!$I:$I, 0)), "")</f>
        <v>0</v>
      </c>
      <c r="F128" s="2">
        <f>IFERROR(INDEX(البيانات_الأساسية!E:E, MATCH(116, البيانات_الأساسية!$I:$I, 0)), "")</f>
        <v>0</v>
      </c>
      <c r="G128" s="2">
        <f>IFERROR(INDEX(البيانات_الأساسية!F:F, MATCH(116, البيانات_الأساسية!$I:$I, 0)), "")</f>
        <v>0</v>
      </c>
      <c r="H128" s="2">
        <f>IFERROR(INDEX(البيانات_الأساسية!G:G, MATCH(116, البيانات_الأساسية!$I:$I, 0)), "")</f>
        <v>0</v>
      </c>
    </row>
    <row r="129" spans="2:8" s="3" customFormat="1" ht="20" customHeight="1">
      <c r="B129" s="2">
        <f>IFERROR(INDEX(البيانات_الأساسية!A:A, MATCH(117, البيانات_الأساسية!$I:$I, 0)), "")</f>
        <v>0</v>
      </c>
      <c r="C129" s="2">
        <f>IFERROR(INDEX(البيانات_الأساسية!B:B, MATCH(117, البيانات_الأساسية!$I:$I, 0)), "")</f>
        <v>0</v>
      </c>
      <c r="D129" s="2">
        <f>IFERROR(INDEX(البيانات_الأساسية!C:C, MATCH(117, البيانات_الأساسية!$I:$I, 0)), "")</f>
        <v>0</v>
      </c>
      <c r="E129" s="2">
        <f>IFERROR(INDEX(البيانات_الأساسية!D:D, MATCH(117, البيانات_الأساسية!$I:$I, 0)), "")</f>
        <v>0</v>
      </c>
      <c r="F129" s="2">
        <f>IFERROR(INDEX(البيانات_الأساسية!E:E, MATCH(117, البيانات_الأساسية!$I:$I, 0)), "")</f>
        <v>0</v>
      </c>
      <c r="G129" s="2">
        <f>IFERROR(INDEX(البيانات_الأساسية!F:F, MATCH(117, البيانات_الأساسية!$I:$I, 0)), "")</f>
        <v>0</v>
      </c>
      <c r="H129" s="2">
        <f>IFERROR(INDEX(البيانات_الأساسية!G:G, MATCH(117, البيانات_الأساسية!$I:$I, 0)), "")</f>
        <v>0</v>
      </c>
    </row>
    <row r="130" spans="2:8" s="3" customFormat="1" ht="20" customHeight="1">
      <c r="B130" s="2">
        <f>IFERROR(INDEX(البيانات_الأساسية!A:A, MATCH(118, البيانات_الأساسية!$I:$I, 0)), "")</f>
        <v>0</v>
      </c>
      <c r="C130" s="2">
        <f>IFERROR(INDEX(البيانات_الأساسية!B:B, MATCH(118, البيانات_الأساسية!$I:$I, 0)), "")</f>
        <v>0</v>
      </c>
      <c r="D130" s="2">
        <f>IFERROR(INDEX(البيانات_الأساسية!C:C, MATCH(118, البيانات_الأساسية!$I:$I, 0)), "")</f>
        <v>0</v>
      </c>
      <c r="E130" s="2">
        <f>IFERROR(INDEX(البيانات_الأساسية!D:D, MATCH(118, البيانات_الأساسية!$I:$I, 0)), "")</f>
        <v>0</v>
      </c>
      <c r="F130" s="2">
        <f>IFERROR(INDEX(البيانات_الأساسية!E:E, MATCH(118, البيانات_الأساسية!$I:$I, 0)), "")</f>
        <v>0</v>
      </c>
      <c r="G130" s="2">
        <f>IFERROR(INDEX(البيانات_الأساسية!F:F, MATCH(118, البيانات_الأساسية!$I:$I, 0)), "")</f>
        <v>0</v>
      </c>
      <c r="H130" s="2">
        <f>IFERROR(INDEX(البيانات_الأساسية!G:G, MATCH(118, البيانات_الأساسية!$I:$I, 0)), "")</f>
        <v>0</v>
      </c>
    </row>
    <row r="131" spans="2:8" s="3" customFormat="1" ht="20" customHeight="1">
      <c r="B131" s="2">
        <f>IFERROR(INDEX(البيانات_الأساسية!A:A, MATCH(119, البيانات_الأساسية!$I:$I, 0)), "")</f>
        <v>0</v>
      </c>
      <c r="C131" s="2">
        <f>IFERROR(INDEX(البيانات_الأساسية!B:B, MATCH(119, البيانات_الأساسية!$I:$I, 0)), "")</f>
        <v>0</v>
      </c>
      <c r="D131" s="2">
        <f>IFERROR(INDEX(البيانات_الأساسية!C:C, MATCH(119, البيانات_الأساسية!$I:$I, 0)), "")</f>
        <v>0</v>
      </c>
      <c r="E131" s="2">
        <f>IFERROR(INDEX(البيانات_الأساسية!D:D, MATCH(119, البيانات_الأساسية!$I:$I, 0)), "")</f>
        <v>0</v>
      </c>
      <c r="F131" s="2">
        <f>IFERROR(INDEX(البيانات_الأساسية!E:E, MATCH(119, البيانات_الأساسية!$I:$I, 0)), "")</f>
        <v>0</v>
      </c>
      <c r="G131" s="2">
        <f>IFERROR(INDEX(البيانات_الأساسية!F:F, MATCH(119, البيانات_الأساسية!$I:$I, 0)), "")</f>
        <v>0</v>
      </c>
      <c r="H131" s="2">
        <f>IFERROR(INDEX(البيانات_الأساسية!G:G, MATCH(119, البيانات_الأساسية!$I:$I, 0)), "")</f>
        <v>0</v>
      </c>
    </row>
    <row r="132" spans="2:8" s="3" customFormat="1" ht="20" customHeight="1">
      <c r="B132" s="2">
        <f>IFERROR(INDEX(البيانات_الأساسية!A:A, MATCH(120, البيانات_الأساسية!$I:$I, 0)), "")</f>
        <v>0</v>
      </c>
      <c r="C132" s="2">
        <f>IFERROR(INDEX(البيانات_الأساسية!B:B, MATCH(120, البيانات_الأساسية!$I:$I, 0)), "")</f>
        <v>0</v>
      </c>
      <c r="D132" s="2">
        <f>IFERROR(INDEX(البيانات_الأساسية!C:C, MATCH(120, البيانات_الأساسية!$I:$I, 0)), "")</f>
        <v>0</v>
      </c>
      <c r="E132" s="2">
        <f>IFERROR(INDEX(البيانات_الأساسية!D:D, MATCH(120, البيانات_الأساسية!$I:$I, 0)), "")</f>
        <v>0</v>
      </c>
      <c r="F132" s="2">
        <f>IFERROR(INDEX(البيانات_الأساسية!E:E, MATCH(120, البيانات_الأساسية!$I:$I, 0)), "")</f>
        <v>0</v>
      </c>
      <c r="G132" s="2">
        <f>IFERROR(INDEX(البيانات_الأساسية!F:F, MATCH(120, البيانات_الأساسية!$I:$I, 0)), "")</f>
        <v>0</v>
      </c>
      <c r="H132" s="2">
        <f>IFERROR(INDEX(البيانات_الأساسية!G:G, MATCH(120, البيانات_الأساسية!$I:$I, 0)), "")</f>
        <v>0</v>
      </c>
    </row>
    <row r="133" spans="2:8" s="3" customFormat="1" ht="20" customHeight="1">
      <c r="B133" s="2">
        <f>IFERROR(INDEX(البيانات_الأساسية!A:A, MATCH(121, البيانات_الأساسية!$I:$I, 0)), "")</f>
        <v>0</v>
      </c>
      <c r="C133" s="2">
        <f>IFERROR(INDEX(البيانات_الأساسية!B:B, MATCH(121, البيانات_الأساسية!$I:$I, 0)), "")</f>
        <v>0</v>
      </c>
      <c r="D133" s="2">
        <f>IFERROR(INDEX(البيانات_الأساسية!C:C, MATCH(121, البيانات_الأساسية!$I:$I, 0)), "")</f>
        <v>0</v>
      </c>
      <c r="E133" s="2">
        <f>IFERROR(INDEX(البيانات_الأساسية!D:D, MATCH(121, البيانات_الأساسية!$I:$I, 0)), "")</f>
        <v>0</v>
      </c>
      <c r="F133" s="2">
        <f>IFERROR(INDEX(البيانات_الأساسية!E:E, MATCH(121, البيانات_الأساسية!$I:$I, 0)), "")</f>
        <v>0</v>
      </c>
      <c r="G133" s="2">
        <f>IFERROR(INDEX(البيانات_الأساسية!F:F, MATCH(121, البيانات_الأساسية!$I:$I, 0)), "")</f>
        <v>0</v>
      </c>
      <c r="H133" s="2">
        <f>IFERROR(INDEX(البيانات_الأساسية!G:G, MATCH(121, البيانات_الأساسية!$I:$I, 0)), "")</f>
        <v>0</v>
      </c>
    </row>
    <row r="134" spans="2:8" s="3" customFormat="1" ht="20" customHeight="1">
      <c r="B134" s="2">
        <f>IFERROR(INDEX(البيانات_الأساسية!A:A, MATCH(122, البيانات_الأساسية!$I:$I, 0)), "")</f>
        <v>0</v>
      </c>
      <c r="C134" s="2">
        <f>IFERROR(INDEX(البيانات_الأساسية!B:B, MATCH(122, البيانات_الأساسية!$I:$I, 0)), "")</f>
        <v>0</v>
      </c>
      <c r="D134" s="2">
        <f>IFERROR(INDEX(البيانات_الأساسية!C:C, MATCH(122, البيانات_الأساسية!$I:$I, 0)), "")</f>
        <v>0</v>
      </c>
      <c r="E134" s="2">
        <f>IFERROR(INDEX(البيانات_الأساسية!D:D, MATCH(122, البيانات_الأساسية!$I:$I, 0)), "")</f>
        <v>0</v>
      </c>
      <c r="F134" s="2">
        <f>IFERROR(INDEX(البيانات_الأساسية!E:E, MATCH(122, البيانات_الأساسية!$I:$I, 0)), "")</f>
        <v>0</v>
      </c>
      <c r="G134" s="2">
        <f>IFERROR(INDEX(البيانات_الأساسية!F:F, MATCH(122, البيانات_الأساسية!$I:$I, 0)), "")</f>
        <v>0</v>
      </c>
      <c r="H134" s="2">
        <f>IFERROR(INDEX(البيانات_الأساسية!G:G, MATCH(122, البيانات_الأساسية!$I:$I, 0)), "")</f>
        <v>0</v>
      </c>
    </row>
    <row r="135" spans="2:8" s="3" customFormat="1" ht="20" customHeight="1">
      <c r="B135" s="2">
        <f>IFERROR(INDEX(البيانات_الأساسية!A:A, MATCH(123, البيانات_الأساسية!$I:$I, 0)), "")</f>
        <v>0</v>
      </c>
      <c r="C135" s="2">
        <f>IFERROR(INDEX(البيانات_الأساسية!B:B, MATCH(123, البيانات_الأساسية!$I:$I, 0)), "")</f>
        <v>0</v>
      </c>
      <c r="D135" s="2">
        <f>IFERROR(INDEX(البيانات_الأساسية!C:C, MATCH(123, البيانات_الأساسية!$I:$I, 0)), "")</f>
        <v>0</v>
      </c>
      <c r="E135" s="2">
        <f>IFERROR(INDEX(البيانات_الأساسية!D:D, MATCH(123, البيانات_الأساسية!$I:$I, 0)), "")</f>
        <v>0</v>
      </c>
      <c r="F135" s="2">
        <f>IFERROR(INDEX(البيانات_الأساسية!E:E, MATCH(123, البيانات_الأساسية!$I:$I, 0)), "")</f>
        <v>0</v>
      </c>
      <c r="G135" s="2">
        <f>IFERROR(INDEX(البيانات_الأساسية!F:F, MATCH(123, البيانات_الأساسية!$I:$I, 0)), "")</f>
        <v>0</v>
      </c>
      <c r="H135" s="2">
        <f>IFERROR(INDEX(البيانات_الأساسية!G:G, MATCH(123, البيانات_الأساسية!$I:$I, 0)), "")</f>
        <v>0</v>
      </c>
    </row>
    <row r="136" spans="2:8" s="3" customFormat="1" ht="20" customHeight="1">
      <c r="B136" s="2">
        <f>IFERROR(INDEX(البيانات_الأساسية!A:A, MATCH(124, البيانات_الأساسية!$I:$I, 0)), "")</f>
        <v>0</v>
      </c>
      <c r="C136" s="2">
        <f>IFERROR(INDEX(البيانات_الأساسية!B:B, MATCH(124, البيانات_الأساسية!$I:$I, 0)), "")</f>
        <v>0</v>
      </c>
      <c r="D136" s="2">
        <f>IFERROR(INDEX(البيانات_الأساسية!C:C, MATCH(124, البيانات_الأساسية!$I:$I, 0)), "")</f>
        <v>0</v>
      </c>
      <c r="E136" s="2">
        <f>IFERROR(INDEX(البيانات_الأساسية!D:D, MATCH(124, البيانات_الأساسية!$I:$I, 0)), "")</f>
        <v>0</v>
      </c>
      <c r="F136" s="2">
        <f>IFERROR(INDEX(البيانات_الأساسية!E:E, MATCH(124, البيانات_الأساسية!$I:$I, 0)), "")</f>
        <v>0</v>
      </c>
      <c r="G136" s="2">
        <f>IFERROR(INDEX(البيانات_الأساسية!F:F, MATCH(124, البيانات_الأساسية!$I:$I, 0)), "")</f>
        <v>0</v>
      </c>
      <c r="H136" s="2">
        <f>IFERROR(INDEX(البيانات_الأساسية!G:G, MATCH(124, البيانات_الأساسية!$I:$I, 0)), "")</f>
        <v>0</v>
      </c>
    </row>
    <row r="137" spans="2:8" s="3" customFormat="1" ht="20" customHeight="1">
      <c r="B137" s="2">
        <f>IFERROR(INDEX(البيانات_الأساسية!A:A, MATCH(125, البيانات_الأساسية!$I:$I, 0)), "")</f>
        <v>0</v>
      </c>
      <c r="C137" s="2">
        <f>IFERROR(INDEX(البيانات_الأساسية!B:B, MATCH(125, البيانات_الأساسية!$I:$I, 0)), "")</f>
        <v>0</v>
      </c>
      <c r="D137" s="2">
        <f>IFERROR(INDEX(البيانات_الأساسية!C:C, MATCH(125, البيانات_الأساسية!$I:$I, 0)), "")</f>
        <v>0</v>
      </c>
      <c r="E137" s="2">
        <f>IFERROR(INDEX(البيانات_الأساسية!D:D, MATCH(125, البيانات_الأساسية!$I:$I, 0)), "")</f>
        <v>0</v>
      </c>
      <c r="F137" s="2">
        <f>IFERROR(INDEX(البيانات_الأساسية!E:E, MATCH(125, البيانات_الأساسية!$I:$I, 0)), "")</f>
        <v>0</v>
      </c>
      <c r="G137" s="2">
        <f>IFERROR(INDEX(البيانات_الأساسية!F:F, MATCH(125, البيانات_الأساسية!$I:$I, 0)), "")</f>
        <v>0</v>
      </c>
      <c r="H137" s="2">
        <f>IFERROR(INDEX(البيانات_الأساسية!G:G, MATCH(125, البيانات_الأساسية!$I:$I, 0)), "")</f>
        <v>0</v>
      </c>
    </row>
    <row r="138" spans="2:8" s="3" customFormat="1" ht="20" customHeight="1">
      <c r="B138" s="2">
        <f>IFERROR(INDEX(البيانات_الأساسية!A:A, MATCH(126, البيانات_الأساسية!$I:$I, 0)), "")</f>
        <v>0</v>
      </c>
      <c r="C138" s="2">
        <f>IFERROR(INDEX(البيانات_الأساسية!B:B, MATCH(126, البيانات_الأساسية!$I:$I, 0)), "")</f>
        <v>0</v>
      </c>
      <c r="D138" s="2">
        <f>IFERROR(INDEX(البيانات_الأساسية!C:C, MATCH(126, البيانات_الأساسية!$I:$I, 0)), "")</f>
        <v>0</v>
      </c>
      <c r="E138" s="2">
        <f>IFERROR(INDEX(البيانات_الأساسية!D:D, MATCH(126, البيانات_الأساسية!$I:$I, 0)), "")</f>
        <v>0</v>
      </c>
      <c r="F138" s="2">
        <f>IFERROR(INDEX(البيانات_الأساسية!E:E, MATCH(126, البيانات_الأساسية!$I:$I, 0)), "")</f>
        <v>0</v>
      </c>
      <c r="G138" s="2">
        <f>IFERROR(INDEX(البيانات_الأساسية!F:F, MATCH(126, البيانات_الأساسية!$I:$I, 0)), "")</f>
        <v>0</v>
      </c>
      <c r="H138" s="2">
        <f>IFERROR(INDEX(البيانات_الأساسية!G:G, MATCH(126, البيانات_الأساسية!$I:$I, 0)), "")</f>
        <v>0</v>
      </c>
    </row>
    <row r="139" spans="2:8" s="3" customFormat="1" ht="20" customHeight="1">
      <c r="B139" s="2">
        <f>IFERROR(INDEX(البيانات_الأساسية!A:A, MATCH(127, البيانات_الأساسية!$I:$I, 0)), "")</f>
        <v>0</v>
      </c>
      <c r="C139" s="2">
        <f>IFERROR(INDEX(البيانات_الأساسية!B:B, MATCH(127, البيانات_الأساسية!$I:$I, 0)), "")</f>
        <v>0</v>
      </c>
      <c r="D139" s="2">
        <f>IFERROR(INDEX(البيانات_الأساسية!C:C, MATCH(127, البيانات_الأساسية!$I:$I, 0)), "")</f>
        <v>0</v>
      </c>
      <c r="E139" s="2">
        <f>IFERROR(INDEX(البيانات_الأساسية!D:D, MATCH(127, البيانات_الأساسية!$I:$I, 0)), "")</f>
        <v>0</v>
      </c>
      <c r="F139" s="2">
        <f>IFERROR(INDEX(البيانات_الأساسية!E:E, MATCH(127, البيانات_الأساسية!$I:$I, 0)), "")</f>
        <v>0</v>
      </c>
      <c r="G139" s="2">
        <f>IFERROR(INDEX(البيانات_الأساسية!F:F, MATCH(127, البيانات_الأساسية!$I:$I, 0)), "")</f>
        <v>0</v>
      </c>
      <c r="H139" s="2">
        <f>IFERROR(INDEX(البيانات_الأساسية!G:G, MATCH(127, البيانات_الأساسية!$I:$I, 0)), "")</f>
        <v>0</v>
      </c>
    </row>
    <row r="140" spans="2:8" s="3" customFormat="1" ht="20" customHeight="1">
      <c r="B140" s="2">
        <f>IFERROR(INDEX(البيانات_الأساسية!A:A, MATCH(128, البيانات_الأساسية!$I:$I, 0)), "")</f>
        <v>0</v>
      </c>
      <c r="C140" s="2">
        <f>IFERROR(INDEX(البيانات_الأساسية!B:B, MATCH(128, البيانات_الأساسية!$I:$I, 0)), "")</f>
        <v>0</v>
      </c>
      <c r="D140" s="2">
        <f>IFERROR(INDEX(البيانات_الأساسية!C:C, MATCH(128, البيانات_الأساسية!$I:$I, 0)), "")</f>
        <v>0</v>
      </c>
      <c r="E140" s="2">
        <f>IFERROR(INDEX(البيانات_الأساسية!D:D, MATCH(128, البيانات_الأساسية!$I:$I, 0)), "")</f>
        <v>0</v>
      </c>
      <c r="F140" s="2">
        <f>IFERROR(INDEX(البيانات_الأساسية!E:E, MATCH(128, البيانات_الأساسية!$I:$I, 0)), "")</f>
        <v>0</v>
      </c>
      <c r="G140" s="2">
        <f>IFERROR(INDEX(البيانات_الأساسية!F:F, MATCH(128, البيانات_الأساسية!$I:$I, 0)), "")</f>
        <v>0</v>
      </c>
      <c r="H140" s="2">
        <f>IFERROR(INDEX(البيانات_الأساسية!G:G, MATCH(128, البيانات_الأساسية!$I:$I, 0)), "")</f>
        <v>0</v>
      </c>
    </row>
    <row r="141" spans="2:8" s="3" customFormat="1" ht="20" customHeight="1">
      <c r="B141" s="2">
        <f>IFERROR(INDEX(البيانات_الأساسية!A:A, MATCH(129, البيانات_الأساسية!$I:$I, 0)), "")</f>
        <v>0</v>
      </c>
      <c r="C141" s="2">
        <f>IFERROR(INDEX(البيانات_الأساسية!B:B, MATCH(129, البيانات_الأساسية!$I:$I, 0)), "")</f>
        <v>0</v>
      </c>
      <c r="D141" s="2">
        <f>IFERROR(INDEX(البيانات_الأساسية!C:C, MATCH(129, البيانات_الأساسية!$I:$I, 0)), "")</f>
        <v>0</v>
      </c>
      <c r="E141" s="2">
        <f>IFERROR(INDEX(البيانات_الأساسية!D:D, MATCH(129, البيانات_الأساسية!$I:$I, 0)), "")</f>
        <v>0</v>
      </c>
      <c r="F141" s="2">
        <f>IFERROR(INDEX(البيانات_الأساسية!E:E, MATCH(129, البيانات_الأساسية!$I:$I, 0)), "")</f>
        <v>0</v>
      </c>
      <c r="G141" s="2">
        <f>IFERROR(INDEX(البيانات_الأساسية!F:F, MATCH(129, البيانات_الأساسية!$I:$I, 0)), "")</f>
        <v>0</v>
      </c>
      <c r="H141" s="2">
        <f>IFERROR(INDEX(البيانات_الأساسية!G:G, MATCH(129, البيانات_الأساسية!$I:$I, 0)), "")</f>
        <v>0</v>
      </c>
    </row>
    <row r="142" spans="2:8" s="3" customFormat="1" ht="20" customHeight="1">
      <c r="B142" s="2">
        <f>IFERROR(INDEX(البيانات_الأساسية!A:A, MATCH(130, البيانات_الأساسية!$I:$I, 0)), "")</f>
        <v>0</v>
      </c>
      <c r="C142" s="2">
        <f>IFERROR(INDEX(البيانات_الأساسية!B:B, MATCH(130, البيانات_الأساسية!$I:$I, 0)), "")</f>
        <v>0</v>
      </c>
      <c r="D142" s="2">
        <f>IFERROR(INDEX(البيانات_الأساسية!C:C, MATCH(130, البيانات_الأساسية!$I:$I, 0)), "")</f>
        <v>0</v>
      </c>
      <c r="E142" s="2">
        <f>IFERROR(INDEX(البيانات_الأساسية!D:D, MATCH(130, البيانات_الأساسية!$I:$I, 0)), "")</f>
        <v>0</v>
      </c>
      <c r="F142" s="2">
        <f>IFERROR(INDEX(البيانات_الأساسية!E:E, MATCH(130, البيانات_الأساسية!$I:$I, 0)), "")</f>
        <v>0</v>
      </c>
      <c r="G142" s="2">
        <f>IFERROR(INDEX(البيانات_الأساسية!F:F, MATCH(130, البيانات_الأساسية!$I:$I, 0)), "")</f>
        <v>0</v>
      </c>
      <c r="H142" s="2">
        <f>IFERROR(INDEX(البيانات_الأساسية!G:G, MATCH(130, البيانات_الأساسية!$I:$I, 0)), "")</f>
        <v>0</v>
      </c>
    </row>
    <row r="143" spans="2:8" s="3" customFormat="1" ht="20" customHeight="1">
      <c r="B143" s="2">
        <f>IFERROR(INDEX(البيانات_الأساسية!A:A, MATCH(131, البيانات_الأساسية!$I:$I, 0)), "")</f>
        <v>0</v>
      </c>
      <c r="C143" s="2">
        <f>IFERROR(INDEX(البيانات_الأساسية!B:B, MATCH(131, البيانات_الأساسية!$I:$I, 0)), "")</f>
        <v>0</v>
      </c>
      <c r="D143" s="2">
        <f>IFERROR(INDEX(البيانات_الأساسية!C:C, MATCH(131, البيانات_الأساسية!$I:$I, 0)), "")</f>
        <v>0</v>
      </c>
      <c r="E143" s="2">
        <f>IFERROR(INDEX(البيانات_الأساسية!D:D, MATCH(131, البيانات_الأساسية!$I:$I, 0)), "")</f>
        <v>0</v>
      </c>
      <c r="F143" s="2">
        <f>IFERROR(INDEX(البيانات_الأساسية!E:E, MATCH(131, البيانات_الأساسية!$I:$I, 0)), "")</f>
        <v>0</v>
      </c>
      <c r="G143" s="2">
        <f>IFERROR(INDEX(البيانات_الأساسية!F:F, MATCH(131, البيانات_الأساسية!$I:$I, 0)), "")</f>
        <v>0</v>
      </c>
      <c r="H143" s="2">
        <f>IFERROR(INDEX(البيانات_الأساسية!G:G, MATCH(131, البيانات_الأساسية!$I:$I, 0)), "")</f>
        <v>0</v>
      </c>
    </row>
    <row r="144" spans="2:8" s="3" customFormat="1" ht="20" customHeight="1">
      <c r="B144" s="2">
        <f>IFERROR(INDEX(البيانات_الأساسية!A:A, MATCH(132, البيانات_الأساسية!$I:$I, 0)), "")</f>
        <v>0</v>
      </c>
      <c r="C144" s="2">
        <f>IFERROR(INDEX(البيانات_الأساسية!B:B, MATCH(132, البيانات_الأساسية!$I:$I, 0)), "")</f>
        <v>0</v>
      </c>
      <c r="D144" s="2">
        <f>IFERROR(INDEX(البيانات_الأساسية!C:C, MATCH(132, البيانات_الأساسية!$I:$I, 0)), "")</f>
        <v>0</v>
      </c>
      <c r="E144" s="2">
        <f>IFERROR(INDEX(البيانات_الأساسية!D:D, MATCH(132, البيانات_الأساسية!$I:$I, 0)), "")</f>
        <v>0</v>
      </c>
      <c r="F144" s="2">
        <f>IFERROR(INDEX(البيانات_الأساسية!E:E, MATCH(132, البيانات_الأساسية!$I:$I, 0)), "")</f>
        <v>0</v>
      </c>
      <c r="G144" s="2">
        <f>IFERROR(INDEX(البيانات_الأساسية!F:F, MATCH(132, البيانات_الأساسية!$I:$I, 0)), "")</f>
        <v>0</v>
      </c>
      <c r="H144" s="2">
        <f>IFERROR(INDEX(البيانات_الأساسية!G:G, MATCH(132, البيانات_الأساسية!$I:$I, 0)), "")</f>
        <v>0</v>
      </c>
    </row>
    <row r="145" spans="2:8" s="3" customFormat="1" ht="20" customHeight="1">
      <c r="B145" s="2">
        <f>IFERROR(INDEX(البيانات_الأساسية!A:A, MATCH(133, البيانات_الأساسية!$I:$I, 0)), "")</f>
        <v>0</v>
      </c>
      <c r="C145" s="2">
        <f>IFERROR(INDEX(البيانات_الأساسية!B:B, MATCH(133, البيانات_الأساسية!$I:$I, 0)), "")</f>
        <v>0</v>
      </c>
      <c r="D145" s="2">
        <f>IFERROR(INDEX(البيانات_الأساسية!C:C, MATCH(133, البيانات_الأساسية!$I:$I, 0)), "")</f>
        <v>0</v>
      </c>
      <c r="E145" s="2">
        <f>IFERROR(INDEX(البيانات_الأساسية!D:D, MATCH(133, البيانات_الأساسية!$I:$I, 0)), "")</f>
        <v>0</v>
      </c>
      <c r="F145" s="2">
        <f>IFERROR(INDEX(البيانات_الأساسية!E:E, MATCH(133, البيانات_الأساسية!$I:$I, 0)), "")</f>
        <v>0</v>
      </c>
      <c r="G145" s="2">
        <f>IFERROR(INDEX(البيانات_الأساسية!F:F, MATCH(133, البيانات_الأساسية!$I:$I, 0)), "")</f>
        <v>0</v>
      </c>
      <c r="H145" s="2">
        <f>IFERROR(INDEX(البيانات_الأساسية!G:G, MATCH(133, البيانات_الأساسية!$I:$I, 0)), "")</f>
        <v>0</v>
      </c>
    </row>
    <row r="146" spans="2:8" s="3" customFormat="1" ht="20" customHeight="1">
      <c r="B146" s="2">
        <f>IFERROR(INDEX(البيانات_الأساسية!A:A, MATCH(134, البيانات_الأساسية!$I:$I, 0)), "")</f>
        <v>0</v>
      </c>
      <c r="C146" s="2">
        <f>IFERROR(INDEX(البيانات_الأساسية!B:B, MATCH(134, البيانات_الأساسية!$I:$I, 0)), "")</f>
        <v>0</v>
      </c>
      <c r="D146" s="2">
        <f>IFERROR(INDEX(البيانات_الأساسية!C:C, MATCH(134, البيانات_الأساسية!$I:$I, 0)), "")</f>
        <v>0</v>
      </c>
      <c r="E146" s="2">
        <f>IFERROR(INDEX(البيانات_الأساسية!D:D, MATCH(134, البيانات_الأساسية!$I:$I, 0)), "")</f>
        <v>0</v>
      </c>
      <c r="F146" s="2">
        <f>IFERROR(INDEX(البيانات_الأساسية!E:E, MATCH(134, البيانات_الأساسية!$I:$I, 0)), "")</f>
        <v>0</v>
      </c>
      <c r="G146" s="2">
        <f>IFERROR(INDEX(البيانات_الأساسية!F:F, MATCH(134, البيانات_الأساسية!$I:$I, 0)), "")</f>
        <v>0</v>
      </c>
      <c r="H146" s="2">
        <f>IFERROR(INDEX(البيانات_الأساسية!G:G, MATCH(134, البيانات_الأساسية!$I:$I, 0)), "")</f>
        <v>0</v>
      </c>
    </row>
    <row r="147" spans="2:8" s="3" customFormat="1" ht="20" customHeight="1">
      <c r="B147" s="2">
        <f>IFERROR(INDEX(البيانات_الأساسية!A:A, MATCH(135, البيانات_الأساسية!$I:$I, 0)), "")</f>
        <v>0</v>
      </c>
      <c r="C147" s="2">
        <f>IFERROR(INDEX(البيانات_الأساسية!B:B, MATCH(135, البيانات_الأساسية!$I:$I, 0)), "")</f>
        <v>0</v>
      </c>
      <c r="D147" s="2">
        <f>IFERROR(INDEX(البيانات_الأساسية!C:C, MATCH(135, البيانات_الأساسية!$I:$I, 0)), "")</f>
        <v>0</v>
      </c>
      <c r="E147" s="2">
        <f>IFERROR(INDEX(البيانات_الأساسية!D:D, MATCH(135, البيانات_الأساسية!$I:$I, 0)), "")</f>
        <v>0</v>
      </c>
      <c r="F147" s="2">
        <f>IFERROR(INDEX(البيانات_الأساسية!E:E, MATCH(135, البيانات_الأساسية!$I:$I, 0)), "")</f>
        <v>0</v>
      </c>
      <c r="G147" s="2">
        <f>IFERROR(INDEX(البيانات_الأساسية!F:F, MATCH(135, البيانات_الأساسية!$I:$I, 0)), "")</f>
        <v>0</v>
      </c>
      <c r="H147" s="2">
        <f>IFERROR(INDEX(البيانات_الأساسية!G:G, MATCH(135, البيانات_الأساسية!$I:$I, 0)), "")</f>
        <v>0</v>
      </c>
    </row>
    <row r="148" spans="2:8" s="3" customFormat="1" ht="20" customHeight="1">
      <c r="B148" s="2">
        <f>IFERROR(INDEX(البيانات_الأساسية!A:A, MATCH(136, البيانات_الأساسية!$I:$I, 0)), "")</f>
        <v>0</v>
      </c>
      <c r="C148" s="2">
        <f>IFERROR(INDEX(البيانات_الأساسية!B:B, MATCH(136, البيانات_الأساسية!$I:$I, 0)), "")</f>
        <v>0</v>
      </c>
      <c r="D148" s="2">
        <f>IFERROR(INDEX(البيانات_الأساسية!C:C, MATCH(136, البيانات_الأساسية!$I:$I, 0)), "")</f>
        <v>0</v>
      </c>
      <c r="E148" s="2">
        <f>IFERROR(INDEX(البيانات_الأساسية!D:D, MATCH(136, البيانات_الأساسية!$I:$I, 0)), "")</f>
        <v>0</v>
      </c>
      <c r="F148" s="2">
        <f>IFERROR(INDEX(البيانات_الأساسية!E:E, MATCH(136, البيانات_الأساسية!$I:$I, 0)), "")</f>
        <v>0</v>
      </c>
      <c r="G148" s="2">
        <f>IFERROR(INDEX(البيانات_الأساسية!F:F, MATCH(136, البيانات_الأساسية!$I:$I, 0)), "")</f>
        <v>0</v>
      </c>
      <c r="H148" s="2">
        <f>IFERROR(INDEX(البيانات_الأساسية!G:G, MATCH(136, البيانات_الأساسية!$I:$I, 0)), "")</f>
        <v>0</v>
      </c>
    </row>
    <row r="149" spans="2:8" s="3" customFormat="1" ht="20" customHeight="1">
      <c r="B149" s="2">
        <f>IFERROR(INDEX(البيانات_الأساسية!A:A, MATCH(137, البيانات_الأساسية!$I:$I, 0)), "")</f>
        <v>0</v>
      </c>
      <c r="C149" s="2">
        <f>IFERROR(INDEX(البيانات_الأساسية!B:B, MATCH(137, البيانات_الأساسية!$I:$I, 0)), "")</f>
        <v>0</v>
      </c>
      <c r="D149" s="2">
        <f>IFERROR(INDEX(البيانات_الأساسية!C:C, MATCH(137, البيانات_الأساسية!$I:$I, 0)), "")</f>
        <v>0</v>
      </c>
      <c r="E149" s="2">
        <f>IFERROR(INDEX(البيانات_الأساسية!D:D, MATCH(137, البيانات_الأساسية!$I:$I, 0)), "")</f>
        <v>0</v>
      </c>
      <c r="F149" s="2">
        <f>IFERROR(INDEX(البيانات_الأساسية!E:E, MATCH(137, البيانات_الأساسية!$I:$I, 0)), "")</f>
        <v>0</v>
      </c>
      <c r="G149" s="2">
        <f>IFERROR(INDEX(البيانات_الأساسية!F:F, MATCH(137, البيانات_الأساسية!$I:$I, 0)), "")</f>
        <v>0</v>
      </c>
      <c r="H149" s="2">
        <f>IFERROR(INDEX(البيانات_الأساسية!G:G, MATCH(137, البيانات_الأساسية!$I:$I, 0)), "")</f>
        <v>0</v>
      </c>
    </row>
    <row r="150" spans="2:8" s="3" customFormat="1" ht="20" customHeight="1">
      <c r="B150" s="2">
        <f>IFERROR(INDEX(البيانات_الأساسية!A:A, MATCH(138, البيانات_الأساسية!$I:$I, 0)), "")</f>
        <v>0</v>
      </c>
      <c r="C150" s="2">
        <f>IFERROR(INDEX(البيانات_الأساسية!B:B, MATCH(138, البيانات_الأساسية!$I:$I, 0)), "")</f>
        <v>0</v>
      </c>
      <c r="D150" s="2">
        <f>IFERROR(INDEX(البيانات_الأساسية!C:C, MATCH(138, البيانات_الأساسية!$I:$I, 0)), "")</f>
        <v>0</v>
      </c>
      <c r="E150" s="2">
        <f>IFERROR(INDEX(البيانات_الأساسية!D:D, MATCH(138, البيانات_الأساسية!$I:$I, 0)), "")</f>
        <v>0</v>
      </c>
      <c r="F150" s="2">
        <f>IFERROR(INDEX(البيانات_الأساسية!E:E, MATCH(138, البيانات_الأساسية!$I:$I, 0)), "")</f>
        <v>0</v>
      </c>
      <c r="G150" s="2">
        <f>IFERROR(INDEX(البيانات_الأساسية!F:F, MATCH(138, البيانات_الأساسية!$I:$I, 0)), "")</f>
        <v>0</v>
      </c>
      <c r="H150" s="2">
        <f>IFERROR(INDEX(البيانات_الأساسية!G:G, MATCH(138, البيانات_الأساسية!$I:$I, 0)), "")</f>
        <v>0</v>
      </c>
    </row>
    <row r="151" spans="2:8" s="3" customFormat="1" ht="20" customHeight="1">
      <c r="B151" s="2">
        <f>IFERROR(INDEX(البيانات_الأساسية!A:A, MATCH(139, البيانات_الأساسية!$I:$I, 0)), "")</f>
        <v>0</v>
      </c>
      <c r="C151" s="2">
        <f>IFERROR(INDEX(البيانات_الأساسية!B:B, MATCH(139, البيانات_الأساسية!$I:$I, 0)), "")</f>
        <v>0</v>
      </c>
      <c r="D151" s="2">
        <f>IFERROR(INDEX(البيانات_الأساسية!C:C, MATCH(139, البيانات_الأساسية!$I:$I, 0)), "")</f>
        <v>0</v>
      </c>
      <c r="E151" s="2">
        <f>IFERROR(INDEX(البيانات_الأساسية!D:D, MATCH(139, البيانات_الأساسية!$I:$I, 0)), "")</f>
        <v>0</v>
      </c>
      <c r="F151" s="2">
        <f>IFERROR(INDEX(البيانات_الأساسية!E:E, MATCH(139, البيانات_الأساسية!$I:$I, 0)), "")</f>
        <v>0</v>
      </c>
      <c r="G151" s="2">
        <f>IFERROR(INDEX(البيانات_الأساسية!F:F, MATCH(139, البيانات_الأساسية!$I:$I, 0)), "")</f>
        <v>0</v>
      </c>
      <c r="H151" s="2">
        <f>IFERROR(INDEX(البيانات_الأساسية!G:G, MATCH(139, البيانات_الأساسية!$I:$I, 0)), "")</f>
        <v>0</v>
      </c>
    </row>
    <row r="152" spans="2:8" s="3" customFormat="1" ht="20" customHeight="1">
      <c r="B152" s="2">
        <f>IFERROR(INDEX(البيانات_الأساسية!A:A, MATCH(140, البيانات_الأساسية!$I:$I, 0)), "")</f>
        <v>0</v>
      </c>
      <c r="C152" s="2">
        <f>IFERROR(INDEX(البيانات_الأساسية!B:B, MATCH(140, البيانات_الأساسية!$I:$I, 0)), "")</f>
        <v>0</v>
      </c>
      <c r="D152" s="2">
        <f>IFERROR(INDEX(البيانات_الأساسية!C:C, MATCH(140, البيانات_الأساسية!$I:$I, 0)), "")</f>
        <v>0</v>
      </c>
      <c r="E152" s="2">
        <f>IFERROR(INDEX(البيانات_الأساسية!D:D, MATCH(140, البيانات_الأساسية!$I:$I, 0)), "")</f>
        <v>0</v>
      </c>
      <c r="F152" s="2">
        <f>IFERROR(INDEX(البيانات_الأساسية!E:E, MATCH(140, البيانات_الأساسية!$I:$I, 0)), "")</f>
        <v>0</v>
      </c>
      <c r="G152" s="2">
        <f>IFERROR(INDEX(البيانات_الأساسية!F:F, MATCH(140, البيانات_الأساسية!$I:$I, 0)), "")</f>
        <v>0</v>
      </c>
      <c r="H152" s="2">
        <f>IFERROR(INDEX(البيانات_الأساسية!G:G, MATCH(140, البيانات_الأساسية!$I:$I, 0)), "")</f>
        <v>0</v>
      </c>
    </row>
    <row r="153" spans="2:8" s="3" customFormat="1" ht="20" customHeight="1">
      <c r="B153" s="2">
        <f>IFERROR(INDEX(البيانات_الأساسية!A:A, MATCH(141, البيانات_الأساسية!$I:$I, 0)), "")</f>
        <v>0</v>
      </c>
      <c r="C153" s="2">
        <f>IFERROR(INDEX(البيانات_الأساسية!B:B, MATCH(141, البيانات_الأساسية!$I:$I, 0)), "")</f>
        <v>0</v>
      </c>
      <c r="D153" s="2">
        <f>IFERROR(INDEX(البيانات_الأساسية!C:C, MATCH(141, البيانات_الأساسية!$I:$I, 0)), "")</f>
        <v>0</v>
      </c>
      <c r="E153" s="2">
        <f>IFERROR(INDEX(البيانات_الأساسية!D:D, MATCH(141, البيانات_الأساسية!$I:$I, 0)), "")</f>
        <v>0</v>
      </c>
      <c r="F153" s="2">
        <f>IFERROR(INDEX(البيانات_الأساسية!E:E, MATCH(141, البيانات_الأساسية!$I:$I, 0)), "")</f>
        <v>0</v>
      </c>
      <c r="G153" s="2">
        <f>IFERROR(INDEX(البيانات_الأساسية!F:F, MATCH(141, البيانات_الأساسية!$I:$I, 0)), "")</f>
        <v>0</v>
      </c>
      <c r="H153" s="2">
        <f>IFERROR(INDEX(البيانات_الأساسية!G:G, MATCH(141, البيانات_الأساسية!$I:$I, 0)), "")</f>
        <v>0</v>
      </c>
    </row>
    <row r="154" spans="2:8" s="3" customFormat="1" ht="20" customHeight="1">
      <c r="B154" s="2">
        <f>IFERROR(INDEX(البيانات_الأساسية!A:A, MATCH(142, البيانات_الأساسية!$I:$I, 0)), "")</f>
        <v>0</v>
      </c>
      <c r="C154" s="2">
        <f>IFERROR(INDEX(البيانات_الأساسية!B:B, MATCH(142, البيانات_الأساسية!$I:$I, 0)), "")</f>
        <v>0</v>
      </c>
      <c r="D154" s="2">
        <f>IFERROR(INDEX(البيانات_الأساسية!C:C, MATCH(142, البيانات_الأساسية!$I:$I, 0)), "")</f>
        <v>0</v>
      </c>
      <c r="E154" s="2">
        <f>IFERROR(INDEX(البيانات_الأساسية!D:D, MATCH(142, البيانات_الأساسية!$I:$I, 0)), "")</f>
        <v>0</v>
      </c>
      <c r="F154" s="2">
        <f>IFERROR(INDEX(البيانات_الأساسية!E:E, MATCH(142, البيانات_الأساسية!$I:$I, 0)), "")</f>
        <v>0</v>
      </c>
      <c r="G154" s="2">
        <f>IFERROR(INDEX(البيانات_الأساسية!F:F, MATCH(142, البيانات_الأساسية!$I:$I, 0)), "")</f>
        <v>0</v>
      </c>
      <c r="H154" s="2">
        <f>IFERROR(INDEX(البيانات_الأساسية!G:G, MATCH(142, البيانات_الأساسية!$I:$I, 0)), "")</f>
        <v>0</v>
      </c>
    </row>
    <row r="155" spans="2:8" s="3" customFormat="1" ht="20" customHeight="1">
      <c r="B155" s="2">
        <f>IFERROR(INDEX(البيانات_الأساسية!A:A, MATCH(143, البيانات_الأساسية!$I:$I, 0)), "")</f>
        <v>0</v>
      </c>
      <c r="C155" s="2">
        <f>IFERROR(INDEX(البيانات_الأساسية!B:B, MATCH(143, البيانات_الأساسية!$I:$I, 0)), "")</f>
        <v>0</v>
      </c>
      <c r="D155" s="2">
        <f>IFERROR(INDEX(البيانات_الأساسية!C:C, MATCH(143, البيانات_الأساسية!$I:$I, 0)), "")</f>
        <v>0</v>
      </c>
      <c r="E155" s="2">
        <f>IFERROR(INDEX(البيانات_الأساسية!D:D, MATCH(143, البيانات_الأساسية!$I:$I, 0)), "")</f>
        <v>0</v>
      </c>
      <c r="F155" s="2">
        <f>IFERROR(INDEX(البيانات_الأساسية!E:E, MATCH(143, البيانات_الأساسية!$I:$I, 0)), "")</f>
        <v>0</v>
      </c>
      <c r="G155" s="2">
        <f>IFERROR(INDEX(البيانات_الأساسية!F:F, MATCH(143, البيانات_الأساسية!$I:$I, 0)), "")</f>
        <v>0</v>
      </c>
      <c r="H155" s="2">
        <f>IFERROR(INDEX(البيانات_الأساسية!G:G, MATCH(143, البيانات_الأساسية!$I:$I, 0)), "")</f>
        <v>0</v>
      </c>
    </row>
    <row r="156" spans="2:8" s="3" customFormat="1" ht="20" customHeight="1">
      <c r="B156" s="2">
        <f>IFERROR(INDEX(البيانات_الأساسية!A:A, MATCH(144, البيانات_الأساسية!$I:$I, 0)), "")</f>
        <v>0</v>
      </c>
      <c r="C156" s="2">
        <f>IFERROR(INDEX(البيانات_الأساسية!B:B, MATCH(144, البيانات_الأساسية!$I:$I, 0)), "")</f>
        <v>0</v>
      </c>
      <c r="D156" s="2">
        <f>IFERROR(INDEX(البيانات_الأساسية!C:C, MATCH(144, البيانات_الأساسية!$I:$I, 0)), "")</f>
        <v>0</v>
      </c>
      <c r="E156" s="2">
        <f>IFERROR(INDEX(البيانات_الأساسية!D:D, MATCH(144, البيانات_الأساسية!$I:$I, 0)), "")</f>
        <v>0</v>
      </c>
      <c r="F156" s="2">
        <f>IFERROR(INDEX(البيانات_الأساسية!E:E, MATCH(144, البيانات_الأساسية!$I:$I, 0)), "")</f>
        <v>0</v>
      </c>
      <c r="G156" s="2">
        <f>IFERROR(INDEX(البيانات_الأساسية!F:F, MATCH(144, البيانات_الأساسية!$I:$I, 0)), "")</f>
        <v>0</v>
      </c>
      <c r="H156" s="2">
        <f>IFERROR(INDEX(البيانات_الأساسية!G:G, MATCH(144, البيانات_الأساسية!$I:$I, 0)), "")</f>
        <v>0</v>
      </c>
    </row>
    <row r="157" spans="2:8" s="3" customFormat="1" ht="20" customHeight="1">
      <c r="B157" s="2">
        <f>IFERROR(INDEX(البيانات_الأساسية!A:A, MATCH(145, البيانات_الأساسية!$I:$I, 0)), "")</f>
        <v>0</v>
      </c>
      <c r="C157" s="2">
        <f>IFERROR(INDEX(البيانات_الأساسية!B:B, MATCH(145, البيانات_الأساسية!$I:$I, 0)), "")</f>
        <v>0</v>
      </c>
      <c r="D157" s="2">
        <f>IFERROR(INDEX(البيانات_الأساسية!C:C, MATCH(145, البيانات_الأساسية!$I:$I, 0)), "")</f>
        <v>0</v>
      </c>
      <c r="E157" s="2">
        <f>IFERROR(INDEX(البيانات_الأساسية!D:D, MATCH(145, البيانات_الأساسية!$I:$I, 0)), "")</f>
        <v>0</v>
      </c>
      <c r="F157" s="2">
        <f>IFERROR(INDEX(البيانات_الأساسية!E:E, MATCH(145, البيانات_الأساسية!$I:$I, 0)), "")</f>
        <v>0</v>
      </c>
      <c r="G157" s="2">
        <f>IFERROR(INDEX(البيانات_الأساسية!F:F, MATCH(145, البيانات_الأساسية!$I:$I, 0)), "")</f>
        <v>0</v>
      </c>
      <c r="H157" s="2">
        <f>IFERROR(INDEX(البيانات_الأساسية!G:G, MATCH(145, البيانات_الأساسية!$I:$I, 0)), "")</f>
        <v>0</v>
      </c>
    </row>
    <row r="158" spans="2:8" s="3" customFormat="1" ht="20" customHeight="1">
      <c r="B158" s="2">
        <f>IFERROR(INDEX(البيانات_الأساسية!A:A, MATCH(146, البيانات_الأساسية!$I:$I, 0)), "")</f>
        <v>0</v>
      </c>
      <c r="C158" s="2">
        <f>IFERROR(INDEX(البيانات_الأساسية!B:B, MATCH(146, البيانات_الأساسية!$I:$I, 0)), "")</f>
        <v>0</v>
      </c>
      <c r="D158" s="2">
        <f>IFERROR(INDEX(البيانات_الأساسية!C:C, MATCH(146, البيانات_الأساسية!$I:$I, 0)), "")</f>
        <v>0</v>
      </c>
      <c r="E158" s="2">
        <f>IFERROR(INDEX(البيانات_الأساسية!D:D, MATCH(146, البيانات_الأساسية!$I:$I, 0)), "")</f>
        <v>0</v>
      </c>
      <c r="F158" s="2">
        <f>IFERROR(INDEX(البيانات_الأساسية!E:E, MATCH(146, البيانات_الأساسية!$I:$I, 0)), "")</f>
        <v>0</v>
      </c>
      <c r="G158" s="2">
        <f>IFERROR(INDEX(البيانات_الأساسية!F:F, MATCH(146, البيانات_الأساسية!$I:$I, 0)), "")</f>
        <v>0</v>
      </c>
      <c r="H158" s="2">
        <f>IFERROR(INDEX(البيانات_الأساسية!G:G, MATCH(146, البيانات_الأساسية!$I:$I, 0)), "")</f>
        <v>0</v>
      </c>
    </row>
    <row r="159" spans="2:8" s="3" customFormat="1" ht="20" customHeight="1">
      <c r="B159" s="2">
        <f>IFERROR(INDEX(البيانات_الأساسية!A:A, MATCH(147, البيانات_الأساسية!$I:$I, 0)), "")</f>
        <v>0</v>
      </c>
      <c r="C159" s="2">
        <f>IFERROR(INDEX(البيانات_الأساسية!B:B, MATCH(147, البيانات_الأساسية!$I:$I, 0)), "")</f>
        <v>0</v>
      </c>
      <c r="D159" s="2">
        <f>IFERROR(INDEX(البيانات_الأساسية!C:C, MATCH(147, البيانات_الأساسية!$I:$I, 0)), "")</f>
        <v>0</v>
      </c>
      <c r="E159" s="2">
        <f>IFERROR(INDEX(البيانات_الأساسية!D:D, MATCH(147, البيانات_الأساسية!$I:$I, 0)), "")</f>
        <v>0</v>
      </c>
      <c r="F159" s="2">
        <f>IFERROR(INDEX(البيانات_الأساسية!E:E, MATCH(147, البيانات_الأساسية!$I:$I, 0)), "")</f>
        <v>0</v>
      </c>
      <c r="G159" s="2">
        <f>IFERROR(INDEX(البيانات_الأساسية!F:F, MATCH(147, البيانات_الأساسية!$I:$I, 0)), "")</f>
        <v>0</v>
      </c>
      <c r="H159" s="2">
        <f>IFERROR(INDEX(البيانات_الأساسية!G:G, MATCH(147, البيانات_الأساسية!$I:$I, 0)), "")</f>
        <v>0</v>
      </c>
    </row>
    <row r="160" spans="2:8" s="3" customFormat="1" ht="20" customHeight="1">
      <c r="B160" s="2">
        <f>IFERROR(INDEX(البيانات_الأساسية!A:A, MATCH(148, البيانات_الأساسية!$I:$I, 0)), "")</f>
        <v>0</v>
      </c>
      <c r="C160" s="2">
        <f>IFERROR(INDEX(البيانات_الأساسية!B:B, MATCH(148, البيانات_الأساسية!$I:$I, 0)), "")</f>
        <v>0</v>
      </c>
      <c r="D160" s="2">
        <f>IFERROR(INDEX(البيانات_الأساسية!C:C, MATCH(148, البيانات_الأساسية!$I:$I, 0)), "")</f>
        <v>0</v>
      </c>
      <c r="E160" s="2">
        <f>IFERROR(INDEX(البيانات_الأساسية!D:D, MATCH(148, البيانات_الأساسية!$I:$I, 0)), "")</f>
        <v>0</v>
      </c>
      <c r="F160" s="2">
        <f>IFERROR(INDEX(البيانات_الأساسية!E:E, MATCH(148, البيانات_الأساسية!$I:$I, 0)), "")</f>
        <v>0</v>
      </c>
      <c r="G160" s="2">
        <f>IFERROR(INDEX(البيانات_الأساسية!F:F, MATCH(148, البيانات_الأساسية!$I:$I, 0)), "")</f>
        <v>0</v>
      </c>
      <c r="H160" s="2">
        <f>IFERROR(INDEX(البيانات_الأساسية!G:G, MATCH(148, البيانات_الأساسية!$I:$I, 0)), "")</f>
        <v>0</v>
      </c>
    </row>
    <row r="161" spans="2:8" s="3" customFormat="1" ht="20" customHeight="1">
      <c r="B161" s="2">
        <f>IFERROR(INDEX(البيانات_الأساسية!A:A, MATCH(149, البيانات_الأساسية!$I:$I, 0)), "")</f>
        <v>0</v>
      </c>
      <c r="C161" s="2">
        <f>IFERROR(INDEX(البيانات_الأساسية!B:B, MATCH(149, البيانات_الأساسية!$I:$I, 0)), "")</f>
        <v>0</v>
      </c>
      <c r="D161" s="2">
        <f>IFERROR(INDEX(البيانات_الأساسية!C:C, MATCH(149, البيانات_الأساسية!$I:$I, 0)), "")</f>
        <v>0</v>
      </c>
      <c r="E161" s="2">
        <f>IFERROR(INDEX(البيانات_الأساسية!D:D, MATCH(149, البيانات_الأساسية!$I:$I, 0)), "")</f>
        <v>0</v>
      </c>
      <c r="F161" s="2">
        <f>IFERROR(INDEX(البيانات_الأساسية!E:E, MATCH(149, البيانات_الأساسية!$I:$I, 0)), "")</f>
        <v>0</v>
      </c>
      <c r="G161" s="2">
        <f>IFERROR(INDEX(البيانات_الأساسية!F:F, MATCH(149, البيانات_الأساسية!$I:$I, 0)), "")</f>
        <v>0</v>
      </c>
      <c r="H161" s="2">
        <f>IFERROR(INDEX(البيانات_الأساسية!G:G, MATCH(149, البيانات_الأساسية!$I:$I, 0)), "")</f>
        <v>0</v>
      </c>
    </row>
    <row r="162" spans="2:8" s="3" customFormat="1" ht="20" customHeight="1">
      <c r="B162" s="2">
        <f>IFERROR(INDEX(البيانات_الأساسية!A:A, MATCH(150, البيانات_الأساسية!$I:$I, 0)), "")</f>
        <v>0</v>
      </c>
      <c r="C162" s="2">
        <f>IFERROR(INDEX(البيانات_الأساسية!B:B, MATCH(150, البيانات_الأساسية!$I:$I, 0)), "")</f>
        <v>0</v>
      </c>
      <c r="D162" s="2">
        <f>IFERROR(INDEX(البيانات_الأساسية!C:C, MATCH(150, البيانات_الأساسية!$I:$I, 0)), "")</f>
        <v>0</v>
      </c>
      <c r="E162" s="2">
        <f>IFERROR(INDEX(البيانات_الأساسية!D:D, MATCH(150, البيانات_الأساسية!$I:$I, 0)), "")</f>
        <v>0</v>
      </c>
      <c r="F162" s="2">
        <f>IFERROR(INDEX(البيانات_الأساسية!E:E, MATCH(150, البيانات_الأساسية!$I:$I, 0)), "")</f>
        <v>0</v>
      </c>
      <c r="G162" s="2">
        <f>IFERROR(INDEX(البيانات_الأساسية!F:F, MATCH(150, البيانات_الأساسية!$I:$I, 0)), "")</f>
        <v>0</v>
      </c>
      <c r="H162" s="2">
        <f>IFERROR(INDEX(البيانات_الأساسية!G:G, MATCH(150, البيانات_الأساسية!$I:$I, 0)), "")</f>
        <v>0</v>
      </c>
    </row>
    <row r="163" spans="2:8" s="3" customFormat="1" ht="20" customHeight="1">
      <c r="B163" s="2">
        <f>IFERROR(INDEX(البيانات_الأساسية!A:A, MATCH(151, البيانات_الأساسية!$I:$I, 0)), "")</f>
        <v>0</v>
      </c>
      <c r="C163" s="2">
        <f>IFERROR(INDEX(البيانات_الأساسية!B:B, MATCH(151, البيانات_الأساسية!$I:$I, 0)), "")</f>
        <v>0</v>
      </c>
      <c r="D163" s="2">
        <f>IFERROR(INDEX(البيانات_الأساسية!C:C, MATCH(151, البيانات_الأساسية!$I:$I, 0)), "")</f>
        <v>0</v>
      </c>
      <c r="E163" s="2">
        <f>IFERROR(INDEX(البيانات_الأساسية!D:D, MATCH(151, البيانات_الأساسية!$I:$I, 0)), "")</f>
        <v>0</v>
      </c>
      <c r="F163" s="2">
        <f>IFERROR(INDEX(البيانات_الأساسية!E:E, MATCH(151, البيانات_الأساسية!$I:$I, 0)), "")</f>
        <v>0</v>
      </c>
      <c r="G163" s="2">
        <f>IFERROR(INDEX(البيانات_الأساسية!F:F, MATCH(151, البيانات_الأساسية!$I:$I, 0)), "")</f>
        <v>0</v>
      </c>
      <c r="H163" s="2">
        <f>IFERROR(INDEX(البيانات_الأساسية!G:G, MATCH(151, البيانات_الأساسية!$I:$I, 0)), "")</f>
        <v>0</v>
      </c>
    </row>
    <row r="164" spans="2:8" s="3" customFormat="1" ht="20" customHeight="1">
      <c r="B164" s="2">
        <f>IFERROR(INDEX(البيانات_الأساسية!A:A, MATCH(152, البيانات_الأساسية!$I:$I, 0)), "")</f>
        <v>0</v>
      </c>
      <c r="C164" s="2">
        <f>IFERROR(INDEX(البيانات_الأساسية!B:B, MATCH(152, البيانات_الأساسية!$I:$I, 0)), "")</f>
        <v>0</v>
      </c>
      <c r="D164" s="2">
        <f>IFERROR(INDEX(البيانات_الأساسية!C:C, MATCH(152, البيانات_الأساسية!$I:$I, 0)), "")</f>
        <v>0</v>
      </c>
      <c r="E164" s="2">
        <f>IFERROR(INDEX(البيانات_الأساسية!D:D, MATCH(152, البيانات_الأساسية!$I:$I, 0)), "")</f>
        <v>0</v>
      </c>
      <c r="F164" s="2">
        <f>IFERROR(INDEX(البيانات_الأساسية!E:E, MATCH(152, البيانات_الأساسية!$I:$I, 0)), "")</f>
        <v>0</v>
      </c>
      <c r="G164" s="2">
        <f>IFERROR(INDEX(البيانات_الأساسية!F:F, MATCH(152, البيانات_الأساسية!$I:$I, 0)), "")</f>
        <v>0</v>
      </c>
      <c r="H164" s="2">
        <f>IFERROR(INDEX(البيانات_الأساسية!G:G, MATCH(152, البيانات_الأساسية!$I:$I, 0)), "")</f>
        <v>0</v>
      </c>
    </row>
    <row r="165" spans="2:8" s="3" customFormat="1" ht="20" customHeight="1">
      <c r="B165" s="2">
        <f>IFERROR(INDEX(البيانات_الأساسية!A:A, MATCH(153, البيانات_الأساسية!$I:$I, 0)), "")</f>
        <v>0</v>
      </c>
      <c r="C165" s="2">
        <f>IFERROR(INDEX(البيانات_الأساسية!B:B, MATCH(153, البيانات_الأساسية!$I:$I, 0)), "")</f>
        <v>0</v>
      </c>
      <c r="D165" s="2">
        <f>IFERROR(INDEX(البيانات_الأساسية!C:C, MATCH(153, البيانات_الأساسية!$I:$I, 0)), "")</f>
        <v>0</v>
      </c>
      <c r="E165" s="2">
        <f>IFERROR(INDEX(البيانات_الأساسية!D:D, MATCH(153, البيانات_الأساسية!$I:$I, 0)), "")</f>
        <v>0</v>
      </c>
      <c r="F165" s="2">
        <f>IFERROR(INDEX(البيانات_الأساسية!E:E, MATCH(153, البيانات_الأساسية!$I:$I, 0)), "")</f>
        <v>0</v>
      </c>
      <c r="G165" s="2">
        <f>IFERROR(INDEX(البيانات_الأساسية!F:F, MATCH(153, البيانات_الأساسية!$I:$I, 0)), "")</f>
        <v>0</v>
      </c>
      <c r="H165" s="2">
        <f>IFERROR(INDEX(البيانات_الأساسية!G:G, MATCH(153, البيانات_الأساسية!$I:$I, 0)), "")</f>
        <v>0</v>
      </c>
    </row>
    <row r="166" spans="2:8" s="3" customFormat="1" ht="20" customHeight="1">
      <c r="B166" s="2">
        <f>IFERROR(INDEX(البيانات_الأساسية!A:A, MATCH(154, البيانات_الأساسية!$I:$I, 0)), "")</f>
        <v>0</v>
      </c>
      <c r="C166" s="2">
        <f>IFERROR(INDEX(البيانات_الأساسية!B:B, MATCH(154, البيانات_الأساسية!$I:$I, 0)), "")</f>
        <v>0</v>
      </c>
      <c r="D166" s="2">
        <f>IFERROR(INDEX(البيانات_الأساسية!C:C, MATCH(154, البيانات_الأساسية!$I:$I, 0)), "")</f>
        <v>0</v>
      </c>
      <c r="E166" s="2">
        <f>IFERROR(INDEX(البيانات_الأساسية!D:D, MATCH(154, البيانات_الأساسية!$I:$I, 0)), "")</f>
        <v>0</v>
      </c>
      <c r="F166" s="2">
        <f>IFERROR(INDEX(البيانات_الأساسية!E:E, MATCH(154, البيانات_الأساسية!$I:$I, 0)), "")</f>
        <v>0</v>
      </c>
      <c r="G166" s="2">
        <f>IFERROR(INDEX(البيانات_الأساسية!F:F, MATCH(154, البيانات_الأساسية!$I:$I, 0)), "")</f>
        <v>0</v>
      </c>
      <c r="H166" s="2">
        <f>IFERROR(INDEX(البيانات_الأساسية!G:G, MATCH(154, البيانات_الأساسية!$I:$I, 0)), "")</f>
        <v>0</v>
      </c>
    </row>
    <row r="167" spans="2:8" s="3" customFormat="1" ht="20" customHeight="1">
      <c r="B167" s="2">
        <f>IFERROR(INDEX(البيانات_الأساسية!A:A, MATCH(155, البيانات_الأساسية!$I:$I, 0)), "")</f>
        <v>0</v>
      </c>
      <c r="C167" s="2">
        <f>IFERROR(INDEX(البيانات_الأساسية!B:B, MATCH(155, البيانات_الأساسية!$I:$I, 0)), "")</f>
        <v>0</v>
      </c>
      <c r="D167" s="2">
        <f>IFERROR(INDEX(البيانات_الأساسية!C:C, MATCH(155, البيانات_الأساسية!$I:$I, 0)), "")</f>
        <v>0</v>
      </c>
      <c r="E167" s="2">
        <f>IFERROR(INDEX(البيانات_الأساسية!D:D, MATCH(155, البيانات_الأساسية!$I:$I, 0)), "")</f>
        <v>0</v>
      </c>
      <c r="F167" s="2">
        <f>IFERROR(INDEX(البيانات_الأساسية!E:E, MATCH(155, البيانات_الأساسية!$I:$I, 0)), "")</f>
        <v>0</v>
      </c>
      <c r="G167" s="2">
        <f>IFERROR(INDEX(البيانات_الأساسية!F:F, MATCH(155, البيانات_الأساسية!$I:$I, 0)), "")</f>
        <v>0</v>
      </c>
      <c r="H167" s="2">
        <f>IFERROR(INDEX(البيانات_الأساسية!G:G, MATCH(155, البيانات_الأساسية!$I:$I, 0)), "")</f>
        <v>0</v>
      </c>
    </row>
    <row r="168" spans="2:8" s="3" customFormat="1" ht="20" customHeight="1">
      <c r="B168" s="2">
        <f>IFERROR(INDEX(البيانات_الأساسية!A:A, MATCH(156, البيانات_الأساسية!$I:$I, 0)), "")</f>
        <v>0</v>
      </c>
      <c r="C168" s="2">
        <f>IFERROR(INDEX(البيانات_الأساسية!B:B, MATCH(156, البيانات_الأساسية!$I:$I, 0)), "")</f>
        <v>0</v>
      </c>
      <c r="D168" s="2">
        <f>IFERROR(INDEX(البيانات_الأساسية!C:C, MATCH(156, البيانات_الأساسية!$I:$I, 0)), "")</f>
        <v>0</v>
      </c>
      <c r="E168" s="2">
        <f>IFERROR(INDEX(البيانات_الأساسية!D:D, MATCH(156, البيانات_الأساسية!$I:$I, 0)), "")</f>
        <v>0</v>
      </c>
      <c r="F168" s="2">
        <f>IFERROR(INDEX(البيانات_الأساسية!E:E, MATCH(156, البيانات_الأساسية!$I:$I, 0)), "")</f>
        <v>0</v>
      </c>
      <c r="G168" s="2">
        <f>IFERROR(INDEX(البيانات_الأساسية!F:F, MATCH(156, البيانات_الأساسية!$I:$I, 0)), "")</f>
        <v>0</v>
      </c>
      <c r="H168" s="2">
        <f>IFERROR(INDEX(البيانات_الأساسية!G:G, MATCH(156, البيانات_الأساسية!$I:$I, 0)), "")</f>
        <v>0</v>
      </c>
    </row>
    <row r="169" spans="2:8" s="3" customFormat="1" ht="20" customHeight="1">
      <c r="B169" s="2">
        <f>IFERROR(INDEX(البيانات_الأساسية!A:A, MATCH(157, البيانات_الأساسية!$I:$I, 0)), "")</f>
        <v>0</v>
      </c>
      <c r="C169" s="2">
        <f>IFERROR(INDEX(البيانات_الأساسية!B:B, MATCH(157, البيانات_الأساسية!$I:$I, 0)), "")</f>
        <v>0</v>
      </c>
      <c r="D169" s="2">
        <f>IFERROR(INDEX(البيانات_الأساسية!C:C, MATCH(157, البيانات_الأساسية!$I:$I, 0)), "")</f>
        <v>0</v>
      </c>
      <c r="E169" s="2">
        <f>IFERROR(INDEX(البيانات_الأساسية!D:D, MATCH(157, البيانات_الأساسية!$I:$I, 0)), "")</f>
        <v>0</v>
      </c>
      <c r="F169" s="2">
        <f>IFERROR(INDEX(البيانات_الأساسية!E:E, MATCH(157, البيانات_الأساسية!$I:$I, 0)), "")</f>
        <v>0</v>
      </c>
      <c r="G169" s="2">
        <f>IFERROR(INDEX(البيانات_الأساسية!F:F, MATCH(157, البيانات_الأساسية!$I:$I, 0)), "")</f>
        <v>0</v>
      </c>
      <c r="H169" s="2">
        <f>IFERROR(INDEX(البيانات_الأساسية!G:G, MATCH(157, البيانات_الأساسية!$I:$I, 0)), "")</f>
        <v>0</v>
      </c>
    </row>
    <row r="170" spans="2:8" s="3" customFormat="1" ht="20" customHeight="1">
      <c r="B170" s="2">
        <f>IFERROR(INDEX(البيانات_الأساسية!A:A, MATCH(158, البيانات_الأساسية!$I:$I, 0)), "")</f>
        <v>0</v>
      </c>
      <c r="C170" s="2">
        <f>IFERROR(INDEX(البيانات_الأساسية!B:B, MATCH(158, البيانات_الأساسية!$I:$I, 0)), "")</f>
        <v>0</v>
      </c>
      <c r="D170" s="2">
        <f>IFERROR(INDEX(البيانات_الأساسية!C:C, MATCH(158, البيانات_الأساسية!$I:$I, 0)), "")</f>
        <v>0</v>
      </c>
      <c r="E170" s="2">
        <f>IFERROR(INDEX(البيانات_الأساسية!D:D, MATCH(158, البيانات_الأساسية!$I:$I, 0)), "")</f>
        <v>0</v>
      </c>
      <c r="F170" s="2">
        <f>IFERROR(INDEX(البيانات_الأساسية!E:E, MATCH(158, البيانات_الأساسية!$I:$I, 0)), "")</f>
        <v>0</v>
      </c>
      <c r="G170" s="2">
        <f>IFERROR(INDEX(البيانات_الأساسية!F:F, MATCH(158, البيانات_الأساسية!$I:$I, 0)), "")</f>
        <v>0</v>
      </c>
      <c r="H170" s="2">
        <f>IFERROR(INDEX(البيانات_الأساسية!G:G, MATCH(158, البيانات_الأساسية!$I:$I, 0)), "")</f>
        <v>0</v>
      </c>
    </row>
    <row r="171" spans="2:8" s="3" customFormat="1" ht="20" customHeight="1">
      <c r="B171" s="2">
        <f>IFERROR(INDEX(البيانات_الأساسية!A:A, MATCH(159, البيانات_الأساسية!$I:$I, 0)), "")</f>
        <v>0</v>
      </c>
      <c r="C171" s="2">
        <f>IFERROR(INDEX(البيانات_الأساسية!B:B, MATCH(159, البيانات_الأساسية!$I:$I, 0)), "")</f>
        <v>0</v>
      </c>
      <c r="D171" s="2">
        <f>IFERROR(INDEX(البيانات_الأساسية!C:C, MATCH(159, البيانات_الأساسية!$I:$I, 0)), "")</f>
        <v>0</v>
      </c>
      <c r="E171" s="2">
        <f>IFERROR(INDEX(البيانات_الأساسية!D:D, MATCH(159, البيانات_الأساسية!$I:$I, 0)), "")</f>
        <v>0</v>
      </c>
      <c r="F171" s="2">
        <f>IFERROR(INDEX(البيانات_الأساسية!E:E, MATCH(159, البيانات_الأساسية!$I:$I, 0)), "")</f>
        <v>0</v>
      </c>
      <c r="G171" s="2">
        <f>IFERROR(INDEX(البيانات_الأساسية!F:F, MATCH(159, البيانات_الأساسية!$I:$I, 0)), "")</f>
        <v>0</v>
      </c>
      <c r="H171" s="2">
        <f>IFERROR(INDEX(البيانات_الأساسية!G:G, MATCH(159, البيانات_الأساسية!$I:$I, 0)), "")</f>
        <v>0</v>
      </c>
    </row>
    <row r="172" spans="2:8" s="3" customFormat="1" ht="20" customHeight="1">
      <c r="B172" s="2">
        <f>IFERROR(INDEX(البيانات_الأساسية!A:A, MATCH(160, البيانات_الأساسية!$I:$I, 0)), "")</f>
        <v>0</v>
      </c>
      <c r="C172" s="2">
        <f>IFERROR(INDEX(البيانات_الأساسية!B:B, MATCH(160, البيانات_الأساسية!$I:$I, 0)), "")</f>
        <v>0</v>
      </c>
      <c r="D172" s="2">
        <f>IFERROR(INDEX(البيانات_الأساسية!C:C, MATCH(160, البيانات_الأساسية!$I:$I, 0)), "")</f>
        <v>0</v>
      </c>
      <c r="E172" s="2">
        <f>IFERROR(INDEX(البيانات_الأساسية!D:D, MATCH(160, البيانات_الأساسية!$I:$I, 0)), "")</f>
        <v>0</v>
      </c>
      <c r="F172" s="2">
        <f>IFERROR(INDEX(البيانات_الأساسية!E:E, MATCH(160, البيانات_الأساسية!$I:$I, 0)), "")</f>
        <v>0</v>
      </c>
      <c r="G172" s="2">
        <f>IFERROR(INDEX(البيانات_الأساسية!F:F, MATCH(160, البيانات_الأساسية!$I:$I, 0)), "")</f>
        <v>0</v>
      </c>
      <c r="H172" s="2">
        <f>IFERROR(INDEX(البيانات_الأساسية!G:G, MATCH(160, البيانات_الأساسية!$I:$I, 0)), "")</f>
        <v>0</v>
      </c>
    </row>
    <row r="173" spans="2:8" s="3" customFormat="1" ht="20" customHeight="1">
      <c r="B173" s="2">
        <f>IFERROR(INDEX(البيانات_الأساسية!A:A, MATCH(161, البيانات_الأساسية!$I:$I, 0)), "")</f>
        <v>0</v>
      </c>
      <c r="C173" s="2">
        <f>IFERROR(INDEX(البيانات_الأساسية!B:B, MATCH(161, البيانات_الأساسية!$I:$I, 0)), "")</f>
        <v>0</v>
      </c>
      <c r="D173" s="2">
        <f>IFERROR(INDEX(البيانات_الأساسية!C:C, MATCH(161, البيانات_الأساسية!$I:$I, 0)), "")</f>
        <v>0</v>
      </c>
      <c r="E173" s="2">
        <f>IFERROR(INDEX(البيانات_الأساسية!D:D, MATCH(161, البيانات_الأساسية!$I:$I, 0)), "")</f>
        <v>0</v>
      </c>
      <c r="F173" s="2">
        <f>IFERROR(INDEX(البيانات_الأساسية!E:E, MATCH(161, البيانات_الأساسية!$I:$I, 0)), "")</f>
        <v>0</v>
      </c>
      <c r="G173" s="2">
        <f>IFERROR(INDEX(البيانات_الأساسية!F:F, MATCH(161, البيانات_الأساسية!$I:$I, 0)), "")</f>
        <v>0</v>
      </c>
      <c r="H173" s="2">
        <f>IFERROR(INDEX(البيانات_الأساسية!G:G, MATCH(161, البيانات_الأساسية!$I:$I, 0)), "")</f>
        <v>0</v>
      </c>
    </row>
    <row r="174" spans="2:8" s="3" customFormat="1" ht="20" customHeight="1">
      <c r="B174" s="2">
        <f>IFERROR(INDEX(البيانات_الأساسية!A:A, MATCH(162, البيانات_الأساسية!$I:$I, 0)), "")</f>
        <v>0</v>
      </c>
      <c r="C174" s="2">
        <f>IFERROR(INDEX(البيانات_الأساسية!B:B, MATCH(162, البيانات_الأساسية!$I:$I, 0)), "")</f>
        <v>0</v>
      </c>
      <c r="D174" s="2">
        <f>IFERROR(INDEX(البيانات_الأساسية!C:C, MATCH(162, البيانات_الأساسية!$I:$I, 0)), "")</f>
        <v>0</v>
      </c>
      <c r="E174" s="2">
        <f>IFERROR(INDEX(البيانات_الأساسية!D:D, MATCH(162, البيانات_الأساسية!$I:$I, 0)), "")</f>
        <v>0</v>
      </c>
      <c r="F174" s="2">
        <f>IFERROR(INDEX(البيانات_الأساسية!E:E, MATCH(162, البيانات_الأساسية!$I:$I, 0)), "")</f>
        <v>0</v>
      </c>
      <c r="G174" s="2">
        <f>IFERROR(INDEX(البيانات_الأساسية!F:F, MATCH(162, البيانات_الأساسية!$I:$I, 0)), "")</f>
        <v>0</v>
      </c>
      <c r="H174" s="2">
        <f>IFERROR(INDEX(البيانات_الأساسية!G:G, MATCH(162, البيانات_الأساسية!$I:$I, 0)), "")</f>
        <v>0</v>
      </c>
    </row>
    <row r="175" spans="2:8" s="3" customFormat="1" ht="20" customHeight="1">
      <c r="B175" s="2">
        <f>IFERROR(INDEX(البيانات_الأساسية!A:A, MATCH(163, البيانات_الأساسية!$I:$I, 0)), "")</f>
        <v>0</v>
      </c>
      <c r="C175" s="2">
        <f>IFERROR(INDEX(البيانات_الأساسية!B:B, MATCH(163, البيانات_الأساسية!$I:$I, 0)), "")</f>
        <v>0</v>
      </c>
      <c r="D175" s="2">
        <f>IFERROR(INDEX(البيانات_الأساسية!C:C, MATCH(163, البيانات_الأساسية!$I:$I, 0)), "")</f>
        <v>0</v>
      </c>
      <c r="E175" s="2">
        <f>IFERROR(INDEX(البيانات_الأساسية!D:D, MATCH(163, البيانات_الأساسية!$I:$I, 0)), "")</f>
        <v>0</v>
      </c>
      <c r="F175" s="2">
        <f>IFERROR(INDEX(البيانات_الأساسية!E:E, MATCH(163, البيانات_الأساسية!$I:$I, 0)), "")</f>
        <v>0</v>
      </c>
      <c r="G175" s="2">
        <f>IFERROR(INDEX(البيانات_الأساسية!F:F, MATCH(163, البيانات_الأساسية!$I:$I, 0)), "")</f>
        <v>0</v>
      </c>
      <c r="H175" s="2">
        <f>IFERROR(INDEX(البيانات_الأساسية!G:G, MATCH(163, البيانات_الأساسية!$I:$I, 0)), "")</f>
        <v>0</v>
      </c>
    </row>
    <row r="176" spans="2:8" s="3" customFormat="1" ht="20" customHeight="1">
      <c r="B176" s="2">
        <f>IFERROR(INDEX(البيانات_الأساسية!A:A, MATCH(164, البيانات_الأساسية!$I:$I, 0)), "")</f>
        <v>0</v>
      </c>
      <c r="C176" s="2">
        <f>IFERROR(INDEX(البيانات_الأساسية!B:B, MATCH(164, البيانات_الأساسية!$I:$I, 0)), "")</f>
        <v>0</v>
      </c>
      <c r="D176" s="2">
        <f>IFERROR(INDEX(البيانات_الأساسية!C:C, MATCH(164, البيانات_الأساسية!$I:$I, 0)), "")</f>
        <v>0</v>
      </c>
      <c r="E176" s="2">
        <f>IFERROR(INDEX(البيانات_الأساسية!D:D, MATCH(164, البيانات_الأساسية!$I:$I, 0)), "")</f>
        <v>0</v>
      </c>
      <c r="F176" s="2">
        <f>IFERROR(INDEX(البيانات_الأساسية!E:E, MATCH(164, البيانات_الأساسية!$I:$I, 0)), "")</f>
        <v>0</v>
      </c>
      <c r="G176" s="2">
        <f>IFERROR(INDEX(البيانات_الأساسية!F:F, MATCH(164, البيانات_الأساسية!$I:$I, 0)), "")</f>
        <v>0</v>
      </c>
      <c r="H176" s="2">
        <f>IFERROR(INDEX(البيانات_الأساسية!G:G, MATCH(164, البيانات_الأساسية!$I:$I, 0)), "")</f>
        <v>0</v>
      </c>
    </row>
    <row r="177" spans="2:8" s="3" customFormat="1" ht="20" customHeight="1">
      <c r="B177" s="2">
        <f>IFERROR(INDEX(البيانات_الأساسية!A:A, MATCH(165, البيانات_الأساسية!$I:$I, 0)), "")</f>
        <v>0</v>
      </c>
      <c r="C177" s="2">
        <f>IFERROR(INDEX(البيانات_الأساسية!B:B, MATCH(165, البيانات_الأساسية!$I:$I, 0)), "")</f>
        <v>0</v>
      </c>
      <c r="D177" s="2">
        <f>IFERROR(INDEX(البيانات_الأساسية!C:C, MATCH(165, البيانات_الأساسية!$I:$I, 0)), "")</f>
        <v>0</v>
      </c>
      <c r="E177" s="2">
        <f>IFERROR(INDEX(البيانات_الأساسية!D:D, MATCH(165, البيانات_الأساسية!$I:$I, 0)), "")</f>
        <v>0</v>
      </c>
      <c r="F177" s="2">
        <f>IFERROR(INDEX(البيانات_الأساسية!E:E, MATCH(165, البيانات_الأساسية!$I:$I, 0)), "")</f>
        <v>0</v>
      </c>
      <c r="G177" s="2">
        <f>IFERROR(INDEX(البيانات_الأساسية!F:F, MATCH(165, البيانات_الأساسية!$I:$I, 0)), "")</f>
        <v>0</v>
      </c>
      <c r="H177" s="2">
        <f>IFERROR(INDEX(البيانات_الأساسية!G:G, MATCH(165, البيانات_الأساسية!$I:$I, 0)), "")</f>
        <v>0</v>
      </c>
    </row>
    <row r="178" spans="2:8" s="3" customFormat="1" ht="20" customHeight="1">
      <c r="B178" s="2">
        <f>IFERROR(INDEX(البيانات_الأساسية!A:A, MATCH(166, البيانات_الأساسية!$I:$I, 0)), "")</f>
        <v>0</v>
      </c>
      <c r="C178" s="2">
        <f>IFERROR(INDEX(البيانات_الأساسية!B:B, MATCH(166, البيانات_الأساسية!$I:$I, 0)), "")</f>
        <v>0</v>
      </c>
      <c r="D178" s="2">
        <f>IFERROR(INDEX(البيانات_الأساسية!C:C, MATCH(166, البيانات_الأساسية!$I:$I, 0)), "")</f>
        <v>0</v>
      </c>
      <c r="E178" s="2">
        <f>IFERROR(INDEX(البيانات_الأساسية!D:D, MATCH(166, البيانات_الأساسية!$I:$I, 0)), "")</f>
        <v>0</v>
      </c>
      <c r="F178" s="2">
        <f>IFERROR(INDEX(البيانات_الأساسية!E:E, MATCH(166, البيانات_الأساسية!$I:$I, 0)), "")</f>
        <v>0</v>
      </c>
      <c r="G178" s="2">
        <f>IFERROR(INDEX(البيانات_الأساسية!F:F, MATCH(166, البيانات_الأساسية!$I:$I, 0)), "")</f>
        <v>0</v>
      </c>
      <c r="H178" s="2">
        <f>IFERROR(INDEX(البيانات_الأساسية!G:G, MATCH(166, البيانات_الأساسية!$I:$I, 0)), "")</f>
        <v>0</v>
      </c>
    </row>
    <row r="179" spans="2:8" s="3" customFormat="1" ht="20" customHeight="1">
      <c r="B179" s="2">
        <f>IFERROR(INDEX(البيانات_الأساسية!A:A, MATCH(167, البيانات_الأساسية!$I:$I, 0)), "")</f>
        <v>0</v>
      </c>
      <c r="C179" s="2">
        <f>IFERROR(INDEX(البيانات_الأساسية!B:B, MATCH(167, البيانات_الأساسية!$I:$I, 0)), "")</f>
        <v>0</v>
      </c>
      <c r="D179" s="2">
        <f>IFERROR(INDEX(البيانات_الأساسية!C:C, MATCH(167, البيانات_الأساسية!$I:$I, 0)), "")</f>
        <v>0</v>
      </c>
      <c r="E179" s="2">
        <f>IFERROR(INDEX(البيانات_الأساسية!D:D, MATCH(167, البيانات_الأساسية!$I:$I, 0)), "")</f>
        <v>0</v>
      </c>
      <c r="F179" s="2">
        <f>IFERROR(INDEX(البيانات_الأساسية!E:E, MATCH(167, البيانات_الأساسية!$I:$I, 0)), "")</f>
        <v>0</v>
      </c>
      <c r="G179" s="2">
        <f>IFERROR(INDEX(البيانات_الأساسية!F:F, MATCH(167, البيانات_الأساسية!$I:$I, 0)), "")</f>
        <v>0</v>
      </c>
      <c r="H179" s="2">
        <f>IFERROR(INDEX(البيانات_الأساسية!G:G, MATCH(167, البيانات_الأساسية!$I:$I, 0)), "")</f>
        <v>0</v>
      </c>
    </row>
    <row r="180" spans="2:8" s="3" customFormat="1" ht="20" customHeight="1">
      <c r="B180" s="2">
        <f>IFERROR(INDEX(البيانات_الأساسية!A:A, MATCH(168, البيانات_الأساسية!$I:$I, 0)), "")</f>
        <v>0</v>
      </c>
      <c r="C180" s="2">
        <f>IFERROR(INDEX(البيانات_الأساسية!B:B, MATCH(168, البيانات_الأساسية!$I:$I, 0)), "")</f>
        <v>0</v>
      </c>
      <c r="D180" s="2">
        <f>IFERROR(INDEX(البيانات_الأساسية!C:C, MATCH(168, البيانات_الأساسية!$I:$I, 0)), "")</f>
        <v>0</v>
      </c>
      <c r="E180" s="2">
        <f>IFERROR(INDEX(البيانات_الأساسية!D:D, MATCH(168, البيانات_الأساسية!$I:$I, 0)), "")</f>
        <v>0</v>
      </c>
      <c r="F180" s="2">
        <f>IFERROR(INDEX(البيانات_الأساسية!E:E, MATCH(168, البيانات_الأساسية!$I:$I, 0)), "")</f>
        <v>0</v>
      </c>
      <c r="G180" s="2">
        <f>IFERROR(INDEX(البيانات_الأساسية!F:F, MATCH(168, البيانات_الأساسية!$I:$I, 0)), "")</f>
        <v>0</v>
      </c>
      <c r="H180" s="2">
        <f>IFERROR(INDEX(البيانات_الأساسية!G:G, MATCH(168, البيانات_الأساسية!$I:$I, 0)), "")</f>
        <v>0</v>
      </c>
    </row>
    <row r="181" spans="2:8" s="3" customFormat="1" ht="20" customHeight="1">
      <c r="B181" s="2">
        <f>IFERROR(INDEX(البيانات_الأساسية!A:A, MATCH(169, البيانات_الأساسية!$I:$I, 0)), "")</f>
        <v>0</v>
      </c>
      <c r="C181" s="2">
        <f>IFERROR(INDEX(البيانات_الأساسية!B:B, MATCH(169, البيانات_الأساسية!$I:$I, 0)), "")</f>
        <v>0</v>
      </c>
      <c r="D181" s="2">
        <f>IFERROR(INDEX(البيانات_الأساسية!C:C, MATCH(169, البيانات_الأساسية!$I:$I, 0)), "")</f>
        <v>0</v>
      </c>
      <c r="E181" s="2">
        <f>IFERROR(INDEX(البيانات_الأساسية!D:D, MATCH(169, البيانات_الأساسية!$I:$I, 0)), "")</f>
        <v>0</v>
      </c>
      <c r="F181" s="2">
        <f>IFERROR(INDEX(البيانات_الأساسية!E:E, MATCH(169, البيانات_الأساسية!$I:$I, 0)), "")</f>
        <v>0</v>
      </c>
      <c r="G181" s="2">
        <f>IFERROR(INDEX(البيانات_الأساسية!F:F, MATCH(169, البيانات_الأساسية!$I:$I, 0)), "")</f>
        <v>0</v>
      </c>
      <c r="H181" s="2">
        <f>IFERROR(INDEX(البيانات_الأساسية!G:G, MATCH(169, البيانات_الأساسية!$I:$I, 0)), "")</f>
        <v>0</v>
      </c>
    </row>
    <row r="182" spans="2:8" s="3" customFormat="1" ht="20" customHeight="1">
      <c r="B182" s="2">
        <f>IFERROR(INDEX(البيانات_الأساسية!A:A, MATCH(170, البيانات_الأساسية!$I:$I, 0)), "")</f>
        <v>0</v>
      </c>
      <c r="C182" s="2">
        <f>IFERROR(INDEX(البيانات_الأساسية!B:B, MATCH(170, البيانات_الأساسية!$I:$I, 0)), "")</f>
        <v>0</v>
      </c>
      <c r="D182" s="2">
        <f>IFERROR(INDEX(البيانات_الأساسية!C:C, MATCH(170, البيانات_الأساسية!$I:$I, 0)), "")</f>
        <v>0</v>
      </c>
      <c r="E182" s="2">
        <f>IFERROR(INDEX(البيانات_الأساسية!D:D, MATCH(170, البيانات_الأساسية!$I:$I, 0)), "")</f>
        <v>0</v>
      </c>
      <c r="F182" s="2">
        <f>IFERROR(INDEX(البيانات_الأساسية!E:E, MATCH(170, البيانات_الأساسية!$I:$I, 0)), "")</f>
        <v>0</v>
      </c>
      <c r="G182" s="2">
        <f>IFERROR(INDEX(البيانات_الأساسية!F:F, MATCH(170, البيانات_الأساسية!$I:$I, 0)), "")</f>
        <v>0</v>
      </c>
      <c r="H182" s="2">
        <f>IFERROR(INDEX(البيانات_الأساسية!G:G, MATCH(170, البيانات_الأساسية!$I:$I, 0)), "")</f>
        <v>0</v>
      </c>
    </row>
    <row r="183" spans="2:8" s="3" customFormat="1" ht="20" customHeight="1">
      <c r="B183" s="2">
        <f>IFERROR(INDEX(البيانات_الأساسية!A:A, MATCH(171, البيانات_الأساسية!$I:$I, 0)), "")</f>
        <v>0</v>
      </c>
      <c r="C183" s="2">
        <f>IFERROR(INDEX(البيانات_الأساسية!B:B, MATCH(171, البيانات_الأساسية!$I:$I, 0)), "")</f>
        <v>0</v>
      </c>
      <c r="D183" s="2">
        <f>IFERROR(INDEX(البيانات_الأساسية!C:C, MATCH(171, البيانات_الأساسية!$I:$I, 0)), "")</f>
        <v>0</v>
      </c>
      <c r="E183" s="2">
        <f>IFERROR(INDEX(البيانات_الأساسية!D:D, MATCH(171, البيانات_الأساسية!$I:$I, 0)), "")</f>
        <v>0</v>
      </c>
      <c r="F183" s="2">
        <f>IFERROR(INDEX(البيانات_الأساسية!E:E, MATCH(171, البيانات_الأساسية!$I:$I, 0)), "")</f>
        <v>0</v>
      </c>
      <c r="G183" s="2">
        <f>IFERROR(INDEX(البيانات_الأساسية!F:F, MATCH(171, البيانات_الأساسية!$I:$I, 0)), "")</f>
        <v>0</v>
      </c>
      <c r="H183" s="2">
        <f>IFERROR(INDEX(البيانات_الأساسية!G:G, MATCH(171, البيانات_الأساسية!$I:$I, 0)), "")</f>
        <v>0</v>
      </c>
    </row>
    <row r="184" spans="2:8" s="3" customFormat="1" ht="20" customHeight="1">
      <c r="B184" s="2">
        <f>IFERROR(INDEX(البيانات_الأساسية!A:A, MATCH(172, البيانات_الأساسية!$I:$I, 0)), "")</f>
        <v>0</v>
      </c>
      <c r="C184" s="2">
        <f>IFERROR(INDEX(البيانات_الأساسية!B:B, MATCH(172, البيانات_الأساسية!$I:$I, 0)), "")</f>
        <v>0</v>
      </c>
      <c r="D184" s="2">
        <f>IFERROR(INDEX(البيانات_الأساسية!C:C, MATCH(172, البيانات_الأساسية!$I:$I, 0)), "")</f>
        <v>0</v>
      </c>
      <c r="E184" s="2">
        <f>IFERROR(INDEX(البيانات_الأساسية!D:D, MATCH(172, البيانات_الأساسية!$I:$I, 0)), "")</f>
        <v>0</v>
      </c>
      <c r="F184" s="2">
        <f>IFERROR(INDEX(البيانات_الأساسية!E:E, MATCH(172, البيانات_الأساسية!$I:$I, 0)), "")</f>
        <v>0</v>
      </c>
      <c r="G184" s="2">
        <f>IFERROR(INDEX(البيانات_الأساسية!F:F, MATCH(172, البيانات_الأساسية!$I:$I, 0)), "")</f>
        <v>0</v>
      </c>
      <c r="H184" s="2">
        <f>IFERROR(INDEX(البيانات_الأساسية!G:G, MATCH(172, البيانات_الأساسية!$I:$I, 0)), "")</f>
        <v>0</v>
      </c>
    </row>
    <row r="185" spans="2:8" s="3" customFormat="1" ht="20" customHeight="1">
      <c r="B185" s="2">
        <f>IFERROR(INDEX(البيانات_الأساسية!A:A, MATCH(173, البيانات_الأساسية!$I:$I, 0)), "")</f>
        <v>0</v>
      </c>
      <c r="C185" s="2">
        <f>IFERROR(INDEX(البيانات_الأساسية!B:B, MATCH(173, البيانات_الأساسية!$I:$I, 0)), "")</f>
        <v>0</v>
      </c>
      <c r="D185" s="2">
        <f>IFERROR(INDEX(البيانات_الأساسية!C:C, MATCH(173, البيانات_الأساسية!$I:$I, 0)), "")</f>
        <v>0</v>
      </c>
      <c r="E185" s="2">
        <f>IFERROR(INDEX(البيانات_الأساسية!D:D, MATCH(173, البيانات_الأساسية!$I:$I, 0)), "")</f>
        <v>0</v>
      </c>
      <c r="F185" s="2">
        <f>IFERROR(INDEX(البيانات_الأساسية!E:E, MATCH(173, البيانات_الأساسية!$I:$I, 0)), "")</f>
        <v>0</v>
      </c>
      <c r="G185" s="2">
        <f>IFERROR(INDEX(البيانات_الأساسية!F:F, MATCH(173, البيانات_الأساسية!$I:$I, 0)), "")</f>
        <v>0</v>
      </c>
      <c r="H185" s="2">
        <f>IFERROR(INDEX(البيانات_الأساسية!G:G, MATCH(173, البيانات_الأساسية!$I:$I, 0)), "")</f>
        <v>0</v>
      </c>
    </row>
    <row r="186" spans="2:8" s="3" customFormat="1" ht="20" customHeight="1">
      <c r="B186" s="2">
        <f>IFERROR(INDEX(البيانات_الأساسية!A:A, MATCH(174, البيانات_الأساسية!$I:$I, 0)), "")</f>
        <v>0</v>
      </c>
      <c r="C186" s="2">
        <f>IFERROR(INDEX(البيانات_الأساسية!B:B, MATCH(174, البيانات_الأساسية!$I:$I, 0)), "")</f>
        <v>0</v>
      </c>
      <c r="D186" s="2">
        <f>IFERROR(INDEX(البيانات_الأساسية!C:C, MATCH(174, البيانات_الأساسية!$I:$I, 0)), "")</f>
        <v>0</v>
      </c>
      <c r="E186" s="2">
        <f>IFERROR(INDEX(البيانات_الأساسية!D:D, MATCH(174, البيانات_الأساسية!$I:$I, 0)), "")</f>
        <v>0</v>
      </c>
      <c r="F186" s="2">
        <f>IFERROR(INDEX(البيانات_الأساسية!E:E, MATCH(174, البيانات_الأساسية!$I:$I, 0)), "")</f>
        <v>0</v>
      </c>
      <c r="G186" s="2">
        <f>IFERROR(INDEX(البيانات_الأساسية!F:F, MATCH(174, البيانات_الأساسية!$I:$I, 0)), "")</f>
        <v>0</v>
      </c>
      <c r="H186" s="2">
        <f>IFERROR(INDEX(البيانات_الأساسية!G:G, MATCH(174, البيانات_الأساسية!$I:$I, 0)), "")</f>
        <v>0</v>
      </c>
    </row>
    <row r="187" spans="2:8" s="3" customFormat="1" ht="20" customHeight="1">
      <c r="B187" s="2">
        <f>IFERROR(INDEX(البيانات_الأساسية!A:A, MATCH(175, البيانات_الأساسية!$I:$I, 0)), "")</f>
        <v>0</v>
      </c>
      <c r="C187" s="2">
        <f>IFERROR(INDEX(البيانات_الأساسية!B:B, MATCH(175, البيانات_الأساسية!$I:$I, 0)), "")</f>
        <v>0</v>
      </c>
      <c r="D187" s="2">
        <f>IFERROR(INDEX(البيانات_الأساسية!C:C, MATCH(175, البيانات_الأساسية!$I:$I, 0)), "")</f>
        <v>0</v>
      </c>
      <c r="E187" s="2">
        <f>IFERROR(INDEX(البيانات_الأساسية!D:D, MATCH(175, البيانات_الأساسية!$I:$I, 0)), "")</f>
        <v>0</v>
      </c>
      <c r="F187" s="2">
        <f>IFERROR(INDEX(البيانات_الأساسية!E:E, MATCH(175, البيانات_الأساسية!$I:$I, 0)), "")</f>
        <v>0</v>
      </c>
      <c r="G187" s="2">
        <f>IFERROR(INDEX(البيانات_الأساسية!F:F, MATCH(175, البيانات_الأساسية!$I:$I, 0)), "")</f>
        <v>0</v>
      </c>
      <c r="H187" s="2">
        <f>IFERROR(INDEX(البيانات_الأساسية!G:G, MATCH(175, البيانات_الأساسية!$I:$I, 0)), "")</f>
        <v>0</v>
      </c>
    </row>
    <row r="188" spans="2:8" s="3" customFormat="1" ht="20" customHeight="1">
      <c r="B188" s="2">
        <f>IFERROR(INDEX(البيانات_الأساسية!A:A, MATCH(176, البيانات_الأساسية!$I:$I, 0)), "")</f>
        <v>0</v>
      </c>
      <c r="C188" s="2">
        <f>IFERROR(INDEX(البيانات_الأساسية!B:B, MATCH(176, البيانات_الأساسية!$I:$I, 0)), "")</f>
        <v>0</v>
      </c>
      <c r="D188" s="2">
        <f>IFERROR(INDEX(البيانات_الأساسية!C:C, MATCH(176, البيانات_الأساسية!$I:$I, 0)), "")</f>
        <v>0</v>
      </c>
      <c r="E188" s="2">
        <f>IFERROR(INDEX(البيانات_الأساسية!D:D, MATCH(176, البيانات_الأساسية!$I:$I, 0)), "")</f>
        <v>0</v>
      </c>
      <c r="F188" s="2">
        <f>IFERROR(INDEX(البيانات_الأساسية!E:E, MATCH(176, البيانات_الأساسية!$I:$I, 0)), "")</f>
        <v>0</v>
      </c>
      <c r="G188" s="2">
        <f>IFERROR(INDEX(البيانات_الأساسية!F:F, MATCH(176, البيانات_الأساسية!$I:$I, 0)), "")</f>
        <v>0</v>
      </c>
      <c r="H188" s="2">
        <f>IFERROR(INDEX(البيانات_الأساسية!G:G, MATCH(176, البيانات_الأساسية!$I:$I, 0)), "")</f>
        <v>0</v>
      </c>
    </row>
    <row r="189" spans="2:8" s="3" customFormat="1" ht="20" customHeight="1">
      <c r="B189" s="2">
        <f>IFERROR(INDEX(البيانات_الأساسية!A:A, MATCH(177, البيانات_الأساسية!$I:$I, 0)), "")</f>
        <v>0</v>
      </c>
      <c r="C189" s="2">
        <f>IFERROR(INDEX(البيانات_الأساسية!B:B, MATCH(177, البيانات_الأساسية!$I:$I, 0)), "")</f>
        <v>0</v>
      </c>
      <c r="D189" s="2">
        <f>IFERROR(INDEX(البيانات_الأساسية!C:C, MATCH(177, البيانات_الأساسية!$I:$I, 0)), "")</f>
        <v>0</v>
      </c>
      <c r="E189" s="2">
        <f>IFERROR(INDEX(البيانات_الأساسية!D:D, MATCH(177, البيانات_الأساسية!$I:$I, 0)), "")</f>
        <v>0</v>
      </c>
      <c r="F189" s="2">
        <f>IFERROR(INDEX(البيانات_الأساسية!E:E, MATCH(177, البيانات_الأساسية!$I:$I, 0)), "")</f>
        <v>0</v>
      </c>
      <c r="G189" s="2">
        <f>IFERROR(INDEX(البيانات_الأساسية!F:F, MATCH(177, البيانات_الأساسية!$I:$I, 0)), "")</f>
        <v>0</v>
      </c>
      <c r="H189" s="2">
        <f>IFERROR(INDEX(البيانات_الأساسية!G:G, MATCH(177, البيانات_الأساسية!$I:$I, 0)), "")</f>
        <v>0</v>
      </c>
    </row>
    <row r="190" spans="2:8" s="3" customFormat="1" ht="20" customHeight="1">
      <c r="B190" s="2">
        <f>IFERROR(INDEX(البيانات_الأساسية!A:A, MATCH(178, البيانات_الأساسية!$I:$I, 0)), "")</f>
        <v>0</v>
      </c>
      <c r="C190" s="2">
        <f>IFERROR(INDEX(البيانات_الأساسية!B:B, MATCH(178, البيانات_الأساسية!$I:$I, 0)), "")</f>
        <v>0</v>
      </c>
      <c r="D190" s="2">
        <f>IFERROR(INDEX(البيانات_الأساسية!C:C, MATCH(178, البيانات_الأساسية!$I:$I, 0)), "")</f>
        <v>0</v>
      </c>
      <c r="E190" s="2">
        <f>IFERROR(INDEX(البيانات_الأساسية!D:D, MATCH(178, البيانات_الأساسية!$I:$I, 0)), "")</f>
        <v>0</v>
      </c>
      <c r="F190" s="2">
        <f>IFERROR(INDEX(البيانات_الأساسية!E:E, MATCH(178, البيانات_الأساسية!$I:$I, 0)), "")</f>
        <v>0</v>
      </c>
      <c r="G190" s="2">
        <f>IFERROR(INDEX(البيانات_الأساسية!F:F, MATCH(178, البيانات_الأساسية!$I:$I, 0)), "")</f>
        <v>0</v>
      </c>
      <c r="H190" s="2">
        <f>IFERROR(INDEX(البيانات_الأساسية!G:G, MATCH(178, البيانات_الأساسية!$I:$I, 0)), "")</f>
        <v>0</v>
      </c>
    </row>
    <row r="191" spans="2:8" s="3" customFormat="1" ht="20" customHeight="1">
      <c r="B191" s="2">
        <f>IFERROR(INDEX(البيانات_الأساسية!A:A, MATCH(179, البيانات_الأساسية!$I:$I, 0)), "")</f>
        <v>0</v>
      </c>
      <c r="C191" s="2">
        <f>IFERROR(INDEX(البيانات_الأساسية!B:B, MATCH(179, البيانات_الأساسية!$I:$I, 0)), "")</f>
        <v>0</v>
      </c>
      <c r="D191" s="2">
        <f>IFERROR(INDEX(البيانات_الأساسية!C:C, MATCH(179, البيانات_الأساسية!$I:$I, 0)), "")</f>
        <v>0</v>
      </c>
      <c r="E191" s="2">
        <f>IFERROR(INDEX(البيانات_الأساسية!D:D, MATCH(179, البيانات_الأساسية!$I:$I, 0)), "")</f>
        <v>0</v>
      </c>
      <c r="F191" s="2">
        <f>IFERROR(INDEX(البيانات_الأساسية!E:E, MATCH(179, البيانات_الأساسية!$I:$I, 0)), "")</f>
        <v>0</v>
      </c>
      <c r="G191" s="2">
        <f>IFERROR(INDEX(البيانات_الأساسية!F:F, MATCH(179, البيانات_الأساسية!$I:$I, 0)), "")</f>
        <v>0</v>
      </c>
      <c r="H191" s="2">
        <f>IFERROR(INDEX(البيانات_الأساسية!G:G, MATCH(179, البيانات_الأساسية!$I:$I, 0)), "")</f>
        <v>0</v>
      </c>
    </row>
    <row r="192" spans="2:8" s="3" customFormat="1" ht="20" customHeight="1">
      <c r="B192" s="2">
        <f>IFERROR(INDEX(البيانات_الأساسية!A:A, MATCH(180, البيانات_الأساسية!$I:$I, 0)), "")</f>
        <v>0</v>
      </c>
      <c r="C192" s="2">
        <f>IFERROR(INDEX(البيانات_الأساسية!B:B, MATCH(180, البيانات_الأساسية!$I:$I, 0)), "")</f>
        <v>0</v>
      </c>
      <c r="D192" s="2">
        <f>IFERROR(INDEX(البيانات_الأساسية!C:C, MATCH(180, البيانات_الأساسية!$I:$I, 0)), "")</f>
        <v>0</v>
      </c>
      <c r="E192" s="2">
        <f>IFERROR(INDEX(البيانات_الأساسية!D:D, MATCH(180, البيانات_الأساسية!$I:$I, 0)), "")</f>
        <v>0</v>
      </c>
      <c r="F192" s="2">
        <f>IFERROR(INDEX(البيانات_الأساسية!E:E, MATCH(180, البيانات_الأساسية!$I:$I, 0)), "")</f>
        <v>0</v>
      </c>
      <c r="G192" s="2">
        <f>IFERROR(INDEX(البيانات_الأساسية!F:F, MATCH(180, البيانات_الأساسية!$I:$I, 0)), "")</f>
        <v>0</v>
      </c>
      <c r="H192" s="2">
        <f>IFERROR(INDEX(البيانات_الأساسية!G:G, MATCH(180, البيانات_الأساسية!$I:$I, 0)), "")</f>
        <v>0</v>
      </c>
    </row>
    <row r="193" spans="2:8" s="3" customFormat="1" ht="20" customHeight="1">
      <c r="B193" s="2">
        <f>IFERROR(INDEX(البيانات_الأساسية!A:A, MATCH(181, البيانات_الأساسية!$I:$I, 0)), "")</f>
        <v>0</v>
      </c>
      <c r="C193" s="2">
        <f>IFERROR(INDEX(البيانات_الأساسية!B:B, MATCH(181, البيانات_الأساسية!$I:$I, 0)), "")</f>
        <v>0</v>
      </c>
      <c r="D193" s="2">
        <f>IFERROR(INDEX(البيانات_الأساسية!C:C, MATCH(181, البيانات_الأساسية!$I:$I, 0)), "")</f>
        <v>0</v>
      </c>
      <c r="E193" s="2">
        <f>IFERROR(INDEX(البيانات_الأساسية!D:D, MATCH(181, البيانات_الأساسية!$I:$I, 0)), "")</f>
        <v>0</v>
      </c>
      <c r="F193" s="2">
        <f>IFERROR(INDEX(البيانات_الأساسية!E:E, MATCH(181, البيانات_الأساسية!$I:$I, 0)), "")</f>
        <v>0</v>
      </c>
      <c r="G193" s="2">
        <f>IFERROR(INDEX(البيانات_الأساسية!F:F, MATCH(181, البيانات_الأساسية!$I:$I, 0)), "")</f>
        <v>0</v>
      </c>
      <c r="H193" s="2">
        <f>IFERROR(INDEX(البيانات_الأساسية!G:G, MATCH(181, البيانات_الأساسية!$I:$I, 0)), "")</f>
        <v>0</v>
      </c>
    </row>
    <row r="194" spans="2:8" s="3" customFormat="1" ht="20" customHeight="1">
      <c r="B194" s="2">
        <f>IFERROR(INDEX(البيانات_الأساسية!A:A, MATCH(182, البيانات_الأساسية!$I:$I, 0)), "")</f>
        <v>0</v>
      </c>
      <c r="C194" s="2">
        <f>IFERROR(INDEX(البيانات_الأساسية!B:B, MATCH(182, البيانات_الأساسية!$I:$I, 0)), "")</f>
        <v>0</v>
      </c>
      <c r="D194" s="2">
        <f>IFERROR(INDEX(البيانات_الأساسية!C:C, MATCH(182, البيانات_الأساسية!$I:$I, 0)), "")</f>
        <v>0</v>
      </c>
      <c r="E194" s="2">
        <f>IFERROR(INDEX(البيانات_الأساسية!D:D, MATCH(182, البيانات_الأساسية!$I:$I, 0)), "")</f>
        <v>0</v>
      </c>
      <c r="F194" s="2">
        <f>IFERROR(INDEX(البيانات_الأساسية!E:E, MATCH(182, البيانات_الأساسية!$I:$I, 0)), "")</f>
        <v>0</v>
      </c>
      <c r="G194" s="2">
        <f>IFERROR(INDEX(البيانات_الأساسية!F:F, MATCH(182, البيانات_الأساسية!$I:$I, 0)), "")</f>
        <v>0</v>
      </c>
      <c r="H194" s="2">
        <f>IFERROR(INDEX(البيانات_الأساسية!G:G, MATCH(182, البيانات_الأساسية!$I:$I, 0)), "")</f>
        <v>0</v>
      </c>
    </row>
    <row r="195" spans="2:8" s="3" customFormat="1" ht="20" customHeight="1">
      <c r="B195" s="2">
        <f>IFERROR(INDEX(البيانات_الأساسية!A:A, MATCH(183, البيانات_الأساسية!$I:$I, 0)), "")</f>
        <v>0</v>
      </c>
      <c r="C195" s="2">
        <f>IFERROR(INDEX(البيانات_الأساسية!B:B, MATCH(183, البيانات_الأساسية!$I:$I, 0)), "")</f>
        <v>0</v>
      </c>
      <c r="D195" s="2">
        <f>IFERROR(INDEX(البيانات_الأساسية!C:C, MATCH(183, البيانات_الأساسية!$I:$I, 0)), "")</f>
        <v>0</v>
      </c>
      <c r="E195" s="2">
        <f>IFERROR(INDEX(البيانات_الأساسية!D:D, MATCH(183, البيانات_الأساسية!$I:$I, 0)), "")</f>
        <v>0</v>
      </c>
      <c r="F195" s="2">
        <f>IFERROR(INDEX(البيانات_الأساسية!E:E, MATCH(183, البيانات_الأساسية!$I:$I, 0)), "")</f>
        <v>0</v>
      </c>
      <c r="G195" s="2">
        <f>IFERROR(INDEX(البيانات_الأساسية!F:F, MATCH(183, البيانات_الأساسية!$I:$I, 0)), "")</f>
        <v>0</v>
      </c>
      <c r="H195" s="2">
        <f>IFERROR(INDEX(البيانات_الأساسية!G:G, MATCH(183, البيانات_الأساسية!$I:$I, 0)), "")</f>
        <v>0</v>
      </c>
    </row>
    <row r="196" spans="2:8" s="3" customFormat="1" ht="20" customHeight="1">
      <c r="B196" s="2">
        <f>IFERROR(INDEX(البيانات_الأساسية!A:A, MATCH(184, البيانات_الأساسية!$I:$I, 0)), "")</f>
        <v>0</v>
      </c>
      <c r="C196" s="2">
        <f>IFERROR(INDEX(البيانات_الأساسية!B:B, MATCH(184, البيانات_الأساسية!$I:$I, 0)), "")</f>
        <v>0</v>
      </c>
      <c r="D196" s="2">
        <f>IFERROR(INDEX(البيانات_الأساسية!C:C, MATCH(184, البيانات_الأساسية!$I:$I, 0)), "")</f>
        <v>0</v>
      </c>
      <c r="E196" s="2">
        <f>IFERROR(INDEX(البيانات_الأساسية!D:D, MATCH(184, البيانات_الأساسية!$I:$I, 0)), "")</f>
        <v>0</v>
      </c>
      <c r="F196" s="2">
        <f>IFERROR(INDEX(البيانات_الأساسية!E:E, MATCH(184, البيانات_الأساسية!$I:$I, 0)), "")</f>
        <v>0</v>
      </c>
      <c r="G196" s="2">
        <f>IFERROR(INDEX(البيانات_الأساسية!F:F, MATCH(184, البيانات_الأساسية!$I:$I, 0)), "")</f>
        <v>0</v>
      </c>
      <c r="H196" s="2">
        <f>IFERROR(INDEX(البيانات_الأساسية!G:G, MATCH(184, البيانات_الأساسية!$I:$I, 0)), "")</f>
        <v>0</v>
      </c>
    </row>
    <row r="197" spans="2:8" s="3" customFormat="1" ht="20" customHeight="1">
      <c r="B197" s="2">
        <f>IFERROR(INDEX(البيانات_الأساسية!A:A, MATCH(185, البيانات_الأساسية!$I:$I, 0)), "")</f>
        <v>0</v>
      </c>
      <c r="C197" s="2">
        <f>IFERROR(INDEX(البيانات_الأساسية!B:B, MATCH(185, البيانات_الأساسية!$I:$I, 0)), "")</f>
        <v>0</v>
      </c>
      <c r="D197" s="2">
        <f>IFERROR(INDEX(البيانات_الأساسية!C:C, MATCH(185, البيانات_الأساسية!$I:$I, 0)), "")</f>
        <v>0</v>
      </c>
      <c r="E197" s="2">
        <f>IFERROR(INDEX(البيانات_الأساسية!D:D, MATCH(185, البيانات_الأساسية!$I:$I, 0)), "")</f>
        <v>0</v>
      </c>
      <c r="F197" s="2">
        <f>IFERROR(INDEX(البيانات_الأساسية!E:E, MATCH(185, البيانات_الأساسية!$I:$I, 0)), "")</f>
        <v>0</v>
      </c>
      <c r="G197" s="2">
        <f>IFERROR(INDEX(البيانات_الأساسية!F:F, MATCH(185, البيانات_الأساسية!$I:$I, 0)), "")</f>
        <v>0</v>
      </c>
      <c r="H197" s="2">
        <f>IFERROR(INDEX(البيانات_الأساسية!G:G, MATCH(185, البيانات_الأساسية!$I:$I, 0)), "")</f>
        <v>0</v>
      </c>
    </row>
    <row r="198" spans="2:8" s="3" customFormat="1" ht="20" customHeight="1">
      <c r="B198" s="2">
        <f>IFERROR(INDEX(البيانات_الأساسية!A:A, MATCH(186, البيانات_الأساسية!$I:$I, 0)), "")</f>
        <v>0</v>
      </c>
      <c r="C198" s="2">
        <f>IFERROR(INDEX(البيانات_الأساسية!B:B, MATCH(186, البيانات_الأساسية!$I:$I, 0)), "")</f>
        <v>0</v>
      </c>
      <c r="D198" s="2">
        <f>IFERROR(INDEX(البيانات_الأساسية!C:C, MATCH(186, البيانات_الأساسية!$I:$I, 0)), "")</f>
        <v>0</v>
      </c>
      <c r="E198" s="2">
        <f>IFERROR(INDEX(البيانات_الأساسية!D:D, MATCH(186, البيانات_الأساسية!$I:$I, 0)), "")</f>
        <v>0</v>
      </c>
      <c r="F198" s="2">
        <f>IFERROR(INDEX(البيانات_الأساسية!E:E, MATCH(186, البيانات_الأساسية!$I:$I, 0)), "")</f>
        <v>0</v>
      </c>
      <c r="G198" s="2">
        <f>IFERROR(INDEX(البيانات_الأساسية!F:F, MATCH(186, البيانات_الأساسية!$I:$I, 0)), "")</f>
        <v>0</v>
      </c>
      <c r="H198" s="2">
        <f>IFERROR(INDEX(البيانات_الأساسية!G:G, MATCH(186, البيانات_الأساسية!$I:$I, 0)), "")</f>
        <v>0</v>
      </c>
    </row>
    <row r="199" spans="2:8" s="3" customFormat="1" ht="20" customHeight="1">
      <c r="B199" s="2">
        <f>IFERROR(INDEX(البيانات_الأساسية!A:A, MATCH(187, البيانات_الأساسية!$I:$I, 0)), "")</f>
        <v>0</v>
      </c>
      <c r="C199" s="2">
        <f>IFERROR(INDEX(البيانات_الأساسية!B:B, MATCH(187, البيانات_الأساسية!$I:$I, 0)), "")</f>
        <v>0</v>
      </c>
      <c r="D199" s="2">
        <f>IFERROR(INDEX(البيانات_الأساسية!C:C, MATCH(187, البيانات_الأساسية!$I:$I, 0)), "")</f>
        <v>0</v>
      </c>
      <c r="E199" s="2">
        <f>IFERROR(INDEX(البيانات_الأساسية!D:D, MATCH(187, البيانات_الأساسية!$I:$I, 0)), "")</f>
        <v>0</v>
      </c>
      <c r="F199" s="2">
        <f>IFERROR(INDEX(البيانات_الأساسية!E:E, MATCH(187, البيانات_الأساسية!$I:$I, 0)), "")</f>
        <v>0</v>
      </c>
      <c r="G199" s="2">
        <f>IFERROR(INDEX(البيانات_الأساسية!F:F, MATCH(187, البيانات_الأساسية!$I:$I, 0)), "")</f>
        <v>0</v>
      </c>
      <c r="H199" s="2">
        <f>IFERROR(INDEX(البيانات_الأساسية!G:G, MATCH(187, البيانات_الأساسية!$I:$I, 0)), "")</f>
        <v>0</v>
      </c>
    </row>
    <row r="200" spans="2:8" s="3" customFormat="1" ht="20" customHeight="1">
      <c r="B200" s="2">
        <f>IFERROR(INDEX(البيانات_الأساسية!A:A, MATCH(188, البيانات_الأساسية!$I:$I, 0)), "")</f>
        <v>0</v>
      </c>
      <c r="C200" s="2">
        <f>IFERROR(INDEX(البيانات_الأساسية!B:B, MATCH(188, البيانات_الأساسية!$I:$I, 0)), "")</f>
        <v>0</v>
      </c>
      <c r="D200" s="2">
        <f>IFERROR(INDEX(البيانات_الأساسية!C:C, MATCH(188, البيانات_الأساسية!$I:$I, 0)), "")</f>
        <v>0</v>
      </c>
      <c r="E200" s="2">
        <f>IFERROR(INDEX(البيانات_الأساسية!D:D, MATCH(188, البيانات_الأساسية!$I:$I, 0)), "")</f>
        <v>0</v>
      </c>
      <c r="F200" s="2">
        <f>IFERROR(INDEX(البيانات_الأساسية!E:E, MATCH(188, البيانات_الأساسية!$I:$I, 0)), "")</f>
        <v>0</v>
      </c>
      <c r="G200" s="2">
        <f>IFERROR(INDEX(البيانات_الأساسية!F:F, MATCH(188, البيانات_الأساسية!$I:$I, 0)), "")</f>
        <v>0</v>
      </c>
      <c r="H200" s="2">
        <f>IFERROR(INDEX(البيانات_الأساسية!G:G, MATCH(188, البيانات_الأساسية!$I:$I, 0)), "")</f>
        <v>0</v>
      </c>
    </row>
    <row r="201" spans="2:8" s="3" customFormat="1" ht="20" customHeight="1">
      <c r="B201" s="2">
        <f>IFERROR(INDEX(البيانات_الأساسية!A:A, MATCH(189, البيانات_الأساسية!$I:$I, 0)), "")</f>
        <v>0</v>
      </c>
      <c r="C201" s="2">
        <f>IFERROR(INDEX(البيانات_الأساسية!B:B, MATCH(189, البيانات_الأساسية!$I:$I, 0)), "")</f>
        <v>0</v>
      </c>
      <c r="D201" s="2">
        <f>IFERROR(INDEX(البيانات_الأساسية!C:C, MATCH(189, البيانات_الأساسية!$I:$I, 0)), "")</f>
        <v>0</v>
      </c>
      <c r="E201" s="2">
        <f>IFERROR(INDEX(البيانات_الأساسية!D:D, MATCH(189, البيانات_الأساسية!$I:$I, 0)), "")</f>
        <v>0</v>
      </c>
      <c r="F201" s="2">
        <f>IFERROR(INDEX(البيانات_الأساسية!E:E, MATCH(189, البيانات_الأساسية!$I:$I, 0)), "")</f>
        <v>0</v>
      </c>
      <c r="G201" s="2">
        <f>IFERROR(INDEX(البيانات_الأساسية!F:F, MATCH(189, البيانات_الأساسية!$I:$I, 0)), "")</f>
        <v>0</v>
      </c>
      <c r="H201" s="2">
        <f>IFERROR(INDEX(البيانات_الأساسية!G:G, MATCH(189, البيانات_الأساسية!$I:$I, 0)), "")</f>
        <v>0</v>
      </c>
    </row>
    <row r="202" spans="2:8" s="3" customFormat="1" ht="20" customHeight="1">
      <c r="B202" s="2">
        <f>IFERROR(INDEX(البيانات_الأساسية!A:A, MATCH(190, البيانات_الأساسية!$I:$I, 0)), "")</f>
        <v>0</v>
      </c>
      <c r="C202" s="2">
        <f>IFERROR(INDEX(البيانات_الأساسية!B:B, MATCH(190, البيانات_الأساسية!$I:$I, 0)), "")</f>
        <v>0</v>
      </c>
      <c r="D202" s="2">
        <f>IFERROR(INDEX(البيانات_الأساسية!C:C, MATCH(190, البيانات_الأساسية!$I:$I, 0)), "")</f>
        <v>0</v>
      </c>
      <c r="E202" s="2">
        <f>IFERROR(INDEX(البيانات_الأساسية!D:D, MATCH(190, البيانات_الأساسية!$I:$I, 0)), "")</f>
        <v>0</v>
      </c>
      <c r="F202" s="2">
        <f>IFERROR(INDEX(البيانات_الأساسية!E:E, MATCH(190, البيانات_الأساسية!$I:$I, 0)), "")</f>
        <v>0</v>
      </c>
      <c r="G202" s="2">
        <f>IFERROR(INDEX(البيانات_الأساسية!F:F, MATCH(190, البيانات_الأساسية!$I:$I, 0)), "")</f>
        <v>0</v>
      </c>
      <c r="H202" s="2">
        <f>IFERROR(INDEX(البيانات_الأساسية!G:G, MATCH(190, البيانات_الأساسية!$I:$I, 0)), "")</f>
        <v>0</v>
      </c>
    </row>
    <row r="203" spans="2:8" s="3" customFormat="1" ht="20" customHeight="1">
      <c r="B203" s="2">
        <f>IFERROR(INDEX(البيانات_الأساسية!A:A, MATCH(191, البيانات_الأساسية!$I:$I, 0)), "")</f>
        <v>0</v>
      </c>
      <c r="C203" s="2">
        <f>IFERROR(INDEX(البيانات_الأساسية!B:B, MATCH(191, البيانات_الأساسية!$I:$I, 0)), "")</f>
        <v>0</v>
      </c>
      <c r="D203" s="2">
        <f>IFERROR(INDEX(البيانات_الأساسية!C:C, MATCH(191, البيانات_الأساسية!$I:$I, 0)), "")</f>
        <v>0</v>
      </c>
      <c r="E203" s="2">
        <f>IFERROR(INDEX(البيانات_الأساسية!D:D, MATCH(191, البيانات_الأساسية!$I:$I, 0)), "")</f>
        <v>0</v>
      </c>
      <c r="F203" s="2">
        <f>IFERROR(INDEX(البيانات_الأساسية!E:E, MATCH(191, البيانات_الأساسية!$I:$I, 0)), "")</f>
        <v>0</v>
      </c>
      <c r="G203" s="2">
        <f>IFERROR(INDEX(البيانات_الأساسية!F:F, MATCH(191, البيانات_الأساسية!$I:$I, 0)), "")</f>
        <v>0</v>
      </c>
      <c r="H203" s="2">
        <f>IFERROR(INDEX(البيانات_الأساسية!G:G, MATCH(191, البيانات_الأساسية!$I:$I, 0)), "")</f>
        <v>0</v>
      </c>
    </row>
    <row r="204" spans="2:8" s="3" customFormat="1" ht="20" customHeight="1">
      <c r="B204" s="2">
        <f>IFERROR(INDEX(البيانات_الأساسية!A:A, MATCH(192, البيانات_الأساسية!$I:$I, 0)), "")</f>
        <v>0</v>
      </c>
      <c r="C204" s="2">
        <f>IFERROR(INDEX(البيانات_الأساسية!B:B, MATCH(192, البيانات_الأساسية!$I:$I, 0)), "")</f>
        <v>0</v>
      </c>
      <c r="D204" s="2">
        <f>IFERROR(INDEX(البيانات_الأساسية!C:C, MATCH(192, البيانات_الأساسية!$I:$I, 0)), "")</f>
        <v>0</v>
      </c>
      <c r="E204" s="2">
        <f>IFERROR(INDEX(البيانات_الأساسية!D:D, MATCH(192, البيانات_الأساسية!$I:$I, 0)), "")</f>
        <v>0</v>
      </c>
      <c r="F204" s="2">
        <f>IFERROR(INDEX(البيانات_الأساسية!E:E, MATCH(192, البيانات_الأساسية!$I:$I, 0)), "")</f>
        <v>0</v>
      </c>
      <c r="G204" s="2">
        <f>IFERROR(INDEX(البيانات_الأساسية!F:F, MATCH(192, البيانات_الأساسية!$I:$I, 0)), "")</f>
        <v>0</v>
      </c>
      <c r="H204" s="2">
        <f>IFERROR(INDEX(البيانات_الأساسية!G:G, MATCH(192, البيانات_الأساسية!$I:$I, 0)), "")</f>
        <v>0</v>
      </c>
    </row>
    <row r="205" spans="2:8" s="3" customFormat="1" ht="20" customHeight="1">
      <c r="B205" s="2">
        <f>IFERROR(INDEX(البيانات_الأساسية!A:A, MATCH(193, البيانات_الأساسية!$I:$I, 0)), "")</f>
        <v>0</v>
      </c>
      <c r="C205" s="2">
        <f>IFERROR(INDEX(البيانات_الأساسية!B:B, MATCH(193, البيانات_الأساسية!$I:$I, 0)), "")</f>
        <v>0</v>
      </c>
      <c r="D205" s="2">
        <f>IFERROR(INDEX(البيانات_الأساسية!C:C, MATCH(193, البيانات_الأساسية!$I:$I, 0)), "")</f>
        <v>0</v>
      </c>
      <c r="E205" s="2">
        <f>IFERROR(INDEX(البيانات_الأساسية!D:D, MATCH(193, البيانات_الأساسية!$I:$I, 0)), "")</f>
        <v>0</v>
      </c>
      <c r="F205" s="2">
        <f>IFERROR(INDEX(البيانات_الأساسية!E:E, MATCH(193, البيانات_الأساسية!$I:$I, 0)), "")</f>
        <v>0</v>
      </c>
      <c r="G205" s="2">
        <f>IFERROR(INDEX(البيانات_الأساسية!F:F, MATCH(193, البيانات_الأساسية!$I:$I, 0)), "")</f>
        <v>0</v>
      </c>
      <c r="H205" s="2">
        <f>IFERROR(INDEX(البيانات_الأساسية!G:G, MATCH(193, البيانات_الأساسية!$I:$I, 0)), "")</f>
        <v>0</v>
      </c>
    </row>
    <row r="206" spans="2:8" s="3" customFormat="1" ht="20" customHeight="1">
      <c r="B206" s="2">
        <f>IFERROR(INDEX(البيانات_الأساسية!A:A, MATCH(194, البيانات_الأساسية!$I:$I, 0)), "")</f>
        <v>0</v>
      </c>
      <c r="C206" s="2">
        <f>IFERROR(INDEX(البيانات_الأساسية!B:B, MATCH(194, البيانات_الأساسية!$I:$I, 0)), "")</f>
        <v>0</v>
      </c>
      <c r="D206" s="2">
        <f>IFERROR(INDEX(البيانات_الأساسية!C:C, MATCH(194, البيانات_الأساسية!$I:$I, 0)), "")</f>
        <v>0</v>
      </c>
      <c r="E206" s="2">
        <f>IFERROR(INDEX(البيانات_الأساسية!D:D, MATCH(194, البيانات_الأساسية!$I:$I, 0)), "")</f>
        <v>0</v>
      </c>
      <c r="F206" s="2">
        <f>IFERROR(INDEX(البيانات_الأساسية!E:E, MATCH(194, البيانات_الأساسية!$I:$I, 0)), "")</f>
        <v>0</v>
      </c>
      <c r="G206" s="2">
        <f>IFERROR(INDEX(البيانات_الأساسية!F:F, MATCH(194, البيانات_الأساسية!$I:$I, 0)), "")</f>
        <v>0</v>
      </c>
      <c r="H206" s="2">
        <f>IFERROR(INDEX(البيانات_الأساسية!G:G, MATCH(194, البيانات_الأساسية!$I:$I, 0)), "")</f>
        <v>0</v>
      </c>
    </row>
    <row r="207" spans="2:8" s="3" customFormat="1" ht="20" customHeight="1">
      <c r="B207" s="2">
        <f>IFERROR(INDEX(البيانات_الأساسية!A:A, MATCH(195, البيانات_الأساسية!$I:$I, 0)), "")</f>
        <v>0</v>
      </c>
      <c r="C207" s="2">
        <f>IFERROR(INDEX(البيانات_الأساسية!B:B, MATCH(195, البيانات_الأساسية!$I:$I, 0)), "")</f>
        <v>0</v>
      </c>
      <c r="D207" s="2">
        <f>IFERROR(INDEX(البيانات_الأساسية!C:C, MATCH(195, البيانات_الأساسية!$I:$I, 0)), "")</f>
        <v>0</v>
      </c>
      <c r="E207" s="2">
        <f>IFERROR(INDEX(البيانات_الأساسية!D:D, MATCH(195, البيانات_الأساسية!$I:$I, 0)), "")</f>
        <v>0</v>
      </c>
      <c r="F207" s="2">
        <f>IFERROR(INDEX(البيانات_الأساسية!E:E, MATCH(195, البيانات_الأساسية!$I:$I, 0)), "")</f>
        <v>0</v>
      </c>
      <c r="G207" s="2">
        <f>IFERROR(INDEX(البيانات_الأساسية!F:F, MATCH(195, البيانات_الأساسية!$I:$I, 0)), "")</f>
        <v>0</v>
      </c>
      <c r="H207" s="2">
        <f>IFERROR(INDEX(البيانات_الأساسية!G:G, MATCH(195, البيانات_الأساسية!$I:$I, 0)), "")</f>
        <v>0</v>
      </c>
    </row>
    <row r="208" spans="2:8" s="3" customFormat="1" ht="20" customHeight="1">
      <c r="B208" s="2">
        <f>IFERROR(INDEX(البيانات_الأساسية!A:A, MATCH(196, البيانات_الأساسية!$I:$I, 0)), "")</f>
        <v>0</v>
      </c>
      <c r="C208" s="2">
        <f>IFERROR(INDEX(البيانات_الأساسية!B:B, MATCH(196, البيانات_الأساسية!$I:$I, 0)), "")</f>
        <v>0</v>
      </c>
      <c r="D208" s="2">
        <f>IFERROR(INDEX(البيانات_الأساسية!C:C, MATCH(196, البيانات_الأساسية!$I:$I, 0)), "")</f>
        <v>0</v>
      </c>
      <c r="E208" s="2">
        <f>IFERROR(INDEX(البيانات_الأساسية!D:D, MATCH(196, البيانات_الأساسية!$I:$I, 0)), "")</f>
        <v>0</v>
      </c>
      <c r="F208" s="2">
        <f>IFERROR(INDEX(البيانات_الأساسية!E:E, MATCH(196, البيانات_الأساسية!$I:$I, 0)), "")</f>
        <v>0</v>
      </c>
      <c r="G208" s="2">
        <f>IFERROR(INDEX(البيانات_الأساسية!F:F, MATCH(196, البيانات_الأساسية!$I:$I, 0)), "")</f>
        <v>0</v>
      </c>
      <c r="H208" s="2">
        <f>IFERROR(INDEX(البيانات_الأساسية!G:G, MATCH(196, البيانات_الأساسية!$I:$I, 0)), "")</f>
        <v>0</v>
      </c>
    </row>
    <row r="209" spans="2:8" s="3" customFormat="1" ht="20" customHeight="1">
      <c r="B209" s="2">
        <f>IFERROR(INDEX(البيانات_الأساسية!A:A, MATCH(197, البيانات_الأساسية!$I:$I, 0)), "")</f>
        <v>0</v>
      </c>
      <c r="C209" s="2">
        <f>IFERROR(INDEX(البيانات_الأساسية!B:B, MATCH(197, البيانات_الأساسية!$I:$I, 0)), "")</f>
        <v>0</v>
      </c>
      <c r="D209" s="2">
        <f>IFERROR(INDEX(البيانات_الأساسية!C:C, MATCH(197, البيانات_الأساسية!$I:$I, 0)), "")</f>
        <v>0</v>
      </c>
      <c r="E209" s="2">
        <f>IFERROR(INDEX(البيانات_الأساسية!D:D, MATCH(197, البيانات_الأساسية!$I:$I, 0)), "")</f>
        <v>0</v>
      </c>
      <c r="F209" s="2">
        <f>IFERROR(INDEX(البيانات_الأساسية!E:E, MATCH(197, البيانات_الأساسية!$I:$I, 0)), "")</f>
        <v>0</v>
      </c>
      <c r="G209" s="2">
        <f>IFERROR(INDEX(البيانات_الأساسية!F:F, MATCH(197, البيانات_الأساسية!$I:$I, 0)), "")</f>
        <v>0</v>
      </c>
      <c r="H209" s="2">
        <f>IFERROR(INDEX(البيانات_الأساسية!G:G, MATCH(197, البيانات_الأساسية!$I:$I, 0)), "")</f>
        <v>0</v>
      </c>
    </row>
    <row r="210" spans="2:8" s="3" customFormat="1" ht="20" customHeight="1">
      <c r="B210" s="2">
        <f>IFERROR(INDEX(البيانات_الأساسية!A:A, MATCH(198, البيانات_الأساسية!$I:$I, 0)), "")</f>
        <v>0</v>
      </c>
      <c r="C210" s="2">
        <f>IFERROR(INDEX(البيانات_الأساسية!B:B, MATCH(198, البيانات_الأساسية!$I:$I, 0)), "")</f>
        <v>0</v>
      </c>
      <c r="D210" s="2">
        <f>IFERROR(INDEX(البيانات_الأساسية!C:C, MATCH(198, البيانات_الأساسية!$I:$I, 0)), "")</f>
        <v>0</v>
      </c>
      <c r="E210" s="2">
        <f>IFERROR(INDEX(البيانات_الأساسية!D:D, MATCH(198, البيانات_الأساسية!$I:$I, 0)), "")</f>
        <v>0</v>
      </c>
      <c r="F210" s="2">
        <f>IFERROR(INDEX(البيانات_الأساسية!E:E, MATCH(198, البيانات_الأساسية!$I:$I, 0)), "")</f>
        <v>0</v>
      </c>
      <c r="G210" s="2">
        <f>IFERROR(INDEX(البيانات_الأساسية!F:F, MATCH(198, البيانات_الأساسية!$I:$I, 0)), "")</f>
        <v>0</v>
      </c>
      <c r="H210" s="2">
        <f>IFERROR(INDEX(البيانات_الأساسية!G:G, MATCH(198, البيانات_الأساسية!$I:$I, 0)), "")</f>
        <v>0</v>
      </c>
    </row>
    <row r="211" spans="2:8" s="3" customFormat="1" ht="20" customHeight="1">
      <c r="B211" s="2">
        <f>IFERROR(INDEX(البيانات_الأساسية!A:A, MATCH(199, البيانات_الأساسية!$I:$I, 0)), "")</f>
        <v>0</v>
      </c>
      <c r="C211" s="2">
        <f>IFERROR(INDEX(البيانات_الأساسية!B:B, MATCH(199, البيانات_الأساسية!$I:$I, 0)), "")</f>
        <v>0</v>
      </c>
      <c r="D211" s="2">
        <f>IFERROR(INDEX(البيانات_الأساسية!C:C, MATCH(199, البيانات_الأساسية!$I:$I, 0)), "")</f>
        <v>0</v>
      </c>
      <c r="E211" s="2">
        <f>IFERROR(INDEX(البيانات_الأساسية!D:D, MATCH(199, البيانات_الأساسية!$I:$I, 0)), "")</f>
        <v>0</v>
      </c>
      <c r="F211" s="2">
        <f>IFERROR(INDEX(البيانات_الأساسية!E:E, MATCH(199, البيانات_الأساسية!$I:$I, 0)), "")</f>
        <v>0</v>
      </c>
      <c r="G211" s="2">
        <f>IFERROR(INDEX(البيانات_الأساسية!F:F, MATCH(199, البيانات_الأساسية!$I:$I, 0)), "")</f>
        <v>0</v>
      </c>
      <c r="H211" s="2">
        <f>IFERROR(INDEX(البيانات_الأساسية!G:G, MATCH(199, البيانات_الأساسية!$I:$I, 0)), "")</f>
        <v>0</v>
      </c>
    </row>
    <row r="212" spans="2:8" s="3" customFormat="1" ht="20" customHeight="1">
      <c r="B212" s="2">
        <f>IFERROR(INDEX(البيانات_الأساسية!A:A, MATCH(200, البيانات_الأساسية!$I:$I, 0)), "")</f>
        <v>0</v>
      </c>
      <c r="C212" s="2">
        <f>IFERROR(INDEX(البيانات_الأساسية!B:B, MATCH(200, البيانات_الأساسية!$I:$I, 0)), "")</f>
        <v>0</v>
      </c>
      <c r="D212" s="2">
        <f>IFERROR(INDEX(البيانات_الأساسية!C:C, MATCH(200, البيانات_الأساسية!$I:$I, 0)), "")</f>
        <v>0</v>
      </c>
      <c r="E212" s="2">
        <f>IFERROR(INDEX(البيانات_الأساسية!D:D, MATCH(200, البيانات_الأساسية!$I:$I, 0)), "")</f>
        <v>0</v>
      </c>
      <c r="F212" s="2">
        <f>IFERROR(INDEX(البيانات_الأساسية!E:E, MATCH(200, البيانات_الأساسية!$I:$I, 0)), "")</f>
        <v>0</v>
      </c>
      <c r="G212" s="2">
        <f>IFERROR(INDEX(البيانات_الأساسية!F:F, MATCH(200, البيانات_الأساسية!$I:$I, 0)), "")</f>
        <v>0</v>
      </c>
      <c r="H212" s="2">
        <f>IFERROR(INDEX(البيانات_الأساسية!G:G, MATCH(200, البيانات_الأساسية!$I:$I, 0)), "")</f>
        <v>0</v>
      </c>
    </row>
    <row r="213" spans="2:8" s="3" customFormat="1" ht="20" customHeight="1">
      <c r="B213" s="2">
        <f>IFERROR(INDEX(البيانات_الأساسية!A:A, MATCH(201, البيانات_الأساسية!$I:$I, 0)), "")</f>
        <v>0</v>
      </c>
      <c r="C213" s="2">
        <f>IFERROR(INDEX(البيانات_الأساسية!B:B, MATCH(201, البيانات_الأساسية!$I:$I, 0)), "")</f>
        <v>0</v>
      </c>
      <c r="D213" s="2">
        <f>IFERROR(INDEX(البيانات_الأساسية!C:C, MATCH(201, البيانات_الأساسية!$I:$I, 0)), "")</f>
        <v>0</v>
      </c>
      <c r="E213" s="2">
        <f>IFERROR(INDEX(البيانات_الأساسية!D:D, MATCH(201, البيانات_الأساسية!$I:$I, 0)), "")</f>
        <v>0</v>
      </c>
      <c r="F213" s="2">
        <f>IFERROR(INDEX(البيانات_الأساسية!E:E, MATCH(201, البيانات_الأساسية!$I:$I, 0)), "")</f>
        <v>0</v>
      </c>
      <c r="G213" s="2">
        <f>IFERROR(INDEX(البيانات_الأساسية!F:F, MATCH(201, البيانات_الأساسية!$I:$I, 0)), "")</f>
        <v>0</v>
      </c>
      <c r="H213" s="2">
        <f>IFERROR(INDEX(البيانات_الأساسية!G:G, MATCH(201, البيانات_الأساسية!$I:$I, 0)), "")</f>
        <v>0</v>
      </c>
    </row>
    <row r="214" spans="2:8" s="3" customFormat="1" ht="20" customHeight="1">
      <c r="B214" s="2">
        <f>IFERROR(INDEX(البيانات_الأساسية!A:A, MATCH(202, البيانات_الأساسية!$I:$I, 0)), "")</f>
        <v>0</v>
      </c>
      <c r="C214" s="2">
        <f>IFERROR(INDEX(البيانات_الأساسية!B:B, MATCH(202, البيانات_الأساسية!$I:$I, 0)), "")</f>
        <v>0</v>
      </c>
      <c r="D214" s="2">
        <f>IFERROR(INDEX(البيانات_الأساسية!C:C, MATCH(202, البيانات_الأساسية!$I:$I, 0)), "")</f>
        <v>0</v>
      </c>
      <c r="E214" s="2">
        <f>IFERROR(INDEX(البيانات_الأساسية!D:D, MATCH(202, البيانات_الأساسية!$I:$I, 0)), "")</f>
        <v>0</v>
      </c>
      <c r="F214" s="2">
        <f>IFERROR(INDEX(البيانات_الأساسية!E:E, MATCH(202, البيانات_الأساسية!$I:$I, 0)), "")</f>
        <v>0</v>
      </c>
      <c r="G214" s="2">
        <f>IFERROR(INDEX(البيانات_الأساسية!F:F, MATCH(202, البيانات_الأساسية!$I:$I, 0)), "")</f>
        <v>0</v>
      </c>
      <c r="H214" s="2">
        <f>IFERROR(INDEX(البيانات_الأساسية!G:G, MATCH(202, البيانات_الأساسية!$I:$I, 0)), "")</f>
        <v>0</v>
      </c>
    </row>
    <row r="215" spans="2:8" s="3" customFormat="1" ht="20" customHeight="1">
      <c r="B215" s="2">
        <f>IFERROR(INDEX(البيانات_الأساسية!A:A, MATCH(203, البيانات_الأساسية!$I:$I, 0)), "")</f>
        <v>0</v>
      </c>
      <c r="C215" s="2">
        <f>IFERROR(INDEX(البيانات_الأساسية!B:B, MATCH(203, البيانات_الأساسية!$I:$I, 0)), "")</f>
        <v>0</v>
      </c>
      <c r="D215" s="2">
        <f>IFERROR(INDEX(البيانات_الأساسية!C:C, MATCH(203, البيانات_الأساسية!$I:$I, 0)), "")</f>
        <v>0</v>
      </c>
      <c r="E215" s="2">
        <f>IFERROR(INDEX(البيانات_الأساسية!D:D, MATCH(203, البيانات_الأساسية!$I:$I, 0)), "")</f>
        <v>0</v>
      </c>
      <c r="F215" s="2">
        <f>IFERROR(INDEX(البيانات_الأساسية!E:E, MATCH(203, البيانات_الأساسية!$I:$I, 0)), "")</f>
        <v>0</v>
      </c>
      <c r="G215" s="2">
        <f>IFERROR(INDEX(البيانات_الأساسية!F:F, MATCH(203, البيانات_الأساسية!$I:$I, 0)), "")</f>
        <v>0</v>
      </c>
      <c r="H215" s="2">
        <f>IFERROR(INDEX(البيانات_الأساسية!G:G, MATCH(203, البيانات_الأساسية!$I:$I, 0)), "")</f>
        <v>0</v>
      </c>
    </row>
    <row r="216" spans="2:8" s="3" customFormat="1" ht="20" customHeight="1">
      <c r="B216" s="2">
        <f>IFERROR(INDEX(البيانات_الأساسية!A:A, MATCH(204, البيانات_الأساسية!$I:$I, 0)), "")</f>
        <v>0</v>
      </c>
      <c r="C216" s="2">
        <f>IFERROR(INDEX(البيانات_الأساسية!B:B, MATCH(204, البيانات_الأساسية!$I:$I, 0)), "")</f>
        <v>0</v>
      </c>
      <c r="D216" s="2">
        <f>IFERROR(INDEX(البيانات_الأساسية!C:C, MATCH(204, البيانات_الأساسية!$I:$I, 0)), "")</f>
        <v>0</v>
      </c>
      <c r="E216" s="2">
        <f>IFERROR(INDEX(البيانات_الأساسية!D:D, MATCH(204, البيانات_الأساسية!$I:$I, 0)), "")</f>
        <v>0</v>
      </c>
      <c r="F216" s="2">
        <f>IFERROR(INDEX(البيانات_الأساسية!E:E, MATCH(204, البيانات_الأساسية!$I:$I, 0)), "")</f>
        <v>0</v>
      </c>
      <c r="G216" s="2">
        <f>IFERROR(INDEX(البيانات_الأساسية!F:F, MATCH(204, البيانات_الأساسية!$I:$I, 0)), "")</f>
        <v>0</v>
      </c>
      <c r="H216" s="2">
        <f>IFERROR(INDEX(البيانات_الأساسية!G:G, MATCH(204, البيانات_الأساسية!$I:$I, 0)), "")</f>
        <v>0</v>
      </c>
    </row>
    <row r="217" spans="2:8" s="3" customFormat="1" ht="20" customHeight="1">
      <c r="B217" s="2">
        <f>IFERROR(INDEX(البيانات_الأساسية!A:A, MATCH(205, البيانات_الأساسية!$I:$I, 0)), "")</f>
        <v>0</v>
      </c>
      <c r="C217" s="2">
        <f>IFERROR(INDEX(البيانات_الأساسية!B:B, MATCH(205, البيانات_الأساسية!$I:$I, 0)), "")</f>
        <v>0</v>
      </c>
      <c r="D217" s="2">
        <f>IFERROR(INDEX(البيانات_الأساسية!C:C, MATCH(205, البيانات_الأساسية!$I:$I, 0)), "")</f>
        <v>0</v>
      </c>
      <c r="E217" s="2">
        <f>IFERROR(INDEX(البيانات_الأساسية!D:D, MATCH(205, البيانات_الأساسية!$I:$I, 0)), "")</f>
        <v>0</v>
      </c>
      <c r="F217" s="2">
        <f>IFERROR(INDEX(البيانات_الأساسية!E:E, MATCH(205, البيانات_الأساسية!$I:$I, 0)), "")</f>
        <v>0</v>
      </c>
      <c r="G217" s="2">
        <f>IFERROR(INDEX(البيانات_الأساسية!F:F, MATCH(205, البيانات_الأساسية!$I:$I, 0)), "")</f>
        <v>0</v>
      </c>
      <c r="H217" s="2">
        <f>IFERROR(INDEX(البيانات_الأساسية!G:G, MATCH(205, البيانات_الأساسية!$I:$I, 0)), "")</f>
        <v>0</v>
      </c>
    </row>
    <row r="218" spans="2:8" s="3" customFormat="1" ht="20" customHeight="1">
      <c r="B218" s="2">
        <f>IFERROR(INDEX(البيانات_الأساسية!A:A, MATCH(206, البيانات_الأساسية!$I:$I, 0)), "")</f>
        <v>0</v>
      </c>
      <c r="C218" s="2">
        <f>IFERROR(INDEX(البيانات_الأساسية!B:B, MATCH(206, البيانات_الأساسية!$I:$I, 0)), "")</f>
        <v>0</v>
      </c>
      <c r="D218" s="2">
        <f>IFERROR(INDEX(البيانات_الأساسية!C:C, MATCH(206, البيانات_الأساسية!$I:$I, 0)), "")</f>
        <v>0</v>
      </c>
      <c r="E218" s="2">
        <f>IFERROR(INDEX(البيانات_الأساسية!D:D, MATCH(206, البيانات_الأساسية!$I:$I, 0)), "")</f>
        <v>0</v>
      </c>
      <c r="F218" s="2">
        <f>IFERROR(INDEX(البيانات_الأساسية!E:E, MATCH(206, البيانات_الأساسية!$I:$I, 0)), "")</f>
        <v>0</v>
      </c>
      <c r="G218" s="2">
        <f>IFERROR(INDEX(البيانات_الأساسية!F:F, MATCH(206, البيانات_الأساسية!$I:$I, 0)), "")</f>
        <v>0</v>
      </c>
      <c r="H218" s="2">
        <f>IFERROR(INDEX(البيانات_الأساسية!G:G, MATCH(206, البيانات_الأساسية!$I:$I, 0)), "")</f>
        <v>0</v>
      </c>
    </row>
    <row r="219" spans="2:8" s="3" customFormat="1" ht="20" customHeight="1">
      <c r="B219" s="2">
        <f>IFERROR(INDEX(البيانات_الأساسية!A:A, MATCH(207, البيانات_الأساسية!$I:$I, 0)), "")</f>
        <v>0</v>
      </c>
      <c r="C219" s="2">
        <f>IFERROR(INDEX(البيانات_الأساسية!B:B, MATCH(207, البيانات_الأساسية!$I:$I, 0)), "")</f>
        <v>0</v>
      </c>
      <c r="D219" s="2">
        <f>IFERROR(INDEX(البيانات_الأساسية!C:C, MATCH(207, البيانات_الأساسية!$I:$I, 0)), "")</f>
        <v>0</v>
      </c>
      <c r="E219" s="2">
        <f>IFERROR(INDEX(البيانات_الأساسية!D:D, MATCH(207, البيانات_الأساسية!$I:$I, 0)), "")</f>
        <v>0</v>
      </c>
      <c r="F219" s="2">
        <f>IFERROR(INDEX(البيانات_الأساسية!E:E, MATCH(207, البيانات_الأساسية!$I:$I, 0)), "")</f>
        <v>0</v>
      </c>
      <c r="G219" s="2">
        <f>IFERROR(INDEX(البيانات_الأساسية!F:F, MATCH(207, البيانات_الأساسية!$I:$I, 0)), "")</f>
        <v>0</v>
      </c>
      <c r="H219" s="2">
        <f>IFERROR(INDEX(البيانات_الأساسية!G:G, MATCH(207, البيانات_الأساسية!$I:$I, 0)), "")</f>
        <v>0</v>
      </c>
    </row>
    <row r="220" spans="2:8" s="3" customFormat="1" ht="20" customHeight="1">
      <c r="B220" s="2">
        <f>IFERROR(INDEX(البيانات_الأساسية!A:A, MATCH(208, البيانات_الأساسية!$I:$I, 0)), "")</f>
        <v>0</v>
      </c>
      <c r="C220" s="2">
        <f>IFERROR(INDEX(البيانات_الأساسية!B:B, MATCH(208, البيانات_الأساسية!$I:$I, 0)), "")</f>
        <v>0</v>
      </c>
      <c r="D220" s="2">
        <f>IFERROR(INDEX(البيانات_الأساسية!C:C, MATCH(208, البيانات_الأساسية!$I:$I, 0)), "")</f>
        <v>0</v>
      </c>
      <c r="E220" s="2">
        <f>IFERROR(INDEX(البيانات_الأساسية!D:D, MATCH(208, البيانات_الأساسية!$I:$I, 0)), "")</f>
        <v>0</v>
      </c>
      <c r="F220" s="2">
        <f>IFERROR(INDEX(البيانات_الأساسية!E:E, MATCH(208, البيانات_الأساسية!$I:$I, 0)), "")</f>
        <v>0</v>
      </c>
      <c r="G220" s="2">
        <f>IFERROR(INDEX(البيانات_الأساسية!F:F, MATCH(208, البيانات_الأساسية!$I:$I, 0)), "")</f>
        <v>0</v>
      </c>
      <c r="H220" s="2">
        <f>IFERROR(INDEX(البيانات_الأساسية!G:G, MATCH(208, البيانات_الأساسية!$I:$I, 0)), "")</f>
        <v>0</v>
      </c>
    </row>
    <row r="221" spans="2:8" s="3" customFormat="1" ht="20" customHeight="1">
      <c r="B221" s="2">
        <f>IFERROR(INDEX(البيانات_الأساسية!A:A, MATCH(209, البيانات_الأساسية!$I:$I, 0)), "")</f>
        <v>0</v>
      </c>
      <c r="C221" s="2">
        <f>IFERROR(INDEX(البيانات_الأساسية!B:B, MATCH(209, البيانات_الأساسية!$I:$I, 0)), "")</f>
        <v>0</v>
      </c>
      <c r="D221" s="2">
        <f>IFERROR(INDEX(البيانات_الأساسية!C:C, MATCH(209, البيانات_الأساسية!$I:$I, 0)), "")</f>
        <v>0</v>
      </c>
      <c r="E221" s="2">
        <f>IFERROR(INDEX(البيانات_الأساسية!D:D, MATCH(209, البيانات_الأساسية!$I:$I, 0)), "")</f>
        <v>0</v>
      </c>
      <c r="F221" s="2">
        <f>IFERROR(INDEX(البيانات_الأساسية!E:E, MATCH(209, البيانات_الأساسية!$I:$I, 0)), "")</f>
        <v>0</v>
      </c>
      <c r="G221" s="2">
        <f>IFERROR(INDEX(البيانات_الأساسية!F:F, MATCH(209, البيانات_الأساسية!$I:$I, 0)), "")</f>
        <v>0</v>
      </c>
      <c r="H221" s="2">
        <f>IFERROR(INDEX(البيانات_الأساسية!G:G, MATCH(209, البيانات_الأساسية!$I:$I, 0)), "")</f>
        <v>0</v>
      </c>
    </row>
    <row r="222" spans="2:8" s="3" customFormat="1" ht="20" customHeight="1">
      <c r="B222" s="2">
        <f>IFERROR(INDEX(البيانات_الأساسية!A:A, MATCH(210, البيانات_الأساسية!$I:$I, 0)), "")</f>
        <v>0</v>
      </c>
      <c r="C222" s="2">
        <f>IFERROR(INDEX(البيانات_الأساسية!B:B, MATCH(210, البيانات_الأساسية!$I:$I, 0)), "")</f>
        <v>0</v>
      </c>
      <c r="D222" s="2">
        <f>IFERROR(INDEX(البيانات_الأساسية!C:C, MATCH(210, البيانات_الأساسية!$I:$I, 0)), "")</f>
        <v>0</v>
      </c>
      <c r="E222" s="2">
        <f>IFERROR(INDEX(البيانات_الأساسية!D:D, MATCH(210, البيانات_الأساسية!$I:$I, 0)), "")</f>
        <v>0</v>
      </c>
      <c r="F222" s="2">
        <f>IFERROR(INDEX(البيانات_الأساسية!E:E, MATCH(210, البيانات_الأساسية!$I:$I, 0)), "")</f>
        <v>0</v>
      </c>
      <c r="G222" s="2">
        <f>IFERROR(INDEX(البيانات_الأساسية!F:F, MATCH(210, البيانات_الأساسية!$I:$I, 0)), "")</f>
        <v>0</v>
      </c>
      <c r="H222" s="2">
        <f>IFERROR(INDEX(البيانات_الأساسية!G:G, MATCH(210, البيانات_الأساسية!$I:$I, 0)), "")</f>
        <v>0</v>
      </c>
    </row>
    <row r="223" spans="2:8" s="3" customFormat="1" ht="20" customHeight="1">
      <c r="B223" s="2">
        <f>IFERROR(INDEX(البيانات_الأساسية!A:A, MATCH(211, البيانات_الأساسية!$I:$I, 0)), "")</f>
        <v>0</v>
      </c>
      <c r="C223" s="2">
        <f>IFERROR(INDEX(البيانات_الأساسية!B:B, MATCH(211, البيانات_الأساسية!$I:$I, 0)), "")</f>
        <v>0</v>
      </c>
      <c r="D223" s="2">
        <f>IFERROR(INDEX(البيانات_الأساسية!C:C, MATCH(211, البيانات_الأساسية!$I:$I, 0)), "")</f>
        <v>0</v>
      </c>
      <c r="E223" s="2">
        <f>IFERROR(INDEX(البيانات_الأساسية!D:D, MATCH(211, البيانات_الأساسية!$I:$I, 0)), "")</f>
        <v>0</v>
      </c>
      <c r="F223" s="2">
        <f>IFERROR(INDEX(البيانات_الأساسية!E:E, MATCH(211, البيانات_الأساسية!$I:$I, 0)), "")</f>
        <v>0</v>
      </c>
      <c r="G223" s="2">
        <f>IFERROR(INDEX(البيانات_الأساسية!F:F, MATCH(211, البيانات_الأساسية!$I:$I, 0)), "")</f>
        <v>0</v>
      </c>
      <c r="H223" s="2">
        <f>IFERROR(INDEX(البيانات_الأساسية!G:G, MATCH(211, البيانات_الأساسية!$I:$I, 0)), "")</f>
        <v>0</v>
      </c>
    </row>
    <row r="224" spans="2:8" s="3" customFormat="1" ht="20" customHeight="1">
      <c r="B224" s="2">
        <f>IFERROR(INDEX(البيانات_الأساسية!A:A, MATCH(212, البيانات_الأساسية!$I:$I, 0)), "")</f>
        <v>0</v>
      </c>
      <c r="C224" s="2">
        <f>IFERROR(INDEX(البيانات_الأساسية!B:B, MATCH(212, البيانات_الأساسية!$I:$I, 0)), "")</f>
        <v>0</v>
      </c>
      <c r="D224" s="2">
        <f>IFERROR(INDEX(البيانات_الأساسية!C:C, MATCH(212, البيانات_الأساسية!$I:$I, 0)), "")</f>
        <v>0</v>
      </c>
      <c r="E224" s="2">
        <f>IFERROR(INDEX(البيانات_الأساسية!D:D, MATCH(212, البيانات_الأساسية!$I:$I, 0)), "")</f>
        <v>0</v>
      </c>
      <c r="F224" s="2">
        <f>IFERROR(INDEX(البيانات_الأساسية!E:E, MATCH(212, البيانات_الأساسية!$I:$I, 0)), "")</f>
        <v>0</v>
      </c>
      <c r="G224" s="2">
        <f>IFERROR(INDEX(البيانات_الأساسية!F:F, MATCH(212, البيانات_الأساسية!$I:$I, 0)), "")</f>
        <v>0</v>
      </c>
      <c r="H224" s="2">
        <f>IFERROR(INDEX(البيانات_الأساسية!G:G, MATCH(212, البيانات_الأساسية!$I:$I, 0)), "")</f>
        <v>0</v>
      </c>
    </row>
    <row r="225" spans="2:8" s="3" customFormat="1" ht="20" customHeight="1">
      <c r="B225" s="2">
        <f>IFERROR(INDEX(البيانات_الأساسية!A:A, MATCH(213, البيانات_الأساسية!$I:$I, 0)), "")</f>
        <v>0</v>
      </c>
      <c r="C225" s="2">
        <f>IFERROR(INDEX(البيانات_الأساسية!B:B, MATCH(213, البيانات_الأساسية!$I:$I, 0)), "")</f>
        <v>0</v>
      </c>
      <c r="D225" s="2">
        <f>IFERROR(INDEX(البيانات_الأساسية!C:C, MATCH(213, البيانات_الأساسية!$I:$I, 0)), "")</f>
        <v>0</v>
      </c>
      <c r="E225" s="2">
        <f>IFERROR(INDEX(البيانات_الأساسية!D:D, MATCH(213, البيانات_الأساسية!$I:$I, 0)), "")</f>
        <v>0</v>
      </c>
      <c r="F225" s="2">
        <f>IFERROR(INDEX(البيانات_الأساسية!E:E, MATCH(213, البيانات_الأساسية!$I:$I, 0)), "")</f>
        <v>0</v>
      </c>
      <c r="G225" s="2">
        <f>IFERROR(INDEX(البيانات_الأساسية!F:F, MATCH(213, البيانات_الأساسية!$I:$I, 0)), "")</f>
        <v>0</v>
      </c>
      <c r="H225" s="2">
        <f>IFERROR(INDEX(البيانات_الأساسية!G:G, MATCH(213, البيانات_الأساسية!$I:$I, 0)), "")</f>
        <v>0</v>
      </c>
    </row>
    <row r="226" spans="2:8" s="3" customFormat="1" ht="20" customHeight="1">
      <c r="B226" s="2">
        <f>IFERROR(INDEX(البيانات_الأساسية!A:A, MATCH(214, البيانات_الأساسية!$I:$I, 0)), "")</f>
        <v>0</v>
      </c>
      <c r="C226" s="2">
        <f>IFERROR(INDEX(البيانات_الأساسية!B:B, MATCH(214, البيانات_الأساسية!$I:$I, 0)), "")</f>
        <v>0</v>
      </c>
      <c r="D226" s="2">
        <f>IFERROR(INDEX(البيانات_الأساسية!C:C, MATCH(214, البيانات_الأساسية!$I:$I, 0)), "")</f>
        <v>0</v>
      </c>
      <c r="E226" s="2">
        <f>IFERROR(INDEX(البيانات_الأساسية!D:D, MATCH(214, البيانات_الأساسية!$I:$I, 0)), "")</f>
        <v>0</v>
      </c>
      <c r="F226" s="2">
        <f>IFERROR(INDEX(البيانات_الأساسية!E:E, MATCH(214, البيانات_الأساسية!$I:$I, 0)), "")</f>
        <v>0</v>
      </c>
      <c r="G226" s="2">
        <f>IFERROR(INDEX(البيانات_الأساسية!F:F, MATCH(214, البيانات_الأساسية!$I:$I, 0)), "")</f>
        <v>0</v>
      </c>
      <c r="H226" s="2">
        <f>IFERROR(INDEX(البيانات_الأساسية!G:G, MATCH(214, البيانات_الأساسية!$I:$I, 0)), "")</f>
        <v>0</v>
      </c>
    </row>
    <row r="227" spans="2:8" s="3" customFormat="1" ht="20" customHeight="1">
      <c r="B227" s="2">
        <f>IFERROR(INDEX(البيانات_الأساسية!A:A, MATCH(215, البيانات_الأساسية!$I:$I, 0)), "")</f>
        <v>0</v>
      </c>
      <c r="C227" s="2">
        <f>IFERROR(INDEX(البيانات_الأساسية!B:B, MATCH(215, البيانات_الأساسية!$I:$I, 0)), "")</f>
        <v>0</v>
      </c>
      <c r="D227" s="2">
        <f>IFERROR(INDEX(البيانات_الأساسية!C:C, MATCH(215, البيانات_الأساسية!$I:$I, 0)), "")</f>
        <v>0</v>
      </c>
      <c r="E227" s="2">
        <f>IFERROR(INDEX(البيانات_الأساسية!D:D, MATCH(215, البيانات_الأساسية!$I:$I, 0)), "")</f>
        <v>0</v>
      </c>
      <c r="F227" s="2">
        <f>IFERROR(INDEX(البيانات_الأساسية!E:E, MATCH(215, البيانات_الأساسية!$I:$I, 0)), "")</f>
        <v>0</v>
      </c>
      <c r="G227" s="2">
        <f>IFERROR(INDEX(البيانات_الأساسية!F:F, MATCH(215, البيانات_الأساسية!$I:$I, 0)), "")</f>
        <v>0</v>
      </c>
      <c r="H227" s="2">
        <f>IFERROR(INDEX(البيانات_الأساسية!G:G, MATCH(215, البيانات_الأساسية!$I:$I, 0)), "")</f>
        <v>0</v>
      </c>
    </row>
    <row r="228" spans="2:8" s="3" customFormat="1" ht="20" customHeight="1">
      <c r="B228" s="2">
        <f>IFERROR(INDEX(البيانات_الأساسية!A:A, MATCH(216, البيانات_الأساسية!$I:$I, 0)), "")</f>
        <v>0</v>
      </c>
      <c r="C228" s="2">
        <f>IFERROR(INDEX(البيانات_الأساسية!B:B, MATCH(216, البيانات_الأساسية!$I:$I, 0)), "")</f>
        <v>0</v>
      </c>
      <c r="D228" s="2">
        <f>IFERROR(INDEX(البيانات_الأساسية!C:C, MATCH(216, البيانات_الأساسية!$I:$I, 0)), "")</f>
        <v>0</v>
      </c>
      <c r="E228" s="2">
        <f>IFERROR(INDEX(البيانات_الأساسية!D:D, MATCH(216, البيانات_الأساسية!$I:$I, 0)), "")</f>
        <v>0</v>
      </c>
      <c r="F228" s="2">
        <f>IFERROR(INDEX(البيانات_الأساسية!E:E, MATCH(216, البيانات_الأساسية!$I:$I, 0)), "")</f>
        <v>0</v>
      </c>
      <c r="G228" s="2">
        <f>IFERROR(INDEX(البيانات_الأساسية!F:F, MATCH(216, البيانات_الأساسية!$I:$I, 0)), "")</f>
        <v>0</v>
      </c>
      <c r="H228" s="2">
        <f>IFERROR(INDEX(البيانات_الأساسية!G:G, MATCH(216, البيانات_الأساسية!$I:$I, 0)), "")</f>
        <v>0</v>
      </c>
    </row>
    <row r="229" spans="2:8" s="3" customFormat="1" ht="20" customHeight="1">
      <c r="B229" s="2">
        <f>IFERROR(INDEX(البيانات_الأساسية!A:A, MATCH(217, البيانات_الأساسية!$I:$I, 0)), "")</f>
        <v>0</v>
      </c>
      <c r="C229" s="2">
        <f>IFERROR(INDEX(البيانات_الأساسية!B:B, MATCH(217, البيانات_الأساسية!$I:$I, 0)), "")</f>
        <v>0</v>
      </c>
      <c r="D229" s="2">
        <f>IFERROR(INDEX(البيانات_الأساسية!C:C, MATCH(217, البيانات_الأساسية!$I:$I, 0)), "")</f>
        <v>0</v>
      </c>
      <c r="E229" s="2">
        <f>IFERROR(INDEX(البيانات_الأساسية!D:D, MATCH(217, البيانات_الأساسية!$I:$I, 0)), "")</f>
        <v>0</v>
      </c>
      <c r="F229" s="2">
        <f>IFERROR(INDEX(البيانات_الأساسية!E:E, MATCH(217, البيانات_الأساسية!$I:$I, 0)), "")</f>
        <v>0</v>
      </c>
      <c r="G229" s="2">
        <f>IFERROR(INDEX(البيانات_الأساسية!F:F, MATCH(217, البيانات_الأساسية!$I:$I, 0)), "")</f>
        <v>0</v>
      </c>
      <c r="H229" s="2">
        <f>IFERROR(INDEX(البيانات_الأساسية!G:G, MATCH(217, البيانات_الأساسية!$I:$I, 0)), "")</f>
        <v>0</v>
      </c>
    </row>
    <row r="230" spans="2:8" s="3" customFormat="1" ht="20" customHeight="1">
      <c r="B230" s="2">
        <f>IFERROR(INDEX(البيانات_الأساسية!A:A, MATCH(218, البيانات_الأساسية!$I:$I, 0)), "")</f>
        <v>0</v>
      </c>
      <c r="C230" s="2">
        <f>IFERROR(INDEX(البيانات_الأساسية!B:B, MATCH(218, البيانات_الأساسية!$I:$I, 0)), "")</f>
        <v>0</v>
      </c>
      <c r="D230" s="2">
        <f>IFERROR(INDEX(البيانات_الأساسية!C:C, MATCH(218, البيانات_الأساسية!$I:$I, 0)), "")</f>
        <v>0</v>
      </c>
      <c r="E230" s="2">
        <f>IFERROR(INDEX(البيانات_الأساسية!D:D, MATCH(218, البيانات_الأساسية!$I:$I, 0)), "")</f>
        <v>0</v>
      </c>
      <c r="F230" s="2">
        <f>IFERROR(INDEX(البيانات_الأساسية!E:E, MATCH(218, البيانات_الأساسية!$I:$I, 0)), "")</f>
        <v>0</v>
      </c>
      <c r="G230" s="2">
        <f>IFERROR(INDEX(البيانات_الأساسية!F:F, MATCH(218, البيانات_الأساسية!$I:$I, 0)), "")</f>
        <v>0</v>
      </c>
      <c r="H230" s="2">
        <f>IFERROR(INDEX(البيانات_الأساسية!G:G, MATCH(218, البيانات_الأساسية!$I:$I, 0)), "")</f>
        <v>0</v>
      </c>
    </row>
    <row r="231" spans="2:8" s="3" customFormat="1" ht="20" customHeight="1">
      <c r="B231" s="2">
        <f>IFERROR(INDEX(البيانات_الأساسية!A:A, MATCH(219, البيانات_الأساسية!$I:$I, 0)), "")</f>
        <v>0</v>
      </c>
      <c r="C231" s="2">
        <f>IFERROR(INDEX(البيانات_الأساسية!B:B, MATCH(219, البيانات_الأساسية!$I:$I, 0)), "")</f>
        <v>0</v>
      </c>
      <c r="D231" s="2">
        <f>IFERROR(INDEX(البيانات_الأساسية!C:C, MATCH(219, البيانات_الأساسية!$I:$I, 0)), "")</f>
        <v>0</v>
      </c>
      <c r="E231" s="2">
        <f>IFERROR(INDEX(البيانات_الأساسية!D:D, MATCH(219, البيانات_الأساسية!$I:$I, 0)), "")</f>
        <v>0</v>
      </c>
      <c r="F231" s="2">
        <f>IFERROR(INDEX(البيانات_الأساسية!E:E, MATCH(219, البيانات_الأساسية!$I:$I, 0)), "")</f>
        <v>0</v>
      </c>
      <c r="G231" s="2">
        <f>IFERROR(INDEX(البيانات_الأساسية!F:F, MATCH(219, البيانات_الأساسية!$I:$I, 0)), "")</f>
        <v>0</v>
      </c>
      <c r="H231" s="2">
        <f>IFERROR(INDEX(البيانات_الأساسية!G:G, MATCH(219, البيانات_الأساسية!$I:$I, 0)), "")</f>
        <v>0</v>
      </c>
    </row>
    <row r="232" spans="2:8" s="3" customFormat="1" ht="20" customHeight="1">
      <c r="B232" s="2">
        <f>IFERROR(INDEX(البيانات_الأساسية!A:A, MATCH(220, البيانات_الأساسية!$I:$I, 0)), "")</f>
        <v>0</v>
      </c>
      <c r="C232" s="2">
        <f>IFERROR(INDEX(البيانات_الأساسية!B:B, MATCH(220, البيانات_الأساسية!$I:$I, 0)), "")</f>
        <v>0</v>
      </c>
      <c r="D232" s="2">
        <f>IFERROR(INDEX(البيانات_الأساسية!C:C, MATCH(220, البيانات_الأساسية!$I:$I, 0)), "")</f>
        <v>0</v>
      </c>
      <c r="E232" s="2">
        <f>IFERROR(INDEX(البيانات_الأساسية!D:D, MATCH(220, البيانات_الأساسية!$I:$I, 0)), "")</f>
        <v>0</v>
      </c>
      <c r="F232" s="2">
        <f>IFERROR(INDEX(البيانات_الأساسية!E:E, MATCH(220, البيانات_الأساسية!$I:$I, 0)), "")</f>
        <v>0</v>
      </c>
      <c r="G232" s="2">
        <f>IFERROR(INDEX(البيانات_الأساسية!F:F, MATCH(220, البيانات_الأساسية!$I:$I, 0)), "")</f>
        <v>0</v>
      </c>
      <c r="H232" s="2">
        <f>IFERROR(INDEX(البيانات_الأساسية!G:G, MATCH(220, البيانات_الأساسية!$I:$I, 0)), "")</f>
        <v>0</v>
      </c>
    </row>
    <row r="233" spans="2:8" s="3" customFormat="1" ht="20" customHeight="1">
      <c r="B233" s="2">
        <f>IFERROR(INDEX(البيانات_الأساسية!A:A, MATCH(221, البيانات_الأساسية!$I:$I, 0)), "")</f>
        <v>0</v>
      </c>
      <c r="C233" s="2">
        <f>IFERROR(INDEX(البيانات_الأساسية!B:B, MATCH(221, البيانات_الأساسية!$I:$I, 0)), "")</f>
        <v>0</v>
      </c>
      <c r="D233" s="2">
        <f>IFERROR(INDEX(البيانات_الأساسية!C:C, MATCH(221, البيانات_الأساسية!$I:$I, 0)), "")</f>
        <v>0</v>
      </c>
      <c r="E233" s="2">
        <f>IFERROR(INDEX(البيانات_الأساسية!D:D, MATCH(221, البيانات_الأساسية!$I:$I, 0)), "")</f>
        <v>0</v>
      </c>
      <c r="F233" s="2">
        <f>IFERROR(INDEX(البيانات_الأساسية!E:E, MATCH(221, البيانات_الأساسية!$I:$I, 0)), "")</f>
        <v>0</v>
      </c>
      <c r="G233" s="2">
        <f>IFERROR(INDEX(البيانات_الأساسية!F:F, MATCH(221, البيانات_الأساسية!$I:$I, 0)), "")</f>
        <v>0</v>
      </c>
      <c r="H233" s="2">
        <f>IFERROR(INDEX(البيانات_الأساسية!G:G, MATCH(221, البيانات_الأساسية!$I:$I, 0)), "")</f>
        <v>0</v>
      </c>
    </row>
    <row r="234" spans="2:8" s="3" customFormat="1" ht="20" customHeight="1">
      <c r="B234" s="2">
        <f>IFERROR(INDEX(البيانات_الأساسية!A:A, MATCH(222, البيانات_الأساسية!$I:$I, 0)), "")</f>
        <v>0</v>
      </c>
      <c r="C234" s="2">
        <f>IFERROR(INDEX(البيانات_الأساسية!B:B, MATCH(222, البيانات_الأساسية!$I:$I, 0)), "")</f>
        <v>0</v>
      </c>
      <c r="D234" s="2">
        <f>IFERROR(INDEX(البيانات_الأساسية!C:C, MATCH(222, البيانات_الأساسية!$I:$I, 0)), "")</f>
        <v>0</v>
      </c>
      <c r="E234" s="2">
        <f>IFERROR(INDEX(البيانات_الأساسية!D:D, MATCH(222, البيانات_الأساسية!$I:$I, 0)), "")</f>
        <v>0</v>
      </c>
      <c r="F234" s="2">
        <f>IFERROR(INDEX(البيانات_الأساسية!E:E, MATCH(222, البيانات_الأساسية!$I:$I, 0)), "")</f>
        <v>0</v>
      </c>
      <c r="G234" s="2">
        <f>IFERROR(INDEX(البيانات_الأساسية!F:F, MATCH(222, البيانات_الأساسية!$I:$I, 0)), "")</f>
        <v>0</v>
      </c>
      <c r="H234" s="2">
        <f>IFERROR(INDEX(البيانات_الأساسية!G:G, MATCH(222, البيانات_الأساسية!$I:$I, 0)), "")</f>
        <v>0</v>
      </c>
    </row>
    <row r="235" spans="2:8" s="3" customFormat="1" ht="20" customHeight="1">
      <c r="B235" s="2">
        <f>IFERROR(INDEX(البيانات_الأساسية!A:A, MATCH(223, البيانات_الأساسية!$I:$I, 0)), "")</f>
        <v>0</v>
      </c>
      <c r="C235" s="2">
        <f>IFERROR(INDEX(البيانات_الأساسية!B:B, MATCH(223, البيانات_الأساسية!$I:$I, 0)), "")</f>
        <v>0</v>
      </c>
      <c r="D235" s="2">
        <f>IFERROR(INDEX(البيانات_الأساسية!C:C, MATCH(223, البيانات_الأساسية!$I:$I, 0)), "")</f>
        <v>0</v>
      </c>
      <c r="E235" s="2">
        <f>IFERROR(INDEX(البيانات_الأساسية!D:D, MATCH(223, البيانات_الأساسية!$I:$I, 0)), "")</f>
        <v>0</v>
      </c>
      <c r="F235" s="2">
        <f>IFERROR(INDEX(البيانات_الأساسية!E:E, MATCH(223, البيانات_الأساسية!$I:$I, 0)), "")</f>
        <v>0</v>
      </c>
      <c r="G235" s="2">
        <f>IFERROR(INDEX(البيانات_الأساسية!F:F, MATCH(223, البيانات_الأساسية!$I:$I, 0)), "")</f>
        <v>0</v>
      </c>
      <c r="H235" s="2">
        <f>IFERROR(INDEX(البيانات_الأساسية!G:G, MATCH(223, البيانات_الأساسية!$I:$I, 0)), "")</f>
        <v>0</v>
      </c>
    </row>
    <row r="236" spans="2:8" s="3" customFormat="1" ht="20" customHeight="1">
      <c r="B236" s="2">
        <f>IFERROR(INDEX(البيانات_الأساسية!A:A, MATCH(224, البيانات_الأساسية!$I:$I, 0)), "")</f>
        <v>0</v>
      </c>
      <c r="C236" s="2">
        <f>IFERROR(INDEX(البيانات_الأساسية!B:B, MATCH(224, البيانات_الأساسية!$I:$I, 0)), "")</f>
        <v>0</v>
      </c>
      <c r="D236" s="2">
        <f>IFERROR(INDEX(البيانات_الأساسية!C:C, MATCH(224, البيانات_الأساسية!$I:$I, 0)), "")</f>
        <v>0</v>
      </c>
      <c r="E236" s="2">
        <f>IFERROR(INDEX(البيانات_الأساسية!D:D, MATCH(224, البيانات_الأساسية!$I:$I, 0)), "")</f>
        <v>0</v>
      </c>
      <c r="F236" s="2">
        <f>IFERROR(INDEX(البيانات_الأساسية!E:E, MATCH(224, البيانات_الأساسية!$I:$I, 0)), "")</f>
        <v>0</v>
      </c>
      <c r="G236" s="2">
        <f>IFERROR(INDEX(البيانات_الأساسية!F:F, MATCH(224, البيانات_الأساسية!$I:$I, 0)), "")</f>
        <v>0</v>
      </c>
      <c r="H236" s="2">
        <f>IFERROR(INDEX(البيانات_الأساسية!G:G, MATCH(224, البيانات_الأساسية!$I:$I, 0)), "")</f>
        <v>0</v>
      </c>
    </row>
    <row r="237" spans="2:8" s="3" customFormat="1" ht="20" customHeight="1">
      <c r="B237" s="2">
        <f>IFERROR(INDEX(البيانات_الأساسية!A:A, MATCH(225, البيانات_الأساسية!$I:$I, 0)), "")</f>
        <v>0</v>
      </c>
      <c r="C237" s="2">
        <f>IFERROR(INDEX(البيانات_الأساسية!B:B, MATCH(225, البيانات_الأساسية!$I:$I, 0)), "")</f>
        <v>0</v>
      </c>
      <c r="D237" s="2">
        <f>IFERROR(INDEX(البيانات_الأساسية!C:C, MATCH(225, البيانات_الأساسية!$I:$I, 0)), "")</f>
        <v>0</v>
      </c>
      <c r="E237" s="2">
        <f>IFERROR(INDEX(البيانات_الأساسية!D:D, MATCH(225, البيانات_الأساسية!$I:$I, 0)), "")</f>
        <v>0</v>
      </c>
      <c r="F237" s="2">
        <f>IFERROR(INDEX(البيانات_الأساسية!E:E, MATCH(225, البيانات_الأساسية!$I:$I, 0)), "")</f>
        <v>0</v>
      </c>
      <c r="G237" s="2">
        <f>IFERROR(INDEX(البيانات_الأساسية!F:F, MATCH(225, البيانات_الأساسية!$I:$I, 0)), "")</f>
        <v>0</v>
      </c>
      <c r="H237" s="2">
        <f>IFERROR(INDEX(البيانات_الأساسية!G:G, MATCH(225, البيانات_الأساسية!$I:$I, 0)), "")</f>
        <v>0</v>
      </c>
    </row>
    <row r="238" spans="2:8" s="3" customFormat="1" ht="20" customHeight="1">
      <c r="B238" s="2">
        <f>IFERROR(INDEX(البيانات_الأساسية!A:A, MATCH(226, البيانات_الأساسية!$I:$I, 0)), "")</f>
        <v>0</v>
      </c>
      <c r="C238" s="2">
        <f>IFERROR(INDEX(البيانات_الأساسية!B:B, MATCH(226, البيانات_الأساسية!$I:$I, 0)), "")</f>
        <v>0</v>
      </c>
      <c r="D238" s="2">
        <f>IFERROR(INDEX(البيانات_الأساسية!C:C, MATCH(226, البيانات_الأساسية!$I:$I, 0)), "")</f>
        <v>0</v>
      </c>
      <c r="E238" s="2">
        <f>IFERROR(INDEX(البيانات_الأساسية!D:D, MATCH(226, البيانات_الأساسية!$I:$I, 0)), "")</f>
        <v>0</v>
      </c>
      <c r="F238" s="2">
        <f>IFERROR(INDEX(البيانات_الأساسية!E:E, MATCH(226, البيانات_الأساسية!$I:$I, 0)), "")</f>
        <v>0</v>
      </c>
      <c r="G238" s="2">
        <f>IFERROR(INDEX(البيانات_الأساسية!F:F, MATCH(226, البيانات_الأساسية!$I:$I, 0)), "")</f>
        <v>0</v>
      </c>
      <c r="H238" s="2">
        <f>IFERROR(INDEX(البيانات_الأساسية!G:G, MATCH(226, البيانات_الأساسية!$I:$I, 0)), "")</f>
        <v>0</v>
      </c>
    </row>
    <row r="239" spans="2:8" s="3" customFormat="1" ht="20" customHeight="1">
      <c r="B239" s="2">
        <f>IFERROR(INDEX(البيانات_الأساسية!A:A, MATCH(227, البيانات_الأساسية!$I:$I, 0)), "")</f>
        <v>0</v>
      </c>
      <c r="C239" s="2">
        <f>IFERROR(INDEX(البيانات_الأساسية!B:B, MATCH(227, البيانات_الأساسية!$I:$I, 0)), "")</f>
        <v>0</v>
      </c>
      <c r="D239" s="2">
        <f>IFERROR(INDEX(البيانات_الأساسية!C:C, MATCH(227, البيانات_الأساسية!$I:$I, 0)), "")</f>
        <v>0</v>
      </c>
      <c r="E239" s="2">
        <f>IFERROR(INDEX(البيانات_الأساسية!D:D, MATCH(227, البيانات_الأساسية!$I:$I, 0)), "")</f>
        <v>0</v>
      </c>
      <c r="F239" s="2">
        <f>IFERROR(INDEX(البيانات_الأساسية!E:E, MATCH(227, البيانات_الأساسية!$I:$I, 0)), "")</f>
        <v>0</v>
      </c>
      <c r="G239" s="2">
        <f>IFERROR(INDEX(البيانات_الأساسية!F:F, MATCH(227, البيانات_الأساسية!$I:$I, 0)), "")</f>
        <v>0</v>
      </c>
      <c r="H239" s="2">
        <f>IFERROR(INDEX(البيانات_الأساسية!G:G, MATCH(227, البيانات_الأساسية!$I:$I, 0)), "")</f>
        <v>0</v>
      </c>
    </row>
    <row r="240" spans="2:8" s="3" customFormat="1" ht="20" customHeight="1">
      <c r="B240" s="2">
        <f>IFERROR(INDEX(البيانات_الأساسية!A:A, MATCH(228, البيانات_الأساسية!$I:$I, 0)), "")</f>
        <v>0</v>
      </c>
      <c r="C240" s="2">
        <f>IFERROR(INDEX(البيانات_الأساسية!B:B, MATCH(228, البيانات_الأساسية!$I:$I, 0)), "")</f>
        <v>0</v>
      </c>
      <c r="D240" s="2">
        <f>IFERROR(INDEX(البيانات_الأساسية!C:C, MATCH(228, البيانات_الأساسية!$I:$I, 0)), "")</f>
        <v>0</v>
      </c>
      <c r="E240" s="2">
        <f>IFERROR(INDEX(البيانات_الأساسية!D:D, MATCH(228, البيانات_الأساسية!$I:$I, 0)), "")</f>
        <v>0</v>
      </c>
      <c r="F240" s="2">
        <f>IFERROR(INDEX(البيانات_الأساسية!E:E, MATCH(228, البيانات_الأساسية!$I:$I, 0)), "")</f>
        <v>0</v>
      </c>
      <c r="G240" s="2">
        <f>IFERROR(INDEX(البيانات_الأساسية!F:F, MATCH(228, البيانات_الأساسية!$I:$I, 0)), "")</f>
        <v>0</v>
      </c>
      <c r="H240" s="2">
        <f>IFERROR(INDEX(البيانات_الأساسية!G:G, MATCH(228, البيانات_الأساسية!$I:$I, 0)), "")</f>
        <v>0</v>
      </c>
    </row>
    <row r="241" spans="2:8" s="3" customFormat="1" ht="20" customHeight="1">
      <c r="B241" s="2">
        <f>IFERROR(INDEX(البيانات_الأساسية!A:A, MATCH(229, البيانات_الأساسية!$I:$I, 0)), "")</f>
        <v>0</v>
      </c>
      <c r="C241" s="2">
        <f>IFERROR(INDEX(البيانات_الأساسية!B:B, MATCH(229, البيانات_الأساسية!$I:$I, 0)), "")</f>
        <v>0</v>
      </c>
      <c r="D241" s="2">
        <f>IFERROR(INDEX(البيانات_الأساسية!C:C, MATCH(229, البيانات_الأساسية!$I:$I, 0)), "")</f>
        <v>0</v>
      </c>
      <c r="E241" s="2">
        <f>IFERROR(INDEX(البيانات_الأساسية!D:D, MATCH(229, البيانات_الأساسية!$I:$I, 0)), "")</f>
        <v>0</v>
      </c>
      <c r="F241" s="2">
        <f>IFERROR(INDEX(البيانات_الأساسية!E:E, MATCH(229, البيانات_الأساسية!$I:$I, 0)), "")</f>
        <v>0</v>
      </c>
      <c r="G241" s="2">
        <f>IFERROR(INDEX(البيانات_الأساسية!F:F, MATCH(229, البيانات_الأساسية!$I:$I, 0)), "")</f>
        <v>0</v>
      </c>
      <c r="H241" s="2">
        <f>IFERROR(INDEX(البيانات_الأساسية!G:G, MATCH(229, البيانات_الأساسية!$I:$I, 0)), "")</f>
        <v>0</v>
      </c>
    </row>
    <row r="242" spans="2:8" s="3" customFormat="1" ht="20" customHeight="1">
      <c r="B242" s="2">
        <f>IFERROR(INDEX(البيانات_الأساسية!A:A, MATCH(230, البيانات_الأساسية!$I:$I, 0)), "")</f>
        <v>0</v>
      </c>
      <c r="C242" s="2">
        <f>IFERROR(INDEX(البيانات_الأساسية!B:B, MATCH(230, البيانات_الأساسية!$I:$I, 0)), "")</f>
        <v>0</v>
      </c>
      <c r="D242" s="2">
        <f>IFERROR(INDEX(البيانات_الأساسية!C:C, MATCH(230, البيانات_الأساسية!$I:$I, 0)), "")</f>
        <v>0</v>
      </c>
      <c r="E242" s="2">
        <f>IFERROR(INDEX(البيانات_الأساسية!D:D, MATCH(230, البيانات_الأساسية!$I:$I, 0)), "")</f>
        <v>0</v>
      </c>
      <c r="F242" s="2">
        <f>IFERROR(INDEX(البيانات_الأساسية!E:E, MATCH(230, البيانات_الأساسية!$I:$I, 0)), "")</f>
        <v>0</v>
      </c>
      <c r="G242" s="2">
        <f>IFERROR(INDEX(البيانات_الأساسية!F:F, MATCH(230, البيانات_الأساسية!$I:$I, 0)), "")</f>
        <v>0</v>
      </c>
      <c r="H242" s="2">
        <f>IFERROR(INDEX(البيانات_الأساسية!G:G, MATCH(230, البيانات_الأساسية!$I:$I, 0)), "")</f>
        <v>0</v>
      </c>
    </row>
    <row r="243" spans="2:8" s="3" customFormat="1" ht="20" customHeight="1">
      <c r="B243" s="2">
        <f>IFERROR(INDEX(البيانات_الأساسية!A:A, MATCH(231, البيانات_الأساسية!$I:$I, 0)), "")</f>
        <v>0</v>
      </c>
      <c r="C243" s="2">
        <f>IFERROR(INDEX(البيانات_الأساسية!B:B, MATCH(231, البيانات_الأساسية!$I:$I, 0)), "")</f>
        <v>0</v>
      </c>
      <c r="D243" s="2">
        <f>IFERROR(INDEX(البيانات_الأساسية!C:C, MATCH(231, البيانات_الأساسية!$I:$I, 0)), "")</f>
        <v>0</v>
      </c>
      <c r="E243" s="2">
        <f>IFERROR(INDEX(البيانات_الأساسية!D:D, MATCH(231, البيانات_الأساسية!$I:$I, 0)), "")</f>
        <v>0</v>
      </c>
      <c r="F243" s="2">
        <f>IFERROR(INDEX(البيانات_الأساسية!E:E, MATCH(231, البيانات_الأساسية!$I:$I, 0)), "")</f>
        <v>0</v>
      </c>
      <c r="G243" s="2">
        <f>IFERROR(INDEX(البيانات_الأساسية!F:F, MATCH(231, البيانات_الأساسية!$I:$I, 0)), "")</f>
        <v>0</v>
      </c>
      <c r="H243" s="2">
        <f>IFERROR(INDEX(البيانات_الأساسية!G:G, MATCH(231, البيانات_الأساسية!$I:$I, 0)), "")</f>
        <v>0</v>
      </c>
    </row>
    <row r="244" spans="2:8" s="3" customFormat="1" ht="20" customHeight="1">
      <c r="B244" s="2">
        <f>IFERROR(INDEX(البيانات_الأساسية!A:A, MATCH(232, البيانات_الأساسية!$I:$I, 0)), "")</f>
        <v>0</v>
      </c>
      <c r="C244" s="2">
        <f>IFERROR(INDEX(البيانات_الأساسية!B:B, MATCH(232, البيانات_الأساسية!$I:$I, 0)), "")</f>
        <v>0</v>
      </c>
      <c r="D244" s="2">
        <f>IFERROR(INDEX(البيانات_الأساسية!C:C, MATCH(232, البيانات_الأساسية!$I:$I, 0)), "")</f>
        <v>0</v>
      </c>
      <c r="E244" s="2">
        <f>IFERROR(INDEX(البيانات_الأساسية!D:D, MATCH(232, البيانات_الأساسية!$I:$I, 0)), "")</f>
        <v>0</v>
      </c>
      <c r="F244" s="2">
        <f>IFERROR(INDEX(البيانات_الأساسية!E:E, MATCH(232, البيانات_الأساسية!$I:$I, 0)), "")</f>
        <v>0</v>
      </c>
      <c r="G244" s="2">
        <f>IFERROR(INDEX(البيانات_الأساسية!F:F, MATCH(232, البيانات_الأساسية!$I:$I, 0)), "")</f>
        <v>0</v>
      </c>
      <c r="H244" s="2">
        <f>IFERROR(INDEX(البيانات_الأساسية!G:G, MATCH(232, البيانات_الأساسية!$I:$I, 0)), "")</f>
        <v>0</v>
      </c>
    </row>
    <row r="245" spans="2:8" s="3" customFormat="1" ht="20" customHeight="1">
      <c r="B245" s="2">
        <f>IFERROR(INDEX(البيانات_الأساسية!A:A, MATCH(233, البيانات_الأساسية!$I:$I, 0)), "")</f>
        <v>0</v>
      </c>
      <c r="C245" s="2">
        <f>IFERROR(INDEX(البيانات_الأساسية!B:B, MATCH(233, البيانات_الأساسية!$I:$I, 0)), "")</f>
        <v>0</v>
      </c>
      <c r="D245" s="2">
        <f>IFERROR(INDEX(البيانات_الأساسية!C:C, MATCH(233, البيانات_الأساسية!$I:$I, 0)), "")</f>
        <v>0</v>
      </c>
      <c r="E245" s="2">
        <f>IFERROR(INDEX(البيانات_الأساسية!D:D, MATCH(233, البيانات_الأساسية!$I:$I, 0)), "")</f>
        <v>0</v>
      </c>
      <c r="F245" s="2">
        <f>IFERROR(INDEX(البيانات_الأساسية!E:E, MATCH(233, البيانات_الأساسية!$I:$I, 0)), "")</f>
        <v>0</v>
      </c>
      <c r="G245" s="2">
        <f>IFERROR(INDEX(البيانات_الأساسية!F:F, MATCH(233, البيانات_الأساسية!$I:$I, 0)), "")</f>
        <v>0</v>
      </c>
      <c r="H245" s="2">
        <f>IFERROR(INDEX(البيانات_الأساسية!G:G, MATCH(233, البيانات_الأساسية!$I:$I, 0)), "")</f>
        <v>0</v>
      </c>
    </row>
    <row r="246" spans="2:8" s="3" customFormat="1" ht="20" customHeight="1">
      <c r="B246" s="2">
        <f>IFERROR(INDEX(البيانات_الأساسية!A:A, MATCH(234, البيانات_الأساسية!$I:$I, 0)), "")</f>
        <v>0</v>
      </c>
      <c r="C246" s="2">
        <f>IFERROR(INDEX(البيانات_الأساسية!B:B, MATCH(234, البيانات_الأساسية!$I:$I, 0)), "")</f>
        <v>0</v>
      </c>
      <c r="D246" s="2">
        <f>IFERROR(INDEX(البيانات_الأساسية!C:C, MATCH(234, البيانات_الأساسية!$I:$I, 0)), "")</f>
        <v>0</v>
      </c>
      <c r="E246" s="2">
        <f>IFERROR(INDEX(البيانات_الأساسية!D:D, MATCH(234, البيانات_الأساسية!$I:$I, 0)), "")</f>
        <v>0</v>
      </c>
      <c r="F246" s="2">
        <f>IFERROR(INDEX(البيانات_الأساسية!E:E, MATCH(234, البيانات_الأساسية!$I:$I, 0)), "")</f>
        <v>0</v>
      </c>
      <c r="G246" s="2">
        <f>IFERROR(INDEX(البيانات_الأساسية!F:F, MATCH(234, البيانات_الأساسية!$I:$I, 0)), "")</f>
        <v>0</v>
      </c>
      <c r="H246" s="2">
        <f>IFERROR(INDEX(البيانات_الأساسية!G:G, MATCH(234, البيانات_الأساسية!$I:$I, 0)), "")</f>
        <v>0</v>
      </c>
    </row>
    <row r="247" spans="2:8" s="3" customFormat="1" ht="20" customHeight="1">
      <c r="B247" s="2">
        <f>IFERROR(INDEX(البيانات_الأساسية!A:A, MATCH(235, البيانات_الأساسية!$I:$I, 0)), "")</f>
        <v>0</v>
      </c>
      <c r="C247" s="2">
        <f>IFERROR(INDEX(البيانات_الأساسية!B:B, MATCH(235, البيانات_الأساسية!$I:$I, 0)), "")</f>
        <v>0</v>
      </c>
      <c r="D247" s="2">
        <f>IFERROR(INDEX(البيانات_الأساسية!C:C, MATCH(235, البيانات_الأساسية!$I:$I, 0)), "")</f>
        <v>0</v>
      </c>
      <c r="E247" s="2">
        <f>IFERROR(INDEX(البيانات_الأساسية!D:D, MATCH(235, البيانات_الأساسية!$I:$I, 0)), "")</f>
        <v>0</v>
      </c>
      <c r="F247" s="2">
        <f>IFERROR(INDEX(البيانات_الأساسية!E:E, MATCH(235, البيانات_الأساسية!$I:$I, 0)), "")</f>
        <v>0</v>
      </c>
      <c r="G247" s="2">
        <f>IFERROR(INDEX(البيانات_الأساسية!F:F, MATCH(235, البيانات_الأساسية!$I:$I, 0)), "")</f>
        <v>0</v>
      </c>
      <c r="H247" s="2">
        <f>IFERROR(INDEX(البيانات_الأساسية!G:G, MATCH(235, البيانات_الأساسية!$I:$I, 0)), "")</f>
        <v>0</v>
      </c>
    </row>
    <row r="248" spans="2:8" s="3" customFormat="1" ht="20" customHeight="1">
      <c r="B248" s="2">
        <f>IFERROR(INDEX(البيانات_الأساسية!A:A, MATCH(236, البيانات_الأساسية!$I:$I, 0)), "")</f>
        <v>0</v>
      </c>
      <c r="C248" s="2">
        <f>IFERROR(INDEX(البيانات_الأساسية!B:B, MATCH(236, البيانات_الأساسية!$I:$I, 0)), "")</f>
        <v>0</v>
      </c>
      <c r="D248" s="2">
        <f>IFERROR(INDEX(البيانات_الأساسية!C:C, MATCH(236, البيانات_الأساسية!$I:$I, 0)), "")</f>
        <v>0</v>
      </c>
      <c r="E248" s="2">
        <f>IFERROR(INDEX(البيانات_الأساسية!D:D, MATCH(236, البيانات_الأساسية!$I:$I, 0)), "")</f>
        <v>0</v>
      </c>
      <c r="F248" s="2">
        <f>IFERROR(INDEX(البيانات_الأساسية!E:E, MATCH(236, البيانات_الأساسية!$I:$I, 0)), "")</f>
        <v>0</v>
      </c>
      <c r="G248" s="2">
        <f>IFERROR(INDEX(البيانات_الأساسية!F:F, MATCH(236, البيانات_الأساسية!$I:$I, 0)), "")</f>
        <v>0</v>
      </c>
      <c r="H248" s="2">
        <f>IFERROR(INDEX(البيانات_الأساسية!G:G, MATCH(236, البيانات_الأساسية!$I:$I, 0)), "")</f>
        <v>0</v>
      </c>
    </row>
    <row r="249" spans="2:8" s="3" customFormat="1" ht="20" customHeight="1">
      <c r="B249" s="2">
        <f>IFERROR(INDEX(البيانات_الأساسية!A:A, MATCH(237, البيانات_الأساسية!$I:$I, 0)), "")</f>
        <v>0</v>
      </c>
      <c r="C249" s="2">
        <f>IFERROR(INDEX(البيانات_الأساسية!B:B, MATCH(237, البيانات_الأساسية!$I:$I, 0)), "")</f>
        <v>0</v>
      </c>
      <c r="D249" s="2">
        <f>IFERROR(INDEX(البيانات_الأساسية!C:C, MATCH(237, البيانات_الأساسية!$I:$I, 0)), "")</f>
        <v>0</v>
      </c>
      <c r="E249" s="2">
        <f>IFERROR(INDEX(البيانات_الأساسية!D:D, MATCH(237, البيانات_الأساسية!$I:$I, 0)), "")</f>
        <v>0</v>
      </c>
      <c r="F249" s="2">
        <f>IFERROR(INDEX(البيانات_الأساسية!E:E, MATCH(237, البيانات_الأساسية!$I:$I, 0)), "")</f>
        <v>0</v>
      </c>
      <c r="G249" s="2">
        <f>IFERROR(INDEX(البيانات_الأساسية!F:F, MATCH(237, البيانات_الأساسية!$I:$I, 0)), "")</f>
        <v>0</v>
      </c>
      <c r="H249" s="2">
        <f>IFERROR(INDEX(البيانات_الأساسية!G:G, MATCH(237, البيانات_الأساسية!$I:$I, 0)), "")</f>
        <v>0</v>
      </c>
    </row>
    <row r="250" spans="2:8" s="3" customFormat="1" ht="20" customHeight="1">
      <c r="B250" s="2">
        <f>IFERROR(INDEX(البيانات_الأساسية!A:A, MATCH(238, البيانات_الأساسية!$I:$I, 0)), "")</f>
        <v>0</v>
      </c>
      <c r="C250" s="2">
        <f>IFERROR(INDEX(البيانات_الأساسية!B:B, MATCH(238, البيانات_الأساسية!$I:$I, 0)), "")</f>
        <v>0</v>
      </c>
      <c r="D250" s="2">
        <f>IFERROR(INDEX(البيانات_الأساسية!C:C, MATCH(238, البيانات_الأساسية!$I:$I, 0)), "")</f>
        <v>0</v>
      </c>
      <c r="E250" s="2">
        <f>IFERROR(INDEX(البيانات_الأساسية!D:D, MATCH(238, البيانات_الأساسية!$I:$I, 0)), "")</f>
        <v>0</v>
      </c>
      <c r="F250" s="2">
        <f>IFERROR(INDEX(البيانات_الأساسية!E:E, MATCH(238, البيانات_الأساسية!$I:$I, 0)), "")</f>
        <v>0</v>
      </c>
      <c r="G250" s="2">
        <f>IFERROR(INDEX(البيانات_الأساسية!F:F, MATCH(238, البيانات_الأساسية!$I:$I, 0)), "")</f>
        <v>0</v>
      </c>
      <c r="H250" s="2">
        <f>IFERROR(INDEX(البيانات_الأساسية!G:G, MATCH(238, البيانات_الأساسية!$I:$I, 0)), "")</f>
        <v>0</v>
      </c>
    </row>
    <row r="251" spans="2:8" s="3" customFormat="1" ht="20" customHeight="1">
      <c r="B251" s="2">
        <f>IFERROR(INDEX(البيانات_الأساسية!A:A, MATCH(239, البيانات_الأساسية!$I:$I, 0)), "")</f>
        <v>0</v>
      </c>
      <c r="C251" s="2">
        <f>IFERROR(INDEX(البيانات_الأساسية!B:B, MATCH(239, البيانات_الأساسية!$I:$I, 0)), "")</f>
        <v>0</v>
      </c>
      <c r="D251" s="2">
        <f>IFERROR(INDEX(البيانات_الأساسية!C:C, MATCH(239, البيانات_الأساسية!$I:$I, 0)), "")</f>
        <v>0</v>
      </c>
      <c r="E251" s="2">
        <f>IFERROR(INDEX(البيانات_الأساسية!D:D, MATCH(239, البيانات_الأساسية!$I:$I, 0)), "")</f>
        <v>0</v>
      </c>
      <c r="F251" s="2">
        <f>IFERROR(INDEX(البيانات_الأساسية!E:E, MATCH(239, البيانات_الأساسية!$I:$I, 0)), "")</f>
        <v>0</v>
      </c>
      <c r="G251" s="2">
        <f>IFERROR(INDEX(البيانات_الأساسية!F:F, MATCH(239, البيانات_الأساسية!$I:$I, 0)), "")</f>
        <v>0</v>
      </c>
      <c r="H251" s="2">
        <f>IFERROR(INDEX(البيانات_الأساسية!G:G, MATCH(239, البيانات_الأساسية!$I:$I, 0)), "")</f>
        <v>0</v>
      </c>
    </row>
    <row r="252" spans="2:8" s="3" customFormat="1" ht="20" customHeight="1">
      <c r="B252" s="2">
        <f>IFERROR(INDEX(البيانات_الأساسية!A:A, MATCH(240, البيانات_الأساسية!$I:$I, 0)), "")</f>
        <v>0</v>
      </c>
      <c r="C252" s="2">
        <f>IFERROR(INDEX(البيانات_الأساسية!B:B, MATCH(240, البيانات_الأساسية!$I:$I, 0)), "")</f>
        <v>0</v>
      </c>
      <c r="D252" s="2">
        <f>IFERROR(INDEX(البيانات_الأساسية!C:C, MATCH(240, البيانات_الأساسية!$I:$I, 0)), "")</f>
        <v>0</v>
      </c>
      <c r="E252" s="2">
        <f>IFERROR(INDEX(البيانات_الأساسية!D:D, MATCH(240, البيانات_الأساسية!$I:$I, 0)), "")</f>
        <v>0</v>
      </c>
      <c r="F252" s="2">
        <f>IFERROR(INDEX(البيانات_الأساسية!E:E, MATCH(240, البيانات_الأساسية!$I:$I, 0)), "")</f>
        <v>0</v>
      </c>
      <c r="G252" s="2">
        <f>IFERROR(INDEX(البيانات_الأساسية!F:F, MATCH(240, البيانات_الأساسية!$I:$I, 0)), "")</f>
        <v>0</v>
      </c>
      <c r="H252" s="2">
        <f>IFERROR(INDEX(البيانات_الأساسية!G:G, MATCH(240, البيانات_الأساسية!$I:$I, 0)), "")</f>
        <v>0</v>
      </c>
    </row>
    <row r="253" spans="2:8" s="3" customFormat="1" ht="20" customHeight="1">
      <c r="B253" s="2">
        <f>IFERROR(INDEX(البيانات_الأساسية!A:A, MATCH(241, البيانات_الأساسية!$I:$I, 0)), "")</f>
        <v>0</v>
      </c>
      <c r="C253" s="2">
        <f>IFERROR(INDEX(البيانات_الأساسية!B:B, MATCH(241, البيانات_الأساسية!$I:$I, 0)), "")</f>
        <v>0</v>
      </c>
      <c r="D253" s="2">
        <f>IFERROR(INDEX(البيانات_الأساسية!C:C, MATCH(241, البيانات_الأساسية!$I:$I, 0)), "")</f>
        <v>0</v>
      </c>
      <c r="E253" s="2">
        <f>IFERROR(INDEX(البيانات_الأساسية!D:D, MATCH(241, البيانات_الأساسية!$I:$I, 0)), "")</f>
        <v>0</v>
      </c>
      <c r="F253" s="2">
        <f>IFERROR(INDEX(البيانات_الأساسية!E:E, MATCH(241, البيانات_الأساسية!$I:$I, 0)), "")</f>
        <v>0</v>
      </c>
      <c r="G253" s="2">
        <f>IFERROR(INDEX(البيانات_الأساسية!F:F, MATCH(241, البيانات_الأساسية!$I:$I, 0)), "")</f>
        <v>0</v>
      </c>
      <c r="H253" s="2">
        <f>IFERROR(INDEX(البيانات_الأساسية!G:G, MATCH(241, البيانات_الأساسية!$I:$I, 0)), "")</f>
        <v>0</v>
      </c>
    </row>
    <row r="254" spans="2:8" s="3" customFormat="1" ht="20" customHeight="1">
      <c r="B254" s="2">
        <f>IFERROR(INDEX(البيانات_الأساسية!A:A, MATCH(242, البيانات_الأساسية!$I:$I, 0)), "")</f>
        <v>0</v>
      </c>
      <c r="C254" s="2">
        <f>IFERROR(INDEX(البيانات_الأساسية!B:B, MATCH(242, البيانات_الأساسية!$I:$I, 0)), "")</f>
        <v>0</v>
      </c>
      <c r="D254" s="2">
        <f>IFERROR(INDEX(البيانات_الأساسية!C:C, MATCH(242, البيانات_الأساسية!$I:$I, 0)), "")</f>
        <v>0</v>
      </c>
      <c r="E254" s="2">
        <f>IFERROR(INDEX(البيانات_الأساسية!D:D, MATCH(242, البيانات_الأساسية!$I:$I, 0)), "")</f>
        <v>0</v>
      </c>
      <c r="F254" s="2">
        <f>IFERROR(INDEX(البيانات_الأساسية!E:E, MATCH(242, البيانات_الأساسية!$I:$I, 0)), "")</f>
        <v>0</v>
      </c>
      <c r="G254" s="2">
        <f>IFERROR(INDEX(البيانات_الأساسية!F:F, MATCH(242, البيانات_الأساسية!$I:$I, 0)), "")</f>
        <v>0</v>
      </c>
      <c r="H254" s="2">
        <f>IFERROR(INDEX(البيانات_الأساسية!G:G, MATCH(242, البيانات_الأساسية!$I:$I, 0)), "")</f>
        <v>0</v>
      </c>
    </row>
    <row r="255" spans="2:8" s="3" customFormat="1" ht="20" customHeight="1">
      <c r="B255" s="2">
        <f>IFERROR(INDEX(البيانات_الأساسية!A:A, MATCH(243, البيانات_الأساسية!$I:$I, 0)), "")</f>
        <v>0</v>
      </c>
      <c r="C255" s="2">
        <f>IFERROR(INDEX(البيانات_الأساسية!B:B, MATCH(243, البيانات_الأساسية!$I:$I, 0)), "")</f>
        <v>0</v>
      </c>
      <c r="D255" s="2">
        <f>IFERROR(INDEX(البيانات_الأساسية!C:C, MATCH(243, البيانات_الأساسية!$I:$I, 0)), "")</f>
        <v>0</v>
      </c>
      <c r="E255" s="2">
        <f>IFERROR(INDEX(البيانات_الأساسية!D:D, MATCH(243, البيانات_الأساسية!$I:$I, 0)), "")</f>
        <v>0</v>
      </c>
      <c r="F255" s="2">
        <f>IFERROR(INDEX(البيانات_الأساسية!E:E, MATCH(243, البيانات_الأساسية!$I:$I, 0)), "")</f>
        <v>0</v>
      </c>
      <c r="G255" s="2">
        <f>IFERROR(INDEX(البيانات_الأساسية!F:F, MATCH(243, البيانات_الأساسية!$I:$I, 0)), "")</f>
        <v>0</v>
      </c>
      <c r="H255" s="2">
        <f>IFERROR(INDEX(البيانات_الأساسية!G:G, MATCH(243, البيانات_الأساسية!$I:$I, 0)), "")</f>
        <v>0</v>
      </c>
    </row>
    <row r="256" spans="2:8" s="3" customFormat="1" ht="20" customHeight="1">
      <c r="B256" s="2">
        <f>IFERROR(INDEX(البيانات_الأساسية!A:A, MATCH(244, البيانات_الأساسية!$I:$I, 0)), "")</f>
        <v>0</v>
      </c>
      <c r="C256" s="2">
        <f>IFERROR(INDEX(البيانات_الأساسية!B:B, MATCH(244, البيانات_الأساسية!$I:$I, 0)), "")</f>
        <v>0</v>
      </c>
      <c r="D256" s="2">
        <f>IFERROR(INDEX(البيانات_الأساسية!C:C, MATCH(244, البيانات_الأساسية!$I:$I, 0)), "")</f>
        <v>0</v>
      </c>
      <c r="E256" s="2">
        <f>IFERROR(INDEX(البيانات_الأساسية!D:D, MATCH(244, البيانات_الأساسية!$I:$I, 0)), "")</f>
        <v>0</v>
      </c>
      <c r="F256" s="2">
        <f>IFERROR(INDEX(البيانات_الأساسية!E:E, MATCH(244, البيانات_الأساسية!$I:$I, 0)), "")</f>
        <v>0</v>
      </c>
      <c r="G256" s="2">
        <f>IFERROR(INDEX(البيانات_الأساسية!F:F, MATCH(244, البيانات_الأساسية!$I:$I, 0)), "")</f>
        <v>0</v>
      </c>
      <c r="H256" s="2">
        <f>IFERROR(INDEX(البيانات_الأساسية!G:G, MATCH(244, البيانات_الأساسية!$I:$I, 0)), "")</f>
        <v>0</v>
      </c>
    </row>
    <row r="257" spans="2:8" s="3" customFormat="1" ht="20" customHeight="1">
      <c r="B257" s="2">
        <f>IFERROR(INDEX(البيانات_الأساسية!A:A, MATCH(245, البيانات_الأساسية!$I:$I, 0)), "")</f>
        <v>0</v>
      </c>
      <c r="C257" s="2">
        <f>IFERROR(INDEX(البيانات_الأساسية!B:B, MATCH(245, البيانات_الأساسية!$I:$I, 0)), "")</f>
        <v>0</v>
      </c>
      <c r="D257" s="2">
        <f>IFERROR(INDEX(البيانات_الأساسية!C:C, MATCH(245, البيانات_الأساسية!$I:$I, 0)), "")</f>
        <v>0</v>
      </c>
      <c r="E257" s="2">
        <f>IFERROR(INDEX(البيانات_الأساسية!D:D, MATCH(245, البيانات_الأساسية!$I:$I, 0)), "")</f>
        <v>0</v>
      </c>
      <c r="F257" s="2">
        <f>IFERROR(INDEX(البيانات_الأساسية!E:E, MATCH(245, البيانات_الأساسية!$I:$I, 0)), "")</f>
        <v>0</v>
      </c>
      <c r="G257" s="2">
        <f>IFERROR(INDEX(البيانات_الأساسية!F:F, MATCH(245, البيانات_الأساسية!$I:$I, 0)), "")</f>
        <v>0</v>
      </c>
      <c r="H257" s="2">
        <f>IFERROR(INDEX(البيانات_الأساسية!G:G, MATCH(245, البيانات_الأساسية!$I:$I, 0)), "")</f>
        <v>0</v>
      </c>
    </row>
    <row r="258" spans="2:8" s="3" customFormat="1" ht="20" customHeight="1">
      <c r="B258" s="2">
        <f>IFERROR(INDEX(البيانات_الأساسية!A:A, MATCH(246, البيانات_الأساسية!$I:$I, 0)), "")</f>
        <v>0</v>
      </c>
      <c r="C258" s="2">
        <f>IFERROR(INDEX(البيانات_الأساسية!B:B, MATCH(246, البيانات_الأساسية!$I:$I, 0)), "")</f>
        <v>0</v>
      </c>
      <c r="D258" s="2">
        <f>IFERROR(INDEX(البيانات_الأساسية!C:C, MATCH(246, البيانات_الأساسية!$I:$I, 0)), "")</f>
        <v>0</v>
      </c>
      <c r="E258" s="2">
        <f>IFERROR(INDEX(البيانات_الأساسية!D:D, MATCH(246, البيانات_الأساسية!$I:$I, 0)), "")</f>
        <v>0</v>
      </c>
      <c r="F258" s="2">
        <f>IFERROR(INDEX(البيانات_الأساسية!E:E, MATCH(246, البيانات_الأساسية!$I:$I, 0)), "")</f>
        <v>0</v>
      </c>
      <c r="G258" s="2">
        <f>IFERROR(INDEX(البيانات_الأساسية!F:F, MATCH(246, البيانات_الأساسية!$I:$I, 0)), "")</f>
        <v>0</v>
      </c>
      <c r="H258" s="2">
        <f>IFERROR(INDEX(البيانات_الأساسية!G:G, MATCH(246, البيانات_الأساسية!$I:$I, 0)), "")</f>
        <v>0</v>
      </c>
    </row>
    <row r="259" spans="2:8" s="3" customFormat="1" ht="20" customHeight="1">
      <c r="B259" s="2">
        <f>IFERROR(INDEX(البيانات_الأساسية!A:A, MATCH(247, البيانات_الأساسية!$I:$I, 0)), "")</f>
        <v>0</v>
      </c>
      <c r="C259" s="2">
        <f>IFERROR(INDEX(البيانات_الأساسية!B:B, MATCH(247, البيانات_الأساسية!$I:$I, 0)), "")</f>
        <v>0</v>
      </c>
      <c r="D259" s="2">
        <f>IFERROR(INDEX(البيانات_الأساسية!C:C, MATCH(247, البيانات_الأساسية!$I:$I, 0)), "")</f>
        <v>0</v>
      </c>
      <c r="E259" s="2">
        <f>IFERROR(INDEX(البيانات_الأساسية!D:D, MATCH(247, البيانات_الأساسية!$I:$I, 0)), "")</f>
        <v>0</v>
      </c>
      <c r="F259" s="2">
        <f>IFERROR(INDEX(البيانات_الأساسية!E:E, MATCH(247, البيانات_الأساسية!$I:$I, 0)), "")</f>
        <v>0</v>
      </c>
      <c r="G259" s="2">
        <f>IFERROR(INDEX(البيانات_الأساسية!F:F, MATCH(247, البيانات_الأساسية!$I:$I, 0)), "")</f>
        <v>0</v>
      </c>
      <c r="H259" s="2">
        <f>IFERROR(INDEX(البيانات_الأساسية!G:G, MATCH(247, البيانات_الأساسية!$I:$I, 0)), "")</f>
        <v>0</v>
      </c>
    </row>
    <row r="260" spans="2:8" s="3" customFormat="1" ht="20" customHeight="1">
      <c r="B260" s="2">
        <f>IFERROR(INDEX(البيانات_الأساسية!A:A, MATCH(248, البيانات_الأساسية!$I:$I, 0)), "")</f>
        <v>0</v>
      </c>
      <c r="C260" s="2">
        <f>IFERROR(INDEX(البيانات_الأساسية!B:B, MATCH(248, البيانات_الأساسية!$I:$I, 0)), "")</f>
        <v>0</v>
      </c>
      <c r="D260" s="2">
        <f>IFERROR(INDEX(البيانات_الأساسية!C:C, MATCH(248, البيانات_الأساسية!$I:$I, 0)), "")</f>
        <v>0</v>
      </c>
      <c r="E260" s="2">
        <f>IFERROR(INDEX(البيانات_الأساسية!D:D, MATCH(248, البيانات_الأساسية!$I:$I, 0)), "")</f>
        <v>0</v>
      </c>
      <c r="F260" s="2">
        <f>IFERROR(INDEX(البيانات_الأساسية!E:E, MATCH(248, البيانات_الأساسية!$I:$I, 0)), "")</f>
        <v>0</v>
      </c>
      <c r="G260" s="2">
        <f>IFERROR(INDEX(البيانات_الأساسية!F:F, MATCH(248, البيانات_الأساسية!$I:$I, 0)), "")</f>
        <v>0</v>
      </c>
      <c r="H260" s="2">
        <f>IFERROR(INDEX(البيانات_الأساسية!G:G, MATCH(248, البيانات_الأساسية!$I:$I, 0)), "")</f>
        <v>0</v>
      </c>
    </row>
    <row r="261" spans="2:8" s="3" customFormat="1" ht="20" customHeight="1">
      <c r="B261" s="2">
        <f>IFERROR(INDEX(البيانات_الأساسية!A:A, MATCH(249, البيانات_الأساسية!$I:$I, 0)), "")</f>
        <v>0</v>
      </c>
      <c r="C261" s="2">
        <f>IFERROR(INDEX(البيانات_الأساسية!B:B, MATCH(249, البيانات_الأساسية!$I:$I, 0)), "")</f>
        <v>0</v>
      </c>
      <c r="D261" s="2">
        <f>IFERROR(INDEX(البيانات_الأساسية!C:C, MATCH(249, البيانات_الأساسية!$I:$I, 0)), "")</f>
        <v>0</v>
      </c>
      <c r="E261" s="2">
        <f>IFERROR(INDEX(البيانات_الأساسية!D:D, MATCH(249, البيانات_الأساسية!$I:$I, 0)), "")</f>
        <v>0</v>
      </c>
      <c r="F261" s="2">
        <f>IFERROR(INDEX(البيانات_الأساسية!E:E, MATCH(249, البيانات_الأساسية!$I:$I, 0)), "")</f>
        <v>0</v>
      </c>
      <c r="G261" s="2">
        <f>IFERROR(INDEX(البيانات_الأساسية!F:F, MATCH(249, البيانات_الأساسية!$I:$I, 0)), "")</f>
        <v>0</v>
      </c>
      <c r="H261" s="2">
        <f>IFERROR(INDEX(البيانات_الأساسية!G:G, MATCH(249, البيانات_الأساسية!$I:$I, 0)), "")</f>
        <v>0</v>
      </c>
    </row>
    <row r="262" spans="2:8" s="3" customFormat="1" ht="20" customHeight="1">
      <c r="B262" s="2">
        <f>IFERROR(INDEX(البيانات_الأساسية!A:A, MATCH(250, البيانات_الأساسية!$I:$I, 0)), "")</f>
        <v>0</v>
      </c>
      <c r="C262" s="2">
        <f>IFERROR(INDEX(البيانات_الأساسية!B:B, MATCH(250, البيانات_الأساسية!$I:$I, 0)), "")</f>
        <v>0</v>
      </c>
      <c r="D262" s="2">
        <f>IFERROR(INDEX(البيانات_الأساسية!C:C, MATCH(250, البيانات_الأساسية!$I:$I, 0)), "")</f>
        <v>0</v>
      </c>
      <c r="E262" s="2">
        <f>IFERROR(INDEX(البيانات_الأساسية!D:D, MATCH(250, البيانات_الأساسية!$I:$I, 0)), "")</f>
        <v>0</v>
      </c>
      <c r="F262" s="2">
        <f>IFERROR(INDEX(البيانات_الأساسية!E:E, MATCH(250, البيانات_الأساسية!$I:$I, 0)), "")</f>
        <v>0</v>
      </c>
      <c r="G262" s="2">
        <f>IFERROR(INDEX(البيانات_الأساسية!F:F, MATCH(250, البيانات_الأساسية!$I:$I, 0)), "")</f>
        <v>0</v>
      </c>
      <c r="H262" s="2">
        <f>IFERROR(INDEX(البيانات_الأساسية!G:G, MATCH(250, البيانات_الأساسية!$I:$I, 0)), "")</f>
        <v>0</v>
      </c>
    </row>
    <row r="263" spans="2:8" s="3" customFormat="1" ht="20" customHeight="1">
      <c r="B263" s="2">
        <f>IFERROR(INDEX(البيانات_الأساسية!A:A, MATCH(251, البيانات_الأساسية!$I:$I, 0)), "")</f>
        <v>0</v>
      </c>
      <c r="C263" s="2">
        <f>IFERROR(INDEX(البيانات_الأساسية!B:B, MATCH(251, البيانات_الأساسية!$I:$I, 0)), "")</f>
        <v>0</v>
      </c>
      <c r="D263" s="2">
        <f>IFERROR(INDEX(البيانات_الأساسية!C:C, MATCH(251, البيانات_الأساسية!$I:$I, 0)), "")</f>
        <v>0</v>
      </c>
      <c r="E263" s="2">
        <f>IFERROR(INDEX(البيانات_الأساسية!D:D, MATCH(251, البيانات_الأساسية!$I:$I, 0)), "")</f>
        <v>0</v>
      </c>
      <c r="F263" s="2">
        <f>IFERROR(INDEX(البيانات_الأساسية!E:E, MATCH(251, البيانات_الأساسية!$I:$I, 0)), "")</f>
        <v>0</v>
      </c>
      <c r="G263" s="2">
        <f>IFERROR(INDEX(البيانات_الأساسية!F:F, MATCH(251, البيانات_الأساسية!$I:$I, 0)), "")</f>
        <v>0</v>
      </c>
      <c r="H263" s="2">
        <f>IFERROR(INDEX(البيانات_الأساسية!G:G, MATCH(251, البيانات_الأساسية!$I:$I, 0)), "")</f>
        <v>0</v>
      </c>
    </row>
    <row r="264" spans="2:8" s="3" customFormat="1" ht="20" customHeight="1">
      <c r="B264" s="2">
        <f>IFERROR(INDEX(البيانات_الأساسية!A:A, MATCH(252, البيانات_الأساسية!$I:$I, 0)), "")</f>
        <v>0</v>
      </c>
      <c r="C264" s="2">
        <f>IFERROR(INDEX(البيانات_الأساسية!B:B, MATCH(252, البيانات_الأساسية!$I:$I, 0)), "")</f>
        <v>0</v>
      </c>
      <c r="D264" s="2">
        <f>IFERROR(INDEX(البيانات_الأساسية!C:C, MATCH(252, البيانات_الأساسية!$I:$I, 0)), "")</f>
        <v>0</v>
      </c>
      <c r="E264" s="2">
        <f>IFERROR(INDEX(البيانات_الأساسية!D:D, MATCH(252, البيانات_الأساسية!$I:$I, 0)), "")</f>
        <v>0</v>
      </c>
      <c r="F264" s="2">
        <f>IFERROR(INDEX(البيانات_الأساسية!E:E, MATCH(252, البيانات_الأساسية!$I:$I, 0)), "")</f>
        <v>0</v>
      </c>
      <c r="G264" s="2">
        <f>IFERROR(INDEX(البيانات_الأساسية!F:F, MATCH(252, البيانات_الأساسية!$I:$I, 0)), "")</f>
        <v>0</v>
      </c>
      <c r="H264" s="2">
        <f>IFERROR(INDEX(البيانات_الأساسية!G:G, MATCH(252, البيانات_الأساسية!$I:$I, 0)), "")</f>
        <v>0</v>
      </c>
    </row>
    <row r="265" spans="2:8" s="3" customFormat="1" ht="20" customHeight="1">
      <c r="B265" s="2">
        <f>IFERROR(INDEX(البيانات_الأساسية!A:A, MATCH(253, البيانات_الأساسية!$I:$I, 0)), "")</f>
        <v>0</v>
      </c>
      <c r="C265" s="2">
        <f>IFERROR(INDEX(البيانات_الأساسية!B:B, MATCH(253, البيانات_الأساسية!$I:$I, 0)), "")</f>
        <v>0</v>
      </c>
      <c r="D265" s="2">
        <f>IFERROR(INDEX(البيانات_الأساسية!C:C, MATCH(253, البيانات_الأساسية!$I:$I, 0)), "")</f>
        <v>0</v>
      </c>
      <c r="E265" s="2">
        <f>IFERROR(INDEX(البيانات_الأساسية!D:D, MATCH(253, البيانات_الأساسية!$I:$I, 0)), "")</f>
        <v>0</v>
      </c>
      <c r="F265" s="2">
        <f>IFERROR(INDEX(البيانات_الأساسية!E:E, MATCH(253, البيانات_الأساسية!$I:$I, 0)), "")</f>
        <v>0</v>
      </c>
      <c r="G265" s="2">
        <f>IFERROR(INDEX(البيانات_الأساسية!F:F, MATCH(253, البيانات_الأساسية!$I:$I, 0)), "")</f>
        <v>0</v>
      </c>
      <c r="H265" s="2">
        <f>IFERROR(INDEX(البيانات_الأساسية!G:G, MATCH(253, البيانات_الأساسية!$I:$I, 0)), "")</f>
        <v>0</v>
      </c>
    </row>
    <row r="266" spans="2:8" s="3" customFormat="1" ht="20" customHeight="1">
      <c r="B266" s="2">
        <f>IFERROR(INDEX(البيانات_الأساسية!A:A, MATCH(254, البيانات_الأساسية!$I:$I, 0)), "")</f>
        <v>0</v>
      </c>
      <c r="C266" s="2">
        <f>IFERROR(INDEX(البيانات_الأساسية!B:B, MATCH(254, البيانات_الأساسية!$I:$I, 0)), "")</f>
        <v>0</v>
      </c>
      <c r="D266" s="2">
        <f>IFERROR(INDEX(البيانات_الأساسية!C:C, MATCH(254, البيانات_الأساسية!$I:$I, 0)), "")</f>
        <v>0</v>
      </c>
      <c r="E266" s="2">
        <f>IFERROR(INDEX(البيانات_الأساسية!D:D, MATCH(254, البيانات_الأساسية!$I:$I, 0)), "")</f>
        <v>0</v>
      </c>
      <c r="F266" s="2">
        <f>IFERROR(INDEX(البيانات_الأساسية!E:E, MATCH(254, البيانات_الأساسية!$I:$I, 0)), "")</f>
        <v>0</v>
      </c>
      <c r="G266" s="2">
        <f>IFERROR(INDEX(البيانات_الأساسية!F:F, MATCH(254, البيانات_الأساسية!$I:$I, 0)), "")</f>
        <v>0</v>
      </c>
      <c r="H266" s="2">
        <f>IFERROR(INDEX(البيانات_الأساسية!G:G, MATCH(254, البيانات_الأساسية!$I:$I, 0)), "")</f>
        <v>0</v>
      </c>
    </row>
    <row r="267" spans="2:8" s="3" customFormat="1" ht="20" customHeight="1">
      <c r="B267" s="2">
        <f>IFERROR(INDEX(البيانات_الأساسية!A:A, MATCH(255, البيانات_الأساسية!$I:$I, 0)), "")</f>
        <v>0</v>
      </c>
      <c r="C267" s="2">
        <f>IFERROR(INDEX(البيانات_الأساسية!B:B, MATCH(255, البيانات_الأساسية!$I:$I, 0)), "")</f>
        <v>0</v>
      </c>
      <c r="D267" s="2">
        <f>IFERROR(INDEX(البيانات_الأساسية!C:C, MATCH(255, البيانات_الأساسية!$I:$I, 0)), "")</f>
        <v>0</v>
      </c>
      <c r="E267" s="2">
        <f>IFERROR(INDEX(البيانات_الأساسية!D:D, MATCH(255, البيانات_الأساسية!$I:$I, 0)), "")</f>
        <v>0</v>
      </c>
      <c r="F267" s="2">
        <f>IFERROR(INDEX(البيانات_الأساسية!E:E, MATCH(255, البيانات_الأساسية!$I:$I, 0)), "")</f>
        <v>0</v>
      </c>
      <c r="G267" s="2">
        <f>IFERROR(INDEX(البيانات_الأساسية!F:F, MATCH(255, البيانات_الأساسية!$I:$I, 0)), "")</f>
        <v>0</v>
      </c>
      <c r="H267" s="2">
        <f>IFERROR(INDEX(البيانات_الأساسية!G:G, MATCH(255, البيانات_الأساسية!$I:$I, 0)), "")</f>
        <v>0</v>
      </c>
    </row>
    <row r="268" spans="2:8" s="3" customFormat="1" ht="20" customHeight="1">
      <c r="B268" s="2">
        <f>IFERROR(INDEX(البيانات_الأساسية!A:A, MATCH(256, البيانات_الأساسية!$I:$I, 0)), "")</f>
        <v>0</v>
      </c>
      <c r="C268" s="2">
        <f>IFERROR(INDEX(البيانات_الأساسية!B:B, MATCH(256, البيانات_الأساسية!$I:$I, 0)), "")</f>
        <v>0</v>
      </c>
      <c r="D268" s="2">
        <f>IFERROR(INDEX(البيانات_الأساسية!C:C, MATCH(256, البيانات_الأساسية!$I:$I, 0)), "")</f>
        <v>0</v>
      </c>
      <c r="E268" s="2">
        <f>IFERROR(INDEX(البيانات_الأساسية!D:D, MATCH(256, البيانات_الأساسية!$I:$I, 0)), "")</f>
        <v>0</v>
      </c>
      <c r="F268" s="2">
        <f>IFERROR(INDEX(البيانات_الأساسية!E:E, MATCH(256, البيانات_الأساسية!$I:$I, 0)), "")</f>
        <v>0</v>
      </c>
      <c r="G268" s="2">
        <f>IFERROR(INDEX(البيانات_الأساسية!F:F, MATCH(256, البيانات_الأساسية!$I:$I, 0)), "")</f>
        <v>0</v>
      </c>
      <c r="H268" s="2">
        <f>IFERROR(INDEX(البيانات_الأساسية!G:G, MATCH(256, البيانات_الأساسية!$I:$I, 0)), "")</f>
        <v>0</v>
      </c>
    </row>
    <row r="269" spans="2:8" s="3" customFormat="1" ht="20" customHeight="1">
      <c r="B269" s="2">
        <f>IFERROR(INDEX(البيانات_الأساسية!A:A, MATCH(257, البيانات_الأساسية!$I:$I, 0)), "")</f>
        <v>0</v>
      </c>
      <c r="C269" s="2">
        <f>IFERROR(INDEX(البيانات_الأساسية!B:B, MATCH(257, البيانات_الأساسية!$I:$I, 0)), "")</f>
        <v>0</v>
      </c>
      <c r="D269" s="2">
        <f>IFERROR(INDEX(البيانات_الأساسية!C:C, MATCH(257, البيانات_الأساسية!$I:$I, 0)), "")</f>
        <v>0</v>
      </c>
      <c r="E269" s="2">
        <f>IFERROR(INDEX(البيانات_الأساسية!D:D, MATCH(257, البيانات_الأساسية!$I:$I, 0)), "")</f>
        <v>0</v>
      </c>
      <c r="F269" s="2">
        <f>IFERROR(INDEX(البيانات_الأساسية!E:E, MATCH(257, البيانات_الأساسية!$I:$I, 0)), "")</f>
        <v>0</v>
      </c>
      <c r="G269" s="2">
        <f>IFERROR(INDEX(البيانات_الأساسية!F:F, MATCH(257, البيانات_الأساسية!$I:$I, 0)), "")</f>
        <v>0</v>
      </c>
      <c r="H269" s="2">
        <f>IFERROR(INDEX(البيانات_الأساسية!G:G, MATCH(257, البيانات_الأساسية!$I:$I, 0)), "")</f>
        <v>0</v>
      </c>
    </row>
    <row r="270" spans="2:8" s="3" customFormat="1" ht="20" customHeight="1">
      <c r="B270" s="2">
        <f>IFERROR(INDEX(البيانات_الأساسية!A:A, MATCH(258, البيانات_الأساسية!$I:$I, 0)), "")</f>
        <v>0</v>
      </c>
      <c r="C270" s="2">
        <f>IFERROR(INDEX(البيانات_الأساسية!B:B, MATCH(258, البيانات_الأساسية!$I:$I, 0)), "")</f>
        <v>0</v>
      </c>
      <c r="D270" s="2">
        <f>IFERROR(INDEX(البيانات_الأساسية!C:C, MATCH(258, البيانات_الأساسية!$I:$I, 0)), "")</f>
        <v>0</v>
      </c>
      <c r="E270" s="2">
        <f>IFERROR(INDEX(البيانات_الأساسية!D:D, MATCH(258, البيانات_الأساسية!$I:$I, 0)), "")</f>
        <v>0</v>
      </c>
      <c r="F270" s="2">
        <f>IFERROR(INDEX(البيانات_الأساسية!E:E, MATCH(258, البيانات_الأساسية!$I:$I, 0)), "")</f>
        <v>0</v>
      </c>
      <c r="G270" s="2">
        <f>IFERROR(INDEX(البيانات_الأساسية!F:F, MATCH(258, البيانات_الأساسية!$I:$I, 0)), "")</f>
        <v>0</v>
      </c>
      <c r="H270" s="2">
        <f>IFERROR(INDEX(البيانات_الأساسية!G:G, MATCH(258, البيانات_الأساسية!$I:$I, 0)), "")</f>
        <v>0</v>
      </c>
    </row>
    <row r="271" spans="2:8" s="3" customFormat="1" ht="20" customHeight="1">
      <c r="B271" s="2">
        <f>IFERROR(INDEX(البيانات_الأساسية!A:A, MATCH(259, البيانات_الأساسية!$I:$I, 0)), "")</f>
        <v>0</v>
      </c>
      <c r="C271" s="2">
        <f>IFERROR(INDEX(البيانات_الأساسية!B:B, MATCH(259, البيانات_الأساسية!$I:$I, 0)), "")</f>
        <v>0</v>
      </c>
      <c r="D271" s="2">
        <f>IFERROR(INDEX(البيانات_الأساسية!C:C, MATCH(259, البيانات_الأساسية!$I:$I, 0)), "")</f>
        <v>0</v>
      </c>
      <c r="E271" s="2">
        <f>IFERROR(INDEX(البيانات_الأساسية!D:D, MATCH(259, البيانات_الأساسية!$I:$I, 0)), "")</f>
        <v>0</v>
      </c>
      <c r="F271" s="2">
        <f>IFERROR(INDEX(البيانات_الأساسية!E:E, MATCH(259, البيانات_الأساسية!$I:$I, 0)), "")</f>
        <v>0</v>
      </c>
      <c r="G271" s="2">
        <f>IFERROR(INDEX(البيانات_الأساسية!F:F, MATCH(259, البيانات_الأساسية!$I:$I, 0)), "")</f>
        <v>0</v>
      </c>
      <c r="H271" s="2">
        <f>IFERROR(INDEX(البيانات_الأساسية!G:G, MATCH(259, البيانات_الأساسية!$I:$I, 0)), "")</f>
        <v>0</v>
      </c>
    </row>
    <row r="272" spans="2:8" s="3" customFormat="1" ht="20" customHeight="1">
      <c r="B272" s="2">
        <f>IFERROR(INDEX(البيانات_الأساسية!A:A, MATCH(260, البيانات_الأساسية!$I:$I, 0)), "")</f>
        <v>0</v>
      </c>
      <c r="C272" s="2">
        <f>IFERROR(INDEX(البيانات_الأساسية!B:B, MATCH(260, البيانات_الأساسية!$I:$I, 0)), "")</f>
        <v>0</v>
      </c>
      <c r="D272" s="2">
        <f>IFERROR(INDEX(البيانات_الأساسية!C:C, MATCH(260, البيانات_الأساسية!$I:$I, 0)), "")</f>
        <v>0</v>
      </c>
      <c r="E272" s="2">
        <f>IFERROR(INDEX(البيانات_الأساسية!D:D, MATCH(260, البيانات_الأساسية!$I:$I, 0)), "")</f>
        <v>0</v>
      </c>
      <c r="F272" s="2">
        <f>IFERROR(INDEX(البيانات_الأساسية!E:E, MATCH(260, البيانات_الأساسية!$I:$I, 0)), "")</f>
        <v>0</v>
      </c>
      <c r="G272" s="2">
        <f>IFERROR(INDEX(البيانات_الأساسية!F:F, MATCH(260, البيانات_الأساسية!$I:$I, 0)), "")</f>
        <v>0</v>
      </c>
      <c r="H272" s="2">
        <f>IFERROR(INDEX(البيانات_الأساسية!G:G, MATCH(260, البيانات_الأساسية!$I:$I, 0)), "")</f>
        <v>0</v>
      </c>
    </row>
    <row r="273" spans="2:8" s="3" customFormat="1" ht="20" customHeight="1">
      <c r="B273" s="2">
        <f>IFERROR(INDEX(البيانات_الأساسية!A:A, MATCH(261, البيانات_الأساسية!$I:$I, 0)), "")</f>
        <v>0</v>
      </c>
      <c r="C273" s="2">
        <f>IFERROR(INDEX(البيانات_الأساسية!B:B, MATCH(261, البيانات_الأساسية!$I:$I, 0)), "")</f>
        <v>0</v>
      </c>
      <c r="D273" s="2">
        <f>IFERROR(INDEX(البيانات_الأساسية!C:C, MATCH(261, البيانات_الأساسية!$I:$I, 0)), "")</f>
        <v>0</v>
      </c>
      <c r="E273" s="2">
        <f>IFERROR(INDEX(البيانات_الأساسية!D:D, MATCH(261, البيانات_الأساسية!$I:$I, 0)), "")</f>
        <v>0</v>
      </c>
      <c r="F273" s="2">
        <f>IFERROR(INDEX(البيانات_الأساسية!E:E, MATCH(261, البيانات_الأساسية!$I:$I, 0)), "")</f>
        <v>0</v>
      </c>
      <c r="G273" s="2">
        <f>IFERROR(INDEX(البيانات_الأساسية!F:F, MATCH(261, البيانات_الأساسية!$I:$I, 0)), "")</f>
        <v>0</v>
      </c>
      <c r="H273" s="2">
        <f>IFERROR(INDEX(البيانات_الأساسية!G:G, MATCH(261, البيانات_الأساسية!$I:$I, 0)), "")</f>
        <v>0</v>
      </c>
    </row>
    <row r="274" spans="2:8" s="3" customFormat="1" ht="20" customHeight="1">
      <c r="B274" s="2">
        <f>IFERROR(INDEX(البيانات_الأساسية!A:A, MATCH(262, البيانات_الأساسية!$I:$I, 0)), "")</f>
        <v>0</v>
      </c>
      <c r="C274" s="2">
        <f>IFERROR(INDEX(البيانات_الأساسية!B:B, MATCH(262, البيانات_الأساسية!$I:$I, 0)), "")</f>
        <v>0</v>
      </c>
      <c r="D274" s="2">
        <f>IFERROR(INDEX(البيانات_الأساسية!C:C, MATCH(262, البيانات_الأساسية!$I:$I, 0)), "")</f>
        <v>0</v>
      </c>
      <c r="E274" s="2">
        <f>IFERROR(INDEX(البيانات_الأساسية!D:D, MATCH(262, البيانات_الأساسية!$I:$I, 0)), "")</f>
        <v>0</v>
      </c>
      <c r="F274" s="2">
        <f>IFERROR(INDEX(البيانات_الأساسية!E:E, MATCH(262, البيانات_الأساسية!$I:$I, 0)), "")</f>
        <v>0</v>
      </c>
      <c r="G274" s="2">
        <f>IFERROR(INDEX(البيانات_الأساسية!F:F, MATCH(262, البيانات_الأساسية!$I:$I, 0)), "")</f>
        <v>0</v>
      </c>
      <c r="H274" s="2">
        <f>IFERROR(INDEX(البيانات_الأساسية!G:G, MATCH(262, البيانات_الأساسية!$I:$I, 0)), "")</f>
        <v>0</v>
      </c>
    </row>
    <row r="275" spans="2:8" s="3" customFormat="1" ht="20" customHeight="1">
      <c r="B275" s="2">
        <f>IFERROR(INDEX(البيانات_الأساسية!A:A, MATCH(263, البيانات_الأساسية!$I:$I, 0)), "")</f>
        <v>0</v>
      </c>
      <c r="C275" s="2">
        <f>IFERROR(INDEX(البيانات_الأساسية!B:B, MATCH(263, البيانات_الأساسية!$I:$I, 0)), "")</f>
        <v>0</v>
      </c>
      <c r="D275" s="2">
        <f>IFERROR(INDEX(البيانات_الأساسية!C:C, MATCH(263, البيانات_الأساسية!$I:$I, 0)), "")</f>
        <v>0</v>
      </c>
      <c r="E275" s="2">
        <f>IFERROR(INDEX(البيانات_الأساسية!D:D, MATCH(263, البيانات_الأساسية!$I:$I, 0)), "")</f>
        <v>0</v>
      </c>
      <c r="F275" s="2">
        <f>IFERROR(INDEX(البيانات_الأساسية!E:E, MATCH(263, البيانات_الأساسية!$I:$I, 0)), "")</f>
        <v>0</v>
      </c>
      <c r="G275" s="2">
        <f>IFERROR(INDEX(البيانات_الأساسية!F:F, MATCH(263, البيانات_الأساسية!$I:$I, 0)), "")</f>
        <v>0</v>
      </c>
      <c r="H275" s="2">
        <f>IFERROR(INDEX(البيانات_الأساسية!G:G, MATCH(263, البيانات_الأساسية!$I:$I, 0)), "")</f>
        <v>0</v>
      </c>
    </row>
    <row r="276" spans="2:8" s="3" customFormat="1" ht="20" customHeight="1">
      <c r="B276" s="2">
        <f>IFERROR(INDEX(البيانات_الأساسية!A:A, MATCH(264, البيانات_الأساسية!$I:$I, 0)), "")</f>
        <v>0</v>
      </c>
      <c r="C276" s="2">
        <f>IFERROR(INDEX(البيانات_الأساسية!B:B, MATCH(264, البيانات_الأساسية!$I:$I, 0)), "")</f>
        <v>0</v>
      </c>
      <c r="D276" s="2">
        <f>IFERROR(INDEX(البيانات_الأساسية!C:C, MATCH(264, البيانات_الأساسية!$I:$I, 0)), "")</f>
        <v>0</v>
      </c>
      <c r="E276" s="2">
        <f>IFERROR(INDEX(البيانات_الأساسية!D:D, MATCH(264, البيانات_الأساسية!$I:$I, 0)), "")</f>
        <v>0</v>
      </c>
      <c r="F276" s="2">
        <f>IFERROR(INDEX(البيانات_الأساسية!E:E, MATCH(264, البيانات_الأساسية!$I:$I, 0)), "")</f>
        <v>0</v>
      </c>
      <c r="G276" s="2">
        <f>IFERROR(INDEX(البيانات_الأساسية!F:F, MATCH(264, البيانات_الأساسية!$I:$I, 0)), "")</f>
        <v>0</v>
      </c>
      <c r="H276" s="2">
        <f>IFERROR(INDEX(البيانات_الأساسية!G:G, MATCH(264, البيانات_الأساسية!$I:$I, 0)), "")</f>
        <v>0</v>
      </c>
    </row>
    <row r="277" spans="2:8" s="3" customFormat="1" ht="20" customHeight="1">
      <c r="B277" s="2">
        <f>IFERROR(INDEX(البيانات_الأساسية!A:A, MATCH(265, البيانات_الأساسية!$I:$I, 0)), "")</f>
        <v>0</v>
      </c>
      <c r="C277" s="2">
        <f>IFERROR(INDEX(البيانات_الأساسية!B:B, MATCH(265, البيانات_الأساسية!$I:$I, 0)), "")</f>
        <v>0</v>
      </c>
      <c r="D277" s="2">
        <f>IFERROR(INDEX(البيانات_الأساسية!C:C, MATCH(265, البيانات_الأساسية!$I:$I, 0)), "")</f>
        <v>0</v>
      </c>
      <c r="E277" s="2">
        <f>IFERROR(INDEX(البيانات_الأساسية!D:D, MATCH(265, البيانات_الأساسية!$I:$I, 0)), "")</f>
        <v>0</v>
      </c>
      <c r="F277" s="2">
        <f>IFERROR(INDEX(البيانات_الأساسية!E:E, MATCH(265, البيانات_الأساسية!$I:$I, 0)), "")</f>
        <v>0</v>
      </c>
      <c r="G277" s="2">
        <f>IFERROR(INDEX(البيانات_الأساسية!F:F, MATCH(265, البيانات_الأساسية!$I:$I, 0)), "")</f>
        <v>0</v>
      </c>
      <c r="H277" s="2">
        <f>IFERROR(INDEX(البيانات_الأساسية!G:G, MATCH(265, البيانات_الأساسية!$I:$I, 0)), "")</f>
        <v>0</v>
      </c>
    </row>
    <row r="278" spans="2:8" s="3" customFormat="1" ht="20" customHeight="1">
      <c r="B278" s="2">
        <f>IFERROR(INDEX(البيانات_الأساسية!A:A, MATCH(266, البيانات_الأساسية!$I:$I, 0)), "")</f>
        <v>0</v>
      </c>
      <c r="C278" s="2">
        <f>IFERROR(INDEX(البيانات_الأساسية!B:B, MATCH(266, البيانات_الأساسية!$I:$I, 0)), "")</f>
        <v>0</v>
      </c>
      <c r="D278" s="2">
        <f>IFERROR(INDEX(البيانات_الأساسية!C:C, MATCH(266, البيانات_الأساسية!$I:$I, 0)), "")</f>
        <v>0</v>
      </c>
      <c r="E278" s="2">
        <f>IFERROR(INDEX(البيانات_الأساسية!D:D, MATCH(266, البيانات_الأساسية!$I:$I, 0)), "")</f>
        <v>0</v>
      </c>
      <c r="F278" s="2">
        <f>IFERROR(INDEX(البيانات_الأساسية!E:E, MATCH(266, البيانات_الأساسية!$I:$I, 0)), "")</f>
        <v>0</v>
      </c>
      <c r="G278" s="2">
        <f>IFERROR(INDEX(البيانات_الأساسية!F:F, MATCH(266, البيانات_الأساسية!$I:$I, 0)), "")</f>
        <v>0</v>
      </c>
      <c r="H278" s="2">
        <f>IFERROR(INDEX(البيانات_الأساسية!G:G, MATCH(266, البيانات_الأساسية!$I:$I, 0)), "")</f>
        <v>0</v>
      </c>
    </row>
    <row r="279" spans="2:8" s="3" customFormat="1" ht="20" customHeight="1">
      <c r="B279" s="2">
        <f>IFERROR(INDEX(البيانات_الأساسية!A:A, MATCH(267, البيانات_الأساسية!$I:$I, 0)), "")</f>
        <v>0</v>
      </c>
      <c r="C279" s="2">
        <f>IFERROR(INDEX(البيانات_الأساسية!B:B, MATCH(267, البيانات_الأساسية!$I:$I, 0)), "")</f>
        <v>0</v>
      </c>
      <c r="D279" s="2">
        <f>IFERROR(INDEX(البيانات_الأساسية!C:C, MATCH(267, البيانات_الأساسية!$I:$I, 0)), "")</f>
        <v>0</v>
      </c>
      <c r="E279" s="2">
        <f>IFERROR(INDEX(البيانات_الأساسية!D:D, MATCH(267, البيانات_الأساسية!$I:$I, 0)), "")</f>
        <v>0</v>
      </c>
      <c r="F279" s="2">
        <f>IFERROR(INDEX(البيانات_الأساسية!E:E, MATCH(267, البيانات_الأساسية!$I:$I, 0)), "")</f>
        <v>0</v>
      </c>
      <c r="G279" s="2">
        <f>IFERROR(INDEX(البيانات_الأساسية!F:F, MATCH(267, البيانات_الأساسية!$I:$I, 0)), "")</f>
        <v>0</v>
      </c>
      <c r="H279" s="2">
        <f>IFERROR(INDEX(البيانات_الأساسية!G:G, MATCH(267, البيانات_الأساسية!$I:$I, 0)), "")</f>
        <v>0</v>
      </c>
    </row>
    <row r="280" spans="2:8" s="3" customFormat="1" ht="20" customHeight="1">
      <c r="B280" s="2">
        <f>IFERROR(INDEX(البيانات_الأساسية!A:A, MATCH(268, البيانات_الأساسية!$I:$I, 0)), "")</f>
        <v>0</v>
      </c>
      <c r="C280" s="2">
        <f>IFERROR(INDEX(البيانات_الأساسية!B:B, MATCH(268, البيانات_الأساسية!$I:$I, 0)), "")</f>
        <v>0</v>
      </c>
      <c r="D280" s="2">
        <f>IFERROR(INDEX(البيانات_الأساسية!C:C, MATCH(268, البيانات_الأساسية!$I:$I, 0)), "")</f>
        <v>0</v>
      </c>
      <c r="E280" s="2">
        <f>IFERROR(INDEX(البيانات_الأساسية!D:D, MATCH(268, البيانات_الأساسية!$I:$I, 0)), "")</f>
        <v>0</v>
      </c>
      <c r="F280" s="2">
        <f>IFERROR(INDEX(البيانات_الأساسية!E:E, MATCH(268, البيانات_الأساسية!$I:$I, 0)), "")</f>
        <v>0</v>
      </c>
      <c r="G280" s="2">
        <f>IFERROR(INDEX(البيانات_الأساسية!F:F, MATCH(268, البيانات_الأساسية!$I:$I, 0)), "")</f>
        <v>0</v>
      </c>
      <c r="H280" s="2">
        <f>IFERROR(INDEX(البيانات_الأساسية!G:G, MATCH(268, البيانات_الأساسية!$I:$I, 0)), "")</f>
        <v>0</v>
      </c>
    </row>
    <row r="281" spans="2:8" s="3" customFormat="1" ht="20" customHeight="1">
      <c r="B281" s="2">
        <f>IFERROR(INDEX(البيانات_الأساسية!A:A, MATCH(269, البيانات_الأساسية!$I:$I, 0)), "")</f>
        <v>0</v>
      </c>
      <c r="C281" s="2">
        <f>IFERROR(INDEX(البيانات_الأساسية!B:B, MATCH(269, البيانات_الأساسية!$I:$I, 0)), "")</f>
        <v>0</v>
      </c>
      <c r="D281" s="2">
        <f>IFERROR(INDEX(البيانات_الأساسية!C:C, MATCH(269, البيانات_الأساسية!$I:$I, 0)), "")</f>
        <v>0</v>
      </c>
      <c r="E281" s="2">
        <f>IFERROR(INDEX(البيانات_الأساسية!D:D, MATCH(269, البيانات_الأساسية!$I:$I, 0)), "")</f>
        <v>0</v>
      </c>
      <c r="F281" s="2">
        <f>IFERROR(INDEX(البيانات_الأساسية!E:E, MATCH(269, البيانات_الأساسية!$I:$I, 0)), "")</f>
        <v>0</v>
      </c>
      <c r="G281" s="2">
        <f>IFERROR(INDEX(البيانات_الأساسية!F:F, MATCH(269, البيانات_الأساسية!$I:$I, 0)), "")</f>
        <v>0</v>
      </c>
      <c r="H281" s="2">
        <f>IFERROR(INDEX(البيانات_الأساسية!G:G, MATCH(269, البيانات_الأساسية!$I:$I, 0)), "")</f>
        <v>0</v>
      </c>
    </row>
    <row r="282" spans="2:8" s="3" customFormat="1" ht="20" customHeight="1">
      <c r="B282" s="2">
        <f>IFERROR(INDEX(البيانات_الأساسية!A:A, MATCH(270, البيانات_الأساسية!$I:$I, 0)), "")</f>
        <v>0</v>
      </c>
      <c r="C282" s="2">
        <f>IFERROR(INDEX(البيانات_الأساسية!B:B, MATCH(270, البيانات_الأساسية!$I:$I, 0)), "")</f>
        <v>0</v>
      </c>
      <c r="D282" s="2">
        <f>IFERROR(INDEX(البيانات_الأساسية!C:C, MATCH(270, البيانات_الأساسية!$I:$I, 0)), "")</f>
        <v>0</v>
      </c>
      <c r="E282" s="2">
        <f>IFERROR(INDEX(البيانات_الأساسية!D:D, MATCH(270, البيانات_الأساسية!$I:$I, 0)), "")</f>
        <v>0</v>
      </c>
      <c r="F282" s="2">
        <f>IFERROR(INDEX(البيانات_الأساسية!E:E, MATCH(270, البيانات_الأساسية!$I:$I, 0)), "")</f>
        <v>0</v>
      </c>
      <c r="G282" s="2">
        <f>IFERROR(INDEX(البيانات_الأساسية!F:F, MATCH(270, البيانات_الأساسية!$I:$I, 0)), "")</f>
        <v>0</v>
      </c>
      <c r="H282" s="2">
        <f>IFERROR(INDEX(البيانات_الأساسية!G:G, MATCH(270, البيانات_الأساسية!$I:$I, 0)), "")</f>
        <v>0</v>
      </c>
    </row>
    <row r="283" spans="2:8" s="3" customFormat="1" ht="20" customHeight="1">
      <c r="B283" s="2">
        <f>IFERROR(INDEX(البيانات_الأساسية!A:A, MATCH(271, البيانات_الأساسية!$I:$I, 0)), "")</f>
        <v>0</v>
      </c>
      <c r="C283" s="2">
        <f>IFERROR(INDEX(البيانات_الأساسية!B:B, MATCH(271, البيانات_الأساسية!$I:$I, 0)), "")</f>
        <v>0</v>
      </c>
      <c r="D283" s="2">
        <f>IFERROR(INDEX(البيانات_الأساسية!C:C, MATCH(271, البيانات_الأساسية!$I:$I, 0)), "")</f>
        <v>0</v>
      </c>
      <c r="E283" s="2">
        <f>IFERROR(INDEX(البيانات_الأساسية!D:D, MATCH(271, البيانات_الأساسية!$I:$I, 0)), "")</f>
        <v>0</v>
      </c>
      <c r="F283" s="2">
        <f>IFERROR(INDEX(البيانات_الأساسية!E:E, MATCH(271, البيانات_الأساسية!$I:$I, 0)), "")</f>
        <v>0</v>
      </c>
      <c r="G283" s="2">
        <f>IFERROR(INDEX(البيانات_الأساسية!F:F, MATCH(271, البيانات_الأساسية!$I:$I, 0)), "")</f>
        <v>0</v>
      </c>
      <c r="H283" s="2">
        <f>IFERROR(INDEX(البيانات_الأساسية!G:G, MATCH(271, البيانات_الأساسية!$I:$I, 0)), "")</f>
        <v>0</v>
      </c>
    </row>
    <row r="284" spans="2:8" s="3" customFormat="1" ht="20" customHeight="1">
      <c r="B284" s="2">
        <f>IFERROR(INDEX(البيانات_الأساسية!A:A, MATCH(272, البيانات_الأساسية!$I:$I, 0)), "")</f>
        <v>0</v>
      </c>
      <c r="C284" s="2">
        <f>IFERROR(INDEX(البيانات_الأساسية!B:B, MATCH(272, البيانات_الأساسية!$I:$I, 0)), "")</f>
        <v>0</v>
      </c>
      <c r="D284" s="2">
        <f>IFERROR(INDEX(البيانات_الأساسية!C:C, MATCH(272, البيانات_الأساسية!$I:$I, 0)), "")</f>
        <v>0</v>
      </c>
      <c r="E284" s="2">
        <f>IFERROR(INDEX(البيانات_الأساسية!D:D, MATCH(272, البيانات_الأساسية!$I:$I, 0)), "")</f>
        <v>0</v>
      </c>
      <c r="F284" s="2">
        <f>IFERROR(INDEX(البيانات_الأساسية!E:E, MATCH(272, البيانات_الأساسية!$I:$I, 0)), "")</f>
        <v>0</v>
      </c>
      <c r="G284" s="2">
        <f>IFERROR(INDEX(البيانات_الأساسية!F:F, MATCH(272, البيانات_الأساسية!$I:$I, 0)), "")</f>
        <v>0</v>
      </c>
      <c r="H284" s="2">
        <f>IFERROR(INDEX(البيانات_الأساسية!G:G, MATCH(272, البيانات_الأساسية!$I:$I, 0)), "")</f>
        <v>0</v>
      </c>
    </row>
    <row r="285" spans="2:8" s="3" customFormat="1" ht="20" customHeight="1">
      <c r="B285" s="2">
        <f>IFERROR(INDEX(البيانات_الأساسية!A:A, MATCH(273, البيانات_الأساسية!$I:$I, 0)), "")</f>
        <v>0</v>
      </c>
      <c r="C285" s="2">
        <f>IFERROR(INDEX(البيانات_الأساسية!B:B, MATCH(273, البيانات_الأساسية!$I:$I, 0)), "")</f>
        <v>0</v>
      </c>
      <c r="D285" s="2">
        <f>IFERROR(INDEX(البيانات_الأساسية!C:C, MATCH(273, البيانات_الأساسية!$I:$I, 0)), "")</f>
        <v>0</v>
      </c>
      <c r="E285" s="2">
        <f>IFERROR(INDEX(البيانات_الأساسية!D:D, MATCH(273, البيانات_الأساسية!$I:$I, 0)), "")</f>
        <v>0</v>
      </c>
      <c r="F285" s="2">
        <f>IFERROR(INDEX(البيانات_الأساسية!E:E, MATCH(273, البيانات_الأساسية!$I:$I, 0)), "")</f>
        <v>0</v>
      </c>
      <c r="G285" s="2">
        <f>IFERROR(INDEX(البيانات_الأساسية!F:F, MATCH(273, البيانات_الأساسية!$I:$I, 0)), "")</f>
        <v>0</v>
      </c>
      <c r="H285" s="2">
        <f>IFERROR(INDEX(البيانات_الأساسية!G:G, MATCH(273, البيانات_الأساسية!$I:$I, 0)), "")</f>
        <v>0</v>
      </c>
    </row>
    <row r="286" spans="2:8" s="3" customFormat="1" ht="20" customHeight="1">
      <c r="B286" s="2">
        <f>IFERROR(INDEX(البيانات_الأساسية!A:A, MATCH(274, البيانات_الأساسية!$I:$I, 0)), "")</f>
        <v>0</v>
      </c>
      <c r="C286" s="2">
        <f>IFERROR(INDEX(البيانات_الأساسية!B:B, MATCH(274, البيانات_الأساسية!$I:$I, 0)), "")</f>
        <v>0</v>
      </c>
      <c r="D286" s="2">
        <f>IFERROR(INDEX(البيانات_الأساسية!C:C, MATCH(274, البيانات_الأساسية!$I:$I, 0)), "")</f>
        <v>0</v>
      </c>
      <c r="E286" s="2">
        <f>IFERROR(INDEX(البيانات_الأساسية!D:D, MATCH(274, البيانات_الأساسية!$I:$I, 0)), "")</f>
        <v>0</v>
      </c>
      <c r="F286" s="2">
        <f>IFERROR(INDEX(البيانات_الأساسية!E:E, MATCH(274, البيانات_الأساسية!$I:$I, 0)), "")</f>
        <v>0</v>
      </c>
      <c r="G286" s="2">
        <f>IFERROR(INDEX(البيانات_الأساسية!F:F, MATCH(274, البيانات_الأساسية!$I:$I, 0)), "")</f>
        <v>0</v>
      </c>
      <c r="H286" s="2">
        <f>IFERROR(INDEX(البيانات_الأساسية!G:G, MATCH(274, البيانات_الأساسية!$I:$I, 0)), "")</f>
        <v>0</v>
      </c>
    </row>
    <row r="287" spans="2:8" s="3" customFormat="1" ht="20" customHeight="1">
      <c r="B287" s="2">
        <f>IFERROR(INDEX(البيانات_الأساسية!A:A, MATCH(275, البيانات_الأساسية!$I:$I, 0)), "")</f>
        <v>0</v>
      </c>
      <c r="C287" s="2">
        <f>IFERROR(INDEX(البيانات_الأساسية!B:B, MATCH(275, البيانات_الأساسية!$I:$I, 0)), "")</f>
        <v>0</v>
      </c>
      <c r="D287" s="2">
        <f>IFERROR(INDEX(البيانات_الأساسية!C:C, MATCH(275, البيانات_الأساسية!$I:$I, 0)), "")</f>
        <v>0</v>
      </c>
      <c r="E287" s="2">
        <f>IFERROR(INDEX(البيانات_الأساسية!D:D, MATCH(275, البيانات_الأساسية!$I:$I, 0)), "")</f>
        <v>0</v>
      </c>
      <c r="F287" s="2">
        <f>IFERROR(INDEX(البيانات_الأساسية!E:E, MATCH(275, البيانات_الأساسية!$I:$I, 0)), "")</f>
        <v>0</v>
      </c>
      <c r="G287" s="2">
        <f>IFERROR(INDEX(البيانات_الأساسية!F:F, MATCH(275, البيانات_الأساسية!$I:$I, 0)), "")</f>
        <v>0</v>
      </c>
      <c r="H287" s="2">
        <f>IFERROR(INDEX(البيانات_الأساسية!G:G, MATCH(275, البيانات_الأساسية!$I:$I, 0)), "")</f>
        <v>0</v>
      </c>
    </row>
    <row r="288" spans="2:8" s="3" customFormat="1" ht="20" customHeight="1">
      <c r="B288" s="2">
        <f>IFERROR(INDEX(البيانات_الأساسية!A:A, MATCH(276, البيانات_الأساسية!$I:$I, 0)), "")</f>
        <v>0</v>
      </c>
      <c r="C288" s="2">
        <f>IFERROR(INDEX(البيانات_الأساسية!B:B, MATCH(276, البيانات_الأساسية!$I:$I, 0)), "")</f>
        <v>0</v>
      </c>
      <c r="D288" s="2">
        <f>IFERROR(INDEX(البيانات_الأساسية!C:C, MATCH(276, البيانات_الأساسية!$I:$I, 0)), "")</f>
        <v>0</v>
      </c>
      <c r="E288" s="2">
        <f>IFERROR(INDEX(البيانات_الأساسية!D:D, MATCH(276, البيانات_الأساسية!$I:$I, 0)), "")</f>
        <v>0</v>
      </c>
      <c r="F288" s="2">
        <f>IFERROR(INDEX(البيانات_الأساسية!E:E, MATCH(276, البيانات_الأساسية!$I:$I, 0)), "")</f>
        <v>0</v>
      </c>
      <c r="G288" s="2">
        <f>IFERROR(INDEX(البيانات_الأساسية!F:F, MATCH(276, البيانات_الأساسية!$I:$I, 0)), "")</f>
        <v>0</v>
      </c>
      <c r="H288" s="2">
        <f>IFERROR(INDEX(البيانات_الأساسية!G:G, MATCH(276, البيانات_الأساسية!$I:$I, 0)), "")</f>
        <v>0</v>
      </c>
    </row>
    <row r="289" spans="2:8" s="3" customFormat="1" ht="20" customHeight="1">
      <c r="B289" s="2">
        <f>IFERROR(INDEX(البيانات_الأساسية!A:A, MATCH(277, البيانات_الأساسية!$I:$I, 0)), "")</f>
        <v>0</v>
      </c>
      <c r="C289" s="2">
        <f>IFERROR(INDEX(البيانات_الأساسية!B:B, MATCH(277, البيانات_الأساسية!$I:$I, 0)), "")</f>
        <v>0</v>
      </c>
      <c r="D289" s="2">
        <f>IFERROR(INDEX(البيانات_الأساسية!C:C, MATCH(277, البيانات_الأساسية!$I:$I, 0)), "")</f>
        <v>0</v>
      </c>
      <c r="E289" s="2">
        <f>IFERROR(INDEX(البيانات_الأساسية!D:D, MATCH(277, البيانات_الأساسية!$I:$I, 0)), "")</f>
        <v>0</v>
      </c>
      <c r="F289" s="2">
        <f>IFERROR(INDEX(البيانات_الأساسية!E:E, MATCH(277, البيانات_الأساسية!$I:$I, 0)), "")</f>
        <v>0</v>
      </c>
      <c r="G289" s="2">
        <f>IFERROR(INDEX(البيانات_الأساسية!F:F, MATCH(277, البيانات_الأساسية!$I:$I, 0)), "")</f>
        <v>0</v>
      </c>
      <c r="H289" s="2">
        <f>IFERROR(INDEX(البيانات_الأساسية!G:G, MATCH(277, البيانات_الأساسية!$I:$I, 0)), "")</f>
        <v>0</v>
      </c>
    </row>
    <row r="290" spans="2:8" s="3" customFormat="1" ht="20" customHeight="1">
      <c r="B290" s="2">
        <f>IFERROR(INDEX(البيانات_الأساسية!A:A, MATCH(278, البيانات_الأساسية!$I:$I, 0)), "")</f>
        <v>0</v>
      </c>
      <c r="C290" s="2">
        <f>IFERROR(INDEX(البيانات_الأساسية!B:B, MATCH(278, البيانات_الأساسية!$I:$I, 0)), "")</f>
        <v>0</v>
      </c>
      <c r="D290" s="2">
        <f>IFERROR(INDEX(البيانات_الأساسية!C:C, MATCH(278, البيانات_الأساسية!$I:$I, 0)), "")</f>
        <v>0</v>
      </c>
      <c r="E290" s="2">
        <f>IFERROR(INDEX(البيانات_الأساسية!D:D, MATCH(278, البيانات_الأساسية!$I:$I, 0)), "")</f>
        <v>0</v>
      </c>
      <c r="F290" s="2">
        <f>IFERROR(INDEX(البيانات_الأساسية!E:E, MATCH(278, البيانات_الأساسية!$I:$I, 0)), "")</f>
        <v>0</v>
      </c>
      <c r="G290" s="2">
        <f>IFERROR(INDEX(البيانات_الأساسية!F:F, MATCH(278, البيانات_الأساسية!$I:$I, 0)), "")</f>
        <v>0</v>
      </c>
      <c r="H290" s="2">
        <f>IFERROR(INDEX(البيانات_الأساسية!G:G, MATCH(278, البيانات_الأساسية!$I:$I, 0)), "")</f>
        <v>0</v>
      </c>
    </row>
    <row r="291" spans="2:8" s="3" customFormat="1" ht="20" customHeight="1">
      <c r="B291" s="2">
        <f>IFERROR(INDEX(البيانات_الأساسية!A:A, MATCH(279, البيانات_الأساسية!$I:$I, 0)), "")</f>
        <v>0</v>
      </c>
      <c r="C291" s="2">
        <f>IFERROR(INDEX(البيانات_الأساسية!B:B, MATCH(279, البيانات_الأساسية!$I:$I, 0)), "")</f>
        <v>0</v>
      </c>
      <c r="D291" s="2">
        <f>IFERROR(INDEX(البيانات_الأساسية!C:C, MATCH(279, البيانات_الأساسية!$I:$I, 0)), "")</f>
        <v>0</v>
      </c>
      <c r="E291" s="2">
        <f>IFERROR(INDEX(البيانات_الأساسية!D:D, MATCH(279, البيانات_الأساسية!$I:$I, 0)), "")</f>
        <v>0</v>
      </c>
      <c r="F291" s="2">
        <f>IFERROR(INDEX(البيانات_الأساسية!E:E, MATCH(279, البيانات_الأساسية!$I:$I, 0)), "")</f>
        <v>0</v>
      </c>
      <c r="G291" s="2">
        <f>IFERROR(INDEX(البيانات_الأساسية!F:F, MATCH(279, البيانات_الأساسية!$I:$I, 0)), "")</f>
        <v>0</v>
      </c>
      <c r="H291" s="2">
        <f>IFERROR(INDEX(البيانات_الأساسية!G:G, MATCH(279, البيانات_الأساسية!$I:$I, 0)), "")</f>
        <v>0</v>
      </c>
    </row>
    <row r="292" spans="2:8" s="3" customFormat="1" ht="20" customHeight="1">
      <c r="B292" s="2">
        <f>IFERROR(INDEX(البيانات_الأساسية!A:A, MATCH(280, البيانات_الأساسية!$I:$I, 0)), "")</f>
        <v>0</v>
      </c>
      <c r="C292" s="2">
        <f>IFERROR(INDEX(البيانات_الأساسية!B:B, MATCH(280, البيانات_الأساسية!$I:$I, 0)), "")</f>
        <v>0</v>
      </c>
      <c r="D292" s="2">
        <f>IFERROR(INDEX(البيانات_الأساسية!C:C, MATCH(280, البيانات_الأساسية!$I:$I, 0)), "")</f>
        <v>0</v>
      </c>
      <c r="E292" s="2">
        <f>IFERROR(INDEX(البيانات_الأساسية!D:D, MATCH(280, البيانات_الأساسية!$I:$I, 0)), "")</f>
        <v>0</v>
      </c>
      <c r="F292" s="2">
        <f>IFERROR(INDEX(البيانات_الأساسية!E:E, MATCH(280, البيانات_الأساسية!$I:$I, 0)), "")</f>
        <v>0</v>
      </c>
      <c r="G292" s="2">
        <f>IFERROR(INDEX(البيانات_الأساسية!F:F, MATCH(280, البيانات_الأساسية!$I:$I, 0)), "")</f>
        <v>0</v>
      </c>
      <c r="H292" s="2">
        <f>IFERROR(INDEX(البيانات_الأساسية!G:G, MATCH(280, البيانات_الأساسية!$I:$I, 0)), "")</f>
        <v>0</v>
      </c>
    </row>
    <row r="293" spans="2:8" s="3" customFormat="1" ht="20" customHeight="1">
      <c r="B293" s="2">
        <f>IFERROR(INDEX(البيانات_الأساسية!A:A, MATCH(281, البيانات_الأساسية!$I:$I, 0)), "")</f>
        <v>0</v>
      </c>
      <c r="C293" s="2">
        <f>IFERROR(INDEX(البيانات_الأساسية!B:B, MATCH(281, البيانات_الأساسية!$I:$I, 0)), "")</f>
        <v>0</v>
      </c>
      <c r="D293" s="2">
        <f>IFERROR(INDEX(البيانات_الأساسية!C:C, MATCH(281, البيانات_الأساسية!$I:$I, 0)), "")</f>
        <v>0</v>
      </c>
      <c r="E293" s="2">
        <f>IFERROR(INDEX(البيانات_الأساسية!D:D, MATCH(281, البيانات_الأساسية!$I:$I, 0)), "")</f>
        <v>0</v>
      </c>
      <c r="F293" s="2">
        <f>IFERROR(INDEX(البيانات_الأساسية!E:E, MATCH(281, البيانات_الأساسية!$I:$I, 0)), "")</f>
        <v>0</v>
      </c>
      <c r="G293" s="2">
        <f>IFERROR(INDEX(البيانات_الأساسية!F:F, MATCH(281, البيانات_الأساسية!$I:$I, 0)), "")</f>
        <v>0</v>
      </c>
      <c r="H293" s="2">
        <f>IFERROR(INDEX(البيانات_الأساسية!G:G, MATCH(281, البيانات_الأساسية!$I:$I, 0)), "")</f>
        <v>0</v>
      </c>
    </row>
    <row r="294" spans="2:8" s="3" customFormat="1" ht="20" customHeight="1">
      <c r="B294" s="2">
        <f>IFERROR(INDEX(البيانات_الأساسية!A:A, MATCH(282, البيانات_الأساسية!$I:$I, 0)), "")</f>
        <v>0</v>
      </c>
      <c r="C294" s="2">
        <f>IFERROR(INDEX(البيانات_الأساسية!B:B, MATCH(282, البيانات_الأساسية!$I:$I, 0)), "")</f>
        <v>0</v>
      </c>
      <c r="D294" s="2">
        <f>IFERROR(INDEX(البيانات_الأساسية!C:C, MATCH(282, البيانات_الأساسية!$I:$I, 0)), "")</f>
        <v>0</v>
      </c>
      <c r="E294" s="2">
        <f>IFERROR(INDEX(البيانات_الأساسية!D:D, MATCH(282, البيانات_الأساسية!$I:$I, 0)), "")</f>
        <v>0</v>
      </c>
      <c r="F294" s="2">
        <f>IFERROR(INDEX(البيانات_الأساسية!E:E, MATCH(282, البيانات_الأساسية!$I:$I, 0)), "")</f>
        <v>0</v>
      </c>
      <c r="G294" s="2">
        <f>IFERROR(INDEX(البيانات_الأساسية!F:F, MATCH(282, البيانات_الأساسية!$I:$I, 0)), "")</f>
        <v>0</v>
      </c>
      <c r="H294" s="2">
        <f>IFERROR(INDEX(البيانات_الأساسية!G:G, MATCH(282, البيانات_الأساسية!$I:$I, 0)), "")</f>
        <v>0</v>
      </c>
    </row>
    <row r="295" spans="2:8" s="3" customFormat="1" ht="20" customHeight="1">
      <c r="B295" s="2">
        <f>IFERROR(INDEX(البيانات_الأساسية!A:A, MATCH(283, البيانات_الأساسية!$I:$I, 0)), "")</f>
        <v>0</v>
      </c>
      <c r="C295" s="2">
        <f>IFERROR(INDEX(البيانات_الأساسية!B:B, MATCH(283, البيانات_الأساسية!$I:$I, 0)), "")</f>
        <v>0</v>
      </c>
      <c r="D295" s="2">
        <f>IFERROR(INDEX(البيانات_الأساسية!C:C, MATCH(283, البيانات_الأساسية!$I:$I, 0)), "")</f>
        <v>0</v>
      </c>
      <c r="E295" s="2">
        <f>IFERROR(INDEX(البيانات_الأساسية!D:D, MATCH(283, البيانات_الأساسية!$I:$I, 0)), "")</f>
        <v>0</v>
      </c>
      <c r="F295" s="2">
        <f>IFERROR(INDEX(البيانات_الأساسية!E:E, MATCH(283, البيانات_الأساسية!$I:$I, 0)), "")</f>
        <v>0</v>
      </c>
      <c r="G295" s="2">
        <f>IFERROR(INDEX(البيانات_الأساسية!F:F, MATCH(283, البيانات_الأساسية!$I:$I, 0)), "")</f>
        <v>0</v>
      </c>
      <c r="H295" s="2">
        <f>IFERROR(INDEX(البيانات_الأساسية!G:G, MATCH(283, البيانات_الأساسية!$I:$I, 0)), "")</f>
        <v>0</v>
      </c>
    </row>
    <row r="296" spans="2:8" s="3" customFormat="1" ht="20" customHeight="1">
      <c r="B296" s="2">
        <f>IFERROR(INDEX(البيانات_الأساسية!A:A, MATCH(284, البيانات_الأساسية!$I:$I, 0)), "")</f>
        <v>0</v>
      </c>
      <c r="C296" s="2">
        <f>IFERROR(INDEX(البيانات_الأساسية!B:B, MATCH(284, البيانات_الأساسية!$I:$I, 0)), "")</f>
        <v>0</v>
      </c>
      <c r="D296" s="2">
        <f>IFERROR(INDEX(البيانات_الأساسية!C:C, MATCH(284, البيانات_الأساسية!$I:$I, 0)), "")</f>
        <v>0</v>
      </c>
      <c r="E296" s="2">
        <f>IFERROR(INDEX(البيانات_الأساسية!D:D, MATCH(284, البيانات_الأساسية!$I:$I, 0)), "")</f>
        <v>0</v>
      </c>
      <c r="F296" s="2">
        <f>IFERROR(INDEX(البيانات_الأساسية!E:E, MATCH(284, البيانات_الأساسية!$I:$I, 0)), "")</f>
        <v>0</v>
      </c>
      <c r="G296" s="2">
        <f>IFERROR(INDEX(البيانات_الأساسية!F:F, MATCH(284, البيانات_الأساسية!$I:$I, 0)), "")</f>
        <v>0</v>
      </c>
      <c r="H296" s="2">
        <f>IFERROR(INDEX(البيانات_الأساسية!G:G, MATCH(284, البيانات_الأساسية!$I:$I, 0)), "")</f>
        <v>0</v>
      </c>
    </row>
    <row r="297" spans="2:8" s="3" customFormat="1" ht="20" customHeight="1">
      <c r="B297" s="2">
        <f>IFERROR(INDEX(البيانات_الأساسية!A:A, MATCH(285, البيانات_الأساسية!$I:$I, 0)), "")</f>
        <v>0</v>
      </c>
      <c r="C297" s="2">
        <f>IFERROR(INDEX(البيانات_الأساسية!B:B, MATCH(285, البيانات_الأساسية!$I:$I, 0)), "")</f>
        <v>0</v>
      </c>
      <c r="D297" s="2">
        <f>IFERROR(INDEX(البيانات_الأساسية!C:C, MATCH(285, البيانات_الأساسية!$I:$I, 0)), "")</f>
        <v>0</v>
      </c>
      <c r="E297" s="2">
        <f>IFERROR(INDEX(البيانات_الأساسية!D:D, MATCH(285, البيانات_الأساسية!$I:$I, 0)), "")</f>
        <v>0</v>
      </c>
      <c r="F297" s="2">
        <f>IFERROR(INDEX(البيانات_الأساسية!E:E, MATCH(285, البيانات_الأساسية!$I:$I, 0)), "")</f>
        <v>0</v>
      </c>
      <c r="G297" s="2">
        <f>IFERROR(INDEX(البيانات_الأساسية!F:F, MATCH(285, البيانات_الأساسية!$I:$I, 0)), "")</f>
        <v>0</v>
      </c>
      <c r="H297" s="2">
        <f>IFERROR(INDEX(البيانات_الأساسية!G:G, MATCH(285, البيانات_الأساسية!$I:$I, 0)), "")</f>
        <v>0</v>
      </c>
    </row>
    <row r="298" spans="2:8" s="3" customFormat="1" ht="20" customHeight="1">
      <c r="B298" s="2">
        <f>IFERROR(INDEX(البيانات_الأساسية!A:A, MATCH(286, البيانات_الأساسية!$I:$I, 0)), "")</f>
        <v>0</v>
      </c>
      <c r="C298" s="2">
        <f>IFERROR(INDEX(البيانات_الأساسية!B:B, MATCH(286, البيانات_الأساسية!$I:$I, 0)), "")</f>
        <v>0</v>
      </c>
      <c r="D298" s="2">
        <f>IFERROR(INDEX(البيانات_الأساسية!C:C, MATCH(286, البيانات_الأساسية!$I:$I, 0)), "")</f>
        <v>0</v>
      </c>
      <c r="E298" s="2">
        <f>IFERROR(INDEX(البيانات_الأساسية!D:D, MATCH(286, البيانات_الأساسية!$I:$I, 0)), "")</f>
        <v>0</v>
      </c>
      <c r="F298" s="2">
        <f>IFERROR(INDEX(البيانات_الأساسية!E:E, MATCH(286, البيانات_الأساسية!$I:$I, 0)), "")</f>
        <v>0</v>
      </c>
      <c r="G298" s="2">
        <f>IFERROR(INDEX(البيانات_الأساسية!F:F, MATCH(286, البيانات_الأساسية!$I:$I, 0)), "")</f>
        <v>0</v>
      </c>
      <c r="H298" s="2">
        <f>IFERROR(INDEX(البيانات_الأساسية!G:G, MATCH(286, البيانات_الأساسية!$I:$I, 0)), "")</f>
        <v>0</v>
      </c>
    </row>
    <row r="299" spans="2:8" s="3" customFormat="1" ht="20" customHeight="1">
      <c r="B299" s="2">
        <f>IFERROR(INDEX(البيانات_الأساسية!A:A, MATCH(287, البيانات_الأساسية!$I:$I, 0)), "")</f>
        <v>0</v>
      </c>
      <c r="C299" s="2">
        <f>IFERROR(INDEX(البيانات_الأساسية!B:B, MATCH(287, البيانات_الأساسية!$I:$I, 0)), "")</f>
        <v>0</v>
      </c>
      <c r="D299" s="2">
        <f>IFERROR(INDEX(البيانات_الأساسية!C:C, MATCH(287, البيانات_الأساسية!$I:$I, 0)), "")</f>
        <v>0</v>
      </c>
      <c r="E299" s="2">
        <f>IFERROR(INDEX(البيانات_الأساسية!D:D, MATCH(287, البيانات_الأساسية!$I:$I, 0)), "")</f>
        <v>0</v>
      </c>
      <c r="F299" s="2">
        <f>IFERROR(INDEX(البيانات_الأساسية!E:E, MATCH(287, البيانات_الأساسية!$I:$I, 0)), "")</f>
        <v>0</v>
      </c>
      <c r="G299" s="2">
        <f>IFERROR(INDEX(البيانات_الأساسية!F:F, MATCH(287, البيانات_الأساسية!$I:$I, 0)), "")</f>
        <v>0</v>
      </c>
      <c r="H299" s="2">
        <f>IFERROR(INDEX(البيانات_الأساسية!G:G, MATCH(287, البيانات_الأساسية!$I:$I, 0)), "")</f>
        <v>0</v>
      </c>
    </row>
    <row r="300" spans="2:8" s="3" customFormat="1" ht="20" customHeight="1">
      <c r="B300" s="2">
        <f>IFERROR(INDEX(البيانات_الأساسية!A:A, MATCH(288, البيانات_الأساسية!$I:$I, 0)), "")</f>
        <v>0</v>
      </c>
      <c r="C300" s="2">
        <f>IFERROR(INDEX(البيانات_الأساسية!B:B, MATCH(288, البيانات_الأساسية!$I:$I, 0)), "")</f>
        <v>0</v>
      </c>
      <c r="D300" s="2">
        <f>IFERROR(INDEX(البيانات_الأساسية!C:C, MATCH(288, البيانات_الأساسية!$I:$I, 0)), "")</f>
        <v>0</v>
      </c>
      <c r="E300" s="2">
        <f>IFERROR(INDEX(البيانات_الأساسية!D:D, MATCH(288, البيانات_الأساسية!$I:$I, 0)), "")</f>
        <v>0</v>
      </c>
      <c r="F300" s="2">
        <f>IFERROR(INDEX(البيانات_الأساسية!E:E, MATCH(288, البيانات_الأساسية!$I:$I, 0)), "")</f>
        <v>0</v>
      </c>
      <c r="G300" s="2">
        <f>IFERROR(INDEX(البيانات_الأساسية!F:F, MATCH(288, البيانات_الأساسية!$I:$I, 0)), "")</f>
        <v>0</v>
      </c>
      <c r="H300" s="2">
        <f>IFERROR(INDEX(البيانات_الأساسية!G:G, MATCH(288, البيانات_الأساسية!$I:$I, 0)), "")</f>
        <v>0</v>
      </c>
    </row>
    <row r="301" spans="2:8" s="3" customFormat="1" ht="20" customHeight="1">
      <c r="B301" s="2">
        <f>IFERROR(INDEX(البيانات_الأساسية!A:A, MATCH(289, البيانات_الأساسية!$I:$I, 0)), "")</f>
        <v>0</v>
      </c>
      <c r="C301" s="2">
        <f>IFERROR(INDEX(البيانات_الأساسية!B:B, MATCH(289, البيانات_الأساسية!$I:$I, 0)), "")</f>
        <v>0</v>
      </c>
      <c r="D301" s="2">
        <f>IFERROR(INDEX(البيانات_الأساسية!C:C, MATCH(289, البيانات_الأساسية!$I:$I, 0)), "")</f>
        <v>0</v>
      </c>
      <c r="E301" s="2">
        <f>IFERROR(INDEX(البيانات_الأساسية!D:D, MATCH(289, البيانات_الأساسية!$I:$I, 0)), "")</f>
        <v>0</v>
      </c>
      <c r="F301" s="2">
        <f>IFERROR(INDEX(البيانات_الأساسية!E:E, MATCH(289, البيانات_الأساسية!$I:$I, 0)), "")</f>
        <v>0</v>
      </c>
      <c r="G301" s="2">
        <f>IFERROR(INDEX(البيانات_الأساسية!F:F, MATCH(289, البيانات_الأساسية!$I:$I, 0)), "")</f>
        <v>0</v>
      </c>
      <c r="H301" s="2">
        <f>IFERROR(INDEX(البيانات_الأساسية!G:G, MATCH(289, البيانات_الأساسية!$I:$I, 0)), "")</f>
        <v>0</v>
      </c>
    </row>
    <row r="302" spans="2:8" s="3" customFormat="1" ht="20" customHeight="1">
      <c r="B302" s="2">
        <f>IFERROR(INDEX(البيانات_الأساسية!A:A, MATCH(290, البيانات_الأساسية!$I:$I, 0)), "")</f>
        <v>0</v>
      </c>
      <c r="C302" s="2">
        <f>IFERROR(INDEX(البيانات_الأساسية!B:B, MATCH(290, البيانات_الأساسية!$I:$I, 0)), "")</f>
        <v>0</v>
      </c>
      <c r="D302" s="2">
        <f>IFERROR(INDEX(البيانات_الأساسية!C:C, MATCH(290, البيانات_الأساسية!$I:$I, 0)), "")</f>
        <v>0</v>
      </c>
      <c r="E302" s="2">
        <f>IFERROR(INDEX(البيانات_الأساسية!D:D, MATCH(290, البيانات_الأساسية!$I:$I, 0)), "")</f>
        <v>0</v>
      </c>
      <c r="F302" s="2">
        <f>IFERROR(INDEX(البيانات_الأساسية!E:E, MATCH(290, البيانات_الأساسية!$I:$I, 0)), "")</f>
        <v>0</v>
      </c>
      <c r="G302" s="2">
        <f>IFERROR(INDEX(البيانات_الأساسية!F:F, MATCH(290, البيانات_الأساسية!$I:$I, 0)), "")</f>
        <v>0</v>
      </c>
      <c r="H302" s="2">
        <f>IFERROR(INDEX(البيانات_الأساسية!G:G, MATCH(290, البيانات_الأساسية!$I:$I, 0)), "")</f>
        <v>0</v>
      </c>
    </row>
    <row r="303" spans="2:8" s="3" customFormat="1" ht="20" customHeight="1">
      <c r="B303" s="2">
        <f>IFERROR(INDEX(البيانات_الأساسية!A:A, MATCH(291, البيانات_الأساسية!$I:$I, 0)), "")</f>
        <v>0</v>
      </c>
      <c r="C303" s="2">
        <f>IFERROR(INDEX(البيانات_الأساسية!B:B, MATCH(291, البيانات_الأساسية!$I:$I, 0)), "")</f>
        <v>0</v>
      </c>
      <c r="D303" s="2">
        <f>IFERROR(INDEX(البيانات_الأساسية!C:C, MATCH(291, البيانات_الأساسية!$I:$I, 0)), "")</f>
        <v>0</v>
      </c>
      <c r="E303" s="2">
        <f>IFERROR(INDEX(البيانات_الأساسية!D:D, MATCH(291, البيانات_الأساسية!$I:$I, 0)), "")</f>
        <v>0</v>
      </c>
      <c r="F303" s="2">
        <f>IFERROR(INDEX(البيانات_الأساسية!E:E, MATCH(291, البيانات_الأساسية!$I:$I, 0)), "")</f>
        <v>0</v>
      </c>
      <c r="G303" s="2">
        <f>IFERROR(INDEX(البيانات_الأساسية!F:F, MATCH(291, البيانات_الأساسية!$I:$I, 0)), "")</f>
        <v>0</v>
      </c>
      <c r="H303" s="2">
        <f>IFERROR(INDEX(البيانات_الأساسية!G:G, MATCH(291, البيانات_الأساسية!$I:$I, 0)), "")</f>
        <v>0</v>
      </c>
    </row>
    <row r="304" spans="2:8" s="3" customFormat="1" ht="20" customHeight="1">
      <c r="B304" s="2">
        <f>IFERROR(INDEX(البيانات_الأساسية!A:A, MATCH(292, البيانات_الأساسية!$I:$I, 0)), "")</f>
        <v>0</v>
      </c>
      <c r="C304" s="2">
        <f>IFERROR(INDEX(البيانات_الأساسية!B:B, MATCH(292, البيانات_الأساسية!$I:$I, 0)), "")</f>
        <v>0</v>
      </c>
      <c r="D304" s="2">
        <f>IFERROR(INDEX(البيانات_الأساسية!C:C, MATCH(292, البيانات_الأساسية!$I:$I, 0)), "")</f>
        <v>0</v>
      </c>
      <c r="E304" s="2">
        <f>IFERROR(INDEX(البيانات_الأساسية!D:D, MATCH(292, البيانات_الأساسية!$I:$I, 0)), "")</f>
        <v>0</v>
      </c>
      <c r="F304" s="2">
        <f>IFERROR(INDEX(البيانات_الأساسية!E:E, MATCH(292, البيانات_الأساسية!$I:$I, 0)), "")</f>
        <v>0</v>
      </c>
      <c r="G304" s="2">
        <f>IFERROR(INDEX(البيانات_الأساسية!F:F, MATCH(292, البيانات_الأساسية!$I:$I, 0)), "")</f>
        <v>0</v>
      </c>
      <c r="H304" s="2">
        <f>IFERROR(INDEX(البيانات_الأساسية!G:G, MATCH(292, البيانات_الأساسية!$I:$I, 0)), "")</f>
        <v>0</v>
      </c>
    </row>
    <row r="305" spans="2:8" s="3" customFormat="1" ht="20" customHeight="1">
      <c r="B305" s="2">
        <f>IFERROR(INDEX(البيانات_الأساسية!A:A, MATCH(293, البيانات_الأساسية!$I:$I, 0)), "")</f>
        <v>0</v>
      </c>
      <c r="C305" s="2">
        <f>IFERROR(INDEX(البيانات_الأساسية!B:B, MATCH(293, البيانات_الأساسية!$I:$I, 0)), "")</f>
        <v>0</v>
      </c>
      <c r="D305" s="2">
        <f>IFERROR(INDEX(البيانات_الأساسية!C:C, MATCH(293, البيانات_الأساسية!$I:$I, 0)), "")</f>
        <v>0</v>
      </c>
      <c r="E305" s="2">
        <f>IFERROR(INDEX(البيانات_الأساسية!D:D, MATCH(293, البيانات_الأساسية!$I:$I, 0)), "")</f>
        <v>0</v>
      </c>
      <c r="F305" s="2">
        <f>IFERROR(INDEX(البيانات_الأساسية!E:E, MATCH(293, البيانات_الأساسية!$I:$I, 0)), "")</f>
        <v>0</v>
      </c>
      <c r="G305" s="2">
        <f>IFERROR(INDEX(البيانات_الأساسية!F:F, MATCH(293, البيانات_الأساسية!$I:$I, 0)), "")</f>
        <v>0</v>
      </c>
      <c r="H305" s="2">
        <f>IFERROR(INDEX(البيانات_الأساسية!G:G, MATCH(293, البيانات_الأساسية!$I:$I, 0)), "")</f>
        <v>0</v>
      </c>
    </row>
    <row r="306" spans="2:8" s="3" customFormat="1" ht="20" customHeight="1">
      <c r="B306" s="2">
        <f>IFERROR(INDEX(البيانات_الأساسية!A:A, MATCH(294, البيانات_الأساسية!$I:$I, 0)), "")</f>
        <v>0</v>
      </c>
      <c r="C306" s="2">
        <f>IFERROR(INDEX(البيانات_الأساسية!B:B, MATCH(294, البيانات_الأساسية!$I:$I, 0)), "")</f>
        <v>0</v>
      </c>
      <c r="D306" s="2">
        <f>IFERROR(INDEX(البيانات_الأساسية!C:C, MATCH(294, البيانات_الأساسية!$I:$I, 0)), "")</f>
        <v>0</v>
      </c>
      <c r="E306" s="2">
        <f>IFERROR(INDEX(البيانات_الأساسية!D:D, MATCH(294, البيانات_الأساسية!$I:$I, 0)), "")</f>
        <v>0</v>
      </c>
      <c r="F306" s="2">
        <f>IFERROR(INDEX(البيانات_الأساسية!E:E, MATCH(294, البيانات_الأساسية!$I:$I, 0)), "")</f>
        <v>0</v>
      </c>
      <c r="G306" s="2">
        <f>IFERROR(INDEX(البيانات_الأساسية!F:F, MATCH(294, البيانات_الأساسية!$I:$I, 0)), "")</f>
        <v>0</v>
      </c>
      <c r="H306" s="2">
        <f>IFERROR(INDEX(البيانات_الأساسية!G:G, MATCH(294, البيانات_الأساسية!$I:$I, 0)), "")</f>
        <v>0</v>
      </c>
    </row>
    <row r="307" spans="2:8" s="3" customFormat="1" ht="20" customHeight="1">
      <c r="B307" s="2">
        <f>IFERROR(INDEX(البيانات_الأساسية!A:A, MATCH(295, البيانات_الأساسية!$I:$I, 0)), "")</f>
        <v>0</v>
      </c>
      <c r="C307" s="2">
        <f>IFERROR(INDEX(البيانات_الأساسية!B:B, MATCH(295, البيانات_الأساسية!$I:$I, 0)), "")</f>
        <v>0</v>
      </c>
      <c r="D307" s="2">
        <f>IFERROR(INDEX(البيانات_الأساسية!C:C, MATCH(295, البيانات_الأساسية!$I:$I, 0)), "")</f>
        <v>0</v>
      </c>
      <c r="E307" s="2">
        <f>IFERROR(INDEX(البيانات_الأساسية!D:D, MATCH(295, البيانات_الأساسية!$I:$I, 0)), "")</f>
        <v>0</v>
      </c>
      <c r="F307" s="2">
        <f>IFERROR(INDEX(البيانات_الأساسية!E:E, MATCH(295, البيانات_الأساسية!$I:$I, 0)), "")</f>
        <v>0</v>
      </c>
      <c r="G307" s="2">
        <f>IFERROR(INDEX(البيانات_الأساسية!F:F, MATCH(295, البيانات_الأساسية!$I:$I, 0)), "")</f>
        <v>0</v>
      </c>
      <c r="H307" s="2">
        <f>IFERROR(INDEX(البيانات_الأساسية!G:G, MATCH(295, البيانات_الأساسية!$I:$I, 0)), "")</f>
        <v>0</v>
      </c>
    </row>
    <row r="308" spans="2:8" s="3" customFormat="1" ht="20" customHeight="1">
      <c r="B308" s="2">
        <f>IFERROR(INDEX(البيانات_الأساسية!A:A, MATCH(296, البيانات_الأساسية!$I:$I, 0)), "")</f>
        <v>0</v>
      </c>
      <c r="C308" s="2">
        <f>IFERROR(INDEX(البيانات_الأساسية!B:B, MATCH(296, البيانات_الأساسية!$I:$I, 0)), "")</f>
        <v>0</v>
      </c>
      <c r="D308" s="2">
        <f>IFERROR(INDEX(البيانات_الأساسية!C:C, MATCH(296, البيانات_الأساسية!$I:$I, 0)), "")</f>
        <v>0</v>
      </c>
      <c r="E308" s="2">
        <f>IFERROR(INDEX(البيانات_الأساسية!D:D, MATCH(296, البيانات_الأساسية!$I:$I, 0)), "")</f>
        <v>0</v>
      </c>
      <c r="F308" s="2">
        <f>IFERROR(INDEX(البيانات_الأساسية!E:E, MATCH(296, البيانات_الأساسية!$I:$I, 0)), "")</f>
        <v>0</v>
      </c>
      <c r="G308" s="2">
        <f>IFERROR(INDEX(البيانات_الأساسية!F:F, MATCH(296, البيانات_الأساسية!$I:$I, 0)), "")</f>
        <v>0</v>
      </c>
      <c r="H308" s="2">
        <f>IFERROR(INDEX(البيانات_الأساسية!G:G, MATCH(296, البيانات_الأساسية!$I:$I, 0)), "")</f>
        <v>0</v>
      </c>
    </row>
    <row r="309" spans="2:8" s="3" customFormat="1" ht="20" customHeight="1">
      <c r="B309" s="2">
        <f>IFERROR(INDEX(البيانات_الأساسية!A:A, MATCH(297, البيانات_الأساسية!$I:$I, 0)), "")</f>
        <v>0</v>
      </c>
      <c r="C309" s="2">
        <f>IFERROR(INDEX(البيانات_الأساسية!B:B, MATCH(297, البيانات_الأساسية!$I:$I, 0)), "")</f>
        <v>0</v>
      </c>
      <c r="D309" s="2">
        <f>IFERROR(INDEX(البيانات_الأساسية!C:C, MATCH(297, البيانات_الأساسية!$I:$I, 0)), "")</f>
        <v>0</v>
      </c>
      <c r="E309" s="2">
        <f>IFERROR(INDEX(البيانات_الأساسية!D:D, MATCH(297, البيانات_الأساسية!$I:$I, 0)), "")</f>
        <v>0</v>
      </c>
      <c r="F309" s="2">
        <f>IFERROR(INDEX(البيانات_الأساسية!E:E, MATCH(297, البيانات_الأساسية!$I:$I, 0)), "")</f>
        <v>0</v>
      </c>
      <c r="G309" s="2">
        <f>IFERROR(INDEX(البيانات_الأساسية!F:F, MATCH(297, البيانات_الأساسية!$I:$I, 0)), "")</f>
        <v>0</v>
      </c>
      <c r="H309" s="2">
        <f>IFERROR(INDEX(البيانات_الأساسية!G:G, MATCH(297, البيانات_الأساسية!$I:$I, 0)), "")</f>
        <v>0</v>
      </c>
    </row>
    <row r="310" spans="2:8" s="3" customFormat="1" ht="20" customHeight="1">
      <c r="B310" s="2">
        <f>IFERROR(INDEX(البيانات_الأساسية!A:A, MATCH(298, البيانات_الأساسية!$I:$I, 0)), "")</f>
        <v>0</v>
      </c>
      <c r="C310" s="2">
        <f>IFERROR(INDEX(البيانات_الأساسية!B:B, MATCH(298, البيانات_الأساسية!$I:$I, 0)), "")</f>
        <v>0</v>
      </c>
      <c r="D310" s="2">
        <f>IFERROR(INDEX(البيانات_الأساسية!C:C, MATCH(298, البيانات_الأساسية!$I:$I, 0)), "")</f>
        <v>0</v>
      </c>
      <c r="E310" s="2">
        <f>IFERROR(INDEX(البيانات_الأساسية!D:D, MATCH(298, البيانات_الأساسية!$I:$I, 0)), "")</f>
        <v>0</v>
      </c>
      <c r="F310" s="2">
        <f>IFERROR(INDEX(البيانات_الأساسية!E:E, MATCH(298, البيانات_الأساسية!$I:$I, 0)), "")</f>
        <v>0</v>
      </c>
      <c r="G310" s="2">
        <f>IFERROR(INDEX(البيانات_الأساسية!F:F, MATCH(298, البيانات_الأساسية!$I:$I, 0)), "")</f>
        <v>0</v>
      </c>
      <c r="H310" s="2">
        <f>IFERROR(INDEX(البيانات_الأساسية!G:G, MATCH(298, البيانات_الأساسية!$I:$I, 0)), "")</f>
        <v>0</v>
      </c>
    </row>
    <row r="311" spans="2:8" s="3" customFormat="1" ht="20" customHeight="1">
      <c r="B311" s="2">
        <f>IFERROR(INDEX(البيانات_الأساسية!A:A, MATCH(299, البيانات_الأساسية!$I:$I, 0)), "")</f>
        <v>0</v>
      </c>
      <c r="C311" s="2">
        <f>IFERROR(INDEX(البيانات_الأساسية!B:B, MATCH(299, البيانات_الأساسية!$I:$I, 0)), "")</f>
        <v>0</v>
      </c>
      <c r="D311" s="2">
        <f>IFERROR(INDEX(البيانات_الأساسية!C:C, MATCH(299, البيانات_الأساسية!$I:$I, 0)), "")</f>
        <v>0</v>
      </c>
      <c r="E311" s="2">
        <f>IFERROR(INDEX(البيانات_الأساسية!D:D, MATCH(299, البيانات_الأساسية!$I:$I, 0)), "")</f>
        <v>0</v>
      </c>
      <c r="F311" s="2">
        <f>IFERROR(INDEX(البيانات_الأساسية!E:E, MATCH(299, البيانات_الأساسية!$I:$I, 0)), "")</f>
        <v>0</v>
      </c>
      <c r="G311" s="2">
        <f>IFERROR(INDEX(البيانات_الأساسية!F:F, MATCH(299, البيانات_الأساسية!$I:$I, 0)), "")</f>
        <v>0</v>
      </c>
      <c r="H311" s="2">
        <f>IFERROR(INDEX(البيانات_الأساسية!G:G, MATCH(299, البيانات_الأساسية!$I:$I, 0)), "")</f>
        <v>0</v>
      </c>
    </row>
    <row r="312" spans="2:8" s="3" customFormat="1" ht="20" customHeight="1">
      <c r="B312" s="2">
        <f>IFERROR(INDEX(البيانات_الأساسية!A:A, MATCH(300, البيانات_الأساسية!$I:$I, 0)), "")</f>
        <v>0</v>
      </c>
      <c r="C312" s="2">
        <f>IFERROR(INDEX(البيانات_الأساسية!B:B, MATCH(300, البيانات_الأساسية!$I:$I, 0)), "")</f>
        <v>0</v>
      </c>
      <c r="D312" s="2">
        <f>IFERROR(INDEX(البيانات_الأساسية!C:C, MATCH(300, البيانات_الأساسية!$I:$I, 0)), "")</f>
        <v>0</v>
      </c>
      <c r="E312" s="2">
        <f>IFERROR(INDEX(البيانات_الأساسية!D:D, MATCH(300, البيانات_الأساسية!$I:$I, 0)), "")</f>
        <v>0</v>
      </c>
      <c r="F312" s="2">
        <f>IFERROR(INDEX(البيانات_الأساسية!E:E, MATCH(300, البيانات_الأساسية!$I:$I, 0)), "")</f>
        <v>0</v>
      </c>
      <c r="G312" s="2">
        <f>IFERROR(INDEX(البيانات_الأساسية!F:F, MATCH(300, البيانات_الأساسية!$I:$I, 0)), "")</f>
        <v>0</v>
      </c>
      <c r="H312" s="2">
        <f>IFERROR(INDEX(البيانات_الأساسية!G:G, MATCH(300, البيانات_الأساسية!$I:$I, 0)), "")</f>
        <v>0</v>
      </c>
    </row>
    <row r="313" spans="2:8" s="3" customFormat="1" ht="20" customHeight="1">
      <c r="B313" s="2">
        <f>IFERROR(INDEX(البيانات_الأساسية!A:A, MATCH(301, البيانات_الأساسية!$I:$I, 0)), "")</f>
        <v>0</v>
      </c>
      <c r="C313" s="2">
        <f>IFERROR(INDEX(البيانات_الأساسية!B:B, MATCH(301, البيانات_الأساسية!$I:$I, 0)), "")</f>
        <v>0</v>
      </c>
      <c r="D313" s="2">
        <f>IFERROR(INDEX(البيانات_الأساسية!C:C, MATCH(301, البيانات_الأساسية!$I:$I, 0)), "")</f>
        <v>0</v>
      </c>
      <c r="E313" s="2">
        <f>IFERROR(INDEX(البيانات_الأساسية!D:D, MATCH(301, البيانات_الأساسية!$I:$I, 0)), "")</f>
        <v>0</v>
      </c>
      <c r="F313" s="2">
        <f>IFERROR(INDEX(البيانات_الأساسية!E:E, MATCH(301, البيانات_الأساسية!$I:$I, 0)), "")</f>
        <v>0</v>
      </c>
      <c r="G313" s="2">
        <f>IFERROR(INDEX(البيانات_الأساسية!F:F, MATCH(301, البيانات_الأساسية!$I:$I, 0)), "")</f>
        <v>0</v>
      </c>
      <c r="H313" s="2">
        <f>IFERROR(INDEX(البيانات_الأساسية!G:G, MATCH(301, البيانات_الأساسية!$I:$I, 0)), "")</f>
        <v>0</v>
      </c>
    </row>
    <row r="314" spans="2:8" s="3" customFormat="1" ht="20" customHeight="1">
      <c r="B314" s="2">
        <f>IFERROR(INDEX(البيانات_الأساسية!A:A, MATCH(302, البيانات_الأساسية!$I:$I, 0)), "")</f>
        <v>0</v>
      </c>
      <c r="C314" s="2">
        <f>IFERROR(INDEX(البيانات_الأساسية!B:B, MATCH(302, البيانات_الأساسية!$I:$I, 0)), "")</f>
        <v>0</v>
      </c>
      <c r="D314" s="2">
        <f>IFERROR(INDEX(البيانات_الأساسية!C:C, MATCH(302, البيانات_الأساسية!$I:$I, 0)), "")</f>
        <v>0</v>
      </c>
      <c r="E314" s="2">
        <f>IFERROR(INDEX(البيانات_الأساسية!D:D, MATCH(302, البيانات_الأساسية!$I:$I, 0)), "")</f>
        <v>0</v>
      </c>
      <c r="F314" s="2">
        <f>IFERROR(INDEX(البيانات_الأساسية!E:E, MATCH(302, البيانات_الأساسية!$I:$I, 0)), "")</f>
        <v>0</v>
      </c>
      <c r="G314" s="2">
        <f>IFERROR(INDEX(البيانات_الأساسية!F:F, MATCH(302, البيانات_الأساسية!$I:$I, 0)), "")</f>
        <v>0</v>
      </c>
      <c r="H314" s="2">
        <f>IFERROR(INDEX(البيانات_الأساسية!G:G, MATCH(302, البيانات_الأساسية!$I:$I, 0)), "")</f>
        <v>0</v>
      </c>
    </row>
    <row r="315" spans="2:8" s="3" customFormat="1" ht="20" customHeight="1">
      <c r="B315" s="2">
        <f>IFERROR(INDEX(البيانات_الأساسية!A:A, MATCH(303, البيانات_الأساسية!$I:$I, 0)), "")</f>
        <v>0</v>
      </c>
      <c r="C315" s="2">
        <f>IFERROR(INDEX(البيانات_الأساسية!B:B, MATCH(303, البيانات_الأساسية!$I:$I, 0)), "")</f>
        <v>0</v>
      </c>
      <c r="D315" s="2">
        <f>IFERROR(INDEX(البيانات_الأساسية!C:C, MATCH(303, البيانات_الأساسية!$I:$I, 0)), "")</f>
        <v>0</v>
      </c>
      <c r="E315" s="2">
        <f>IFERROR(INDEX(البيانات_الأساسية!D:D, MATCH(303, البيانات_الأساسية!$I:$I, 0)), "")</f>
        <v>0</v>
      </c>
      <c r="F315" s="2">
        <f>IFERROR(INDEX(البيانات_الأساسية!E:E, MATCH(303, البيانات_الأساسية!$I:$I, 0)), "")</f>
        <v>0</v>
      </c>
      <c r="G315" s="2">
        <f>IFERROR(INDEX(البيانات_الأساسية!F:F, MATCH(303, البيانات_الأساسية!$I:$I, 0)), "")</f>
        <v>0</v>
      </c>
      <c r="H315" s="2">
        <f>IFERROR(INDEX(البيانات_الأساسية!G:G, MATCH(303, البيانات_الأساسية!$I:$I, 0)), "")</f>
        <v>0</v>
      </c>
    </row>
    <row r="316" spans="2:8" s="3" customFormat="1" ht="20" customHeight="1">
      <c r="B316" s="2">
        <f>IFERROR(INDEX(البيانات_الأساسية!A:A, MATCH(304, البيانات_الأساسية!$I:$I, 0)), "")</f>
        <v>0</v>
      </c>
      <c r="C316" s="2">
        <f>IFERROR(INDEX(البيانات_الأساسية!B:B, MATCH(304, البيانات_الأساسية!$I:$I, 0)), "")</f>
        <v>0</v>
      </c>
      <c r="D316" s="2">
        <f>IFERROR(INDEX(البيانات_الأساسية!C:C, MATCH(304, البيانات_الأساسية!$I:$I, 0)), "")</f>
        <v>0</v>
      </c>
      <c r="E316" s="2">
        <f>IFERROR(INDEX(البيانات_الأساسية!D:D, MATCH(304, البيانات_الأساسية!$I:$I, 0)), "")</f>
        <v>0</v>
      </c>
      <c r="F316" s="2">
        <f>IFERROR(INDEX(البيانات_الأساسية!E:E, MATCH(304, البيانات_الأساسية!$I:$I, 0)), "")</f>
        <v>0</v>
      </c>
      <c r="G316" s="2">
        <f>IFERROR(INDEX(البيانات_الأساسية!F:F, MATCH(304, البيانات_الأساسية!$I:$I, 0)), "")</f>
        <v>0</v>
      </c>
      <c r="H316" s="2">
        <f>IFERROR(INDEX(البيانات_الأساسية!G:G, MATCH(304, البيانات_الأساسية!$I:$I, 0)), "")</f>
        <v>0</v>
      </c>
    </row>
    <row r="317" spans="2:8" s="3" customFormat="1" ht="20" customHeight="1">
      <c r="B317" s="2">
        <f>IFERROR(INDEX(البيانات_الأساسية!A:A, MATCH(305, البيانات_الأساسية!$I:$I, 0)), "")</f>
        <v>0</v>
      </c>
      <c r="C317" s="2">
        <f>IFERROR(INDEX(البيانات_الأساسية!B:B, MATCH(305, البيانات_الأساسية!$I:$I, 0)), "")</f>
        <v>0</v>
      </c>
      <c r="D317" s="2">
        <f>IFERROR(INDEX(البيانات_الأساسية!C:C, MATCH(305, البيانات_الأساسية!$I:$I, 0)), "")</f>
        <v>0</v>
      </c>
      <c r="E317" s="2">
        <f>IFERROR(INDEX(البيانات_الأساسية!D:D, MATCH(305, البيانات_الأساسية!$I:$I, 0)), "")</f>
        <v>0</v>
      </c>
      <c r="F317" s="2">
        <f>IFERROR(INDEX(البيانات_الأساسية!E:E, MATCH(305, البيانات_الأساسية!$I:$I, 0)), "")</f>
        <v>0</v>
      </c>
      <c r="G317" s="2">
        <f>IFERROR(INDEX(البيانات_الأساسية!F:F, MATCH(305, البيانات_الأساسية!$I:$I, 0)), "")</f>
        <v>0</v>
      </c>
      <c r="H317" s="2">
        <f>IFERROR(INDEX(البيانات_الأساسية!G:G, MATCH(305, البيانات_الأساسية!$I:$I, 0)), "")</f>
        <v>0</v>
      </c>
    </row>
    <row r="318" spans="2:8" s="3" customFormat="1" ht="20" customHeight="1">
      <c r="B318" s="2">
        <f>IFERROR(INDEX(البيانات_الأساسية!A:A, MATCH(306, البيانات_الأساسية!$I:$I, 0)), "")</f>
        <v>0</v>
      </c>
      <c r="C318" s="2">
        <f>IFERROR(INDEX(البيانات_الأساسية!B:B, MATCH(306, البيانات_الأساسية!$I:$I, 0)), "")</f>
        <v>0</v>
      </c>
      <c r="D318" s="2">
        <f>IFERROR(INDEX(البيانات_الأساسية!C:C, MATCH(306, البيانات_الأساسية!$I:$I, 0)), "")</f>
        <v>0</v>
      </c>
      <c r="E318" s="2">
        <f>IFERROR(INDEX(البيانات_الأساسية!D:D, MATCH(306, البيانات_الأساسية!$I:$I, 0)), "")</f>
        <v>0</v>
      </c>
      <c r="F318" s="2">
        <f>IFERROR(INDEX(البيانات_الأساسية!E:E, MATCH(306, البيانات_الأساسية!$I:$I, 0)), "")</f>
        <v>0</v>
      </c>
      <c r="G318" s="2">
        <f>IFERROR(INDEX(البيانات_الأساسية!F:F, MATCH(306, البيانات_الأساسية!$I:$I, 0)), "")</f>
        <v>0</v>
      </c>
      <c r="H318" s="2">
        <f>IFERROR(INDEX(البيانات_الأساسية!G:G, MATCH(306, البيانات_الأساسية!$I:$I, 0)), "")</f>
        <v>0</v>
      </c>
    </row>
    <row r="319" spans="2:8" s="3" customFormat="1" ht="20" customHeight="1">
      <c r="B319" s="2">
        <f>IFERROR(INDEX(البيانات_الأساسية!A:A, MATCH(307, البيانات_الأساسية!$I:$I, 0)), "")</f>
        <v>0</v>
      </c>
      <c r="C319" s="2">
        <f>IFERROR(INDEX(البيانات_الأساسية!B:B, MATCH(307, البيانات_الأساسية!$I:$I, 0)), "")</f>
        <v>0</v>
      </c>
      <c r="D319" s="2">
        <f>IFERROR(INDEX(البيانات_الأساسية!C:C, MATCH(307, البيانات_الأساسية!$I:$I, 0)), "")</f>
        <v>0</v>
      </c>
      <c r="E319" s="2">
        <f>IFERROR(INDEX(البيانات_الأساسية!D:D, MATCH(307, البيانات_الأساسية!$I:$I, 0)), "")</f>
        <v>0</v>
      </c>
      <c r="F319" s="2">
        <f>IFERROR(INDEX(البيانات_الأساسية!E:E, MATCH(307, البيانات_الأساسية!$I:$I, 0)), "")</f>
        <v>0</v>
      </c>
      <c r="G319" s="2">
        <f>IFERROR(INDEX(البيانات_الأساسية!F:F, MATCH(307, البيانات_الأساسية!$I:$I, 0)), "")</f>
        <v>0</v>
      </c>
      <c r="H319" s="2">
        <f>IFERROR(INDEX(البيانات_الأساسية!G:G, MATCH(307, البيانات_الأساسية!$I:$I, 0)), "")</f>
        <v>0</v>
      </c>
    </row>
    <row r="320" spans="2:8" s="3" customFormat="1" ht="20" customHeight="1">
      <c r="B320" s="2">
        <f>IFERROR(INDEX(البيانات_الأساسية!A:A, MATCH(308, البيانات_الأساسية!$I:$I, 0)), "")</f>
        <v>0</v>
      </c>
      <c r="C320" s="2">
        <f>IFERROR(INDEX(البيانات_الأساسية!B:B, MATCH(308, البيانات_الأساسية!$I:$I, 0)), "")</f>
        <v>0</v>
      </c>
      <c r="D320" s="2">
        <f>IFERROR(INDEX(البيانات_الأساسية!C:C, MATCH(308, البيانات_الأساسية!$I:$I, 0)), "")</f>
        <v>0</v>
      </c>
      <c r="E320" s="2">
        <f>IFERROR(INDEX(البيانات_الأساسية!D:D, MATCH(308, البيانات_الأساسية!$I:$I, 0)), "")</f>
        <v>0</v>
      </c>
      <c r="F320" s="2">
        <f>IFERROR(INDEX(البيانات_الأساسية!E:E, MATCH(308, البيانات_الأساسية!$I:$I, 0)), "")</f>
        <v>0</v>
      </c>
      <c r="G320" s="2">
        <f>IFERROR(INDEX(البيانات_الأساسية!F:F, MATCH(308, البيانات_الأساسية!$I:$I, 0)), "")</f>
        <v>0</v>
      </c>
      <c r="H320" s="2">
        <f>IFERROR(INDEX(البيانات_الأساسية!G:G, MATCH(308, البيانات_الأساسية!$I:$I, 0)), "")</f>
        <v>0</v>
      </c>
    </row>
    <row r="321" spans="2:8" s="3" customFormat="1" ht="20" customHeight="1">
      <c r="B321" s="2">
        <f>IFERROR(INDEX(البيانات_الأساسية!A:A, MATCH(309, البيانات_الأساسية!$I:$I, 0)), "")</f>
        <v>0</v>
      </c>
      <c r="C321" s="2">
        <f>IFERROR(INDEX(البيانات_الأساسية!B:B, MATCH(309, البيانات_الأساسية!$I:$I, 0)), "")</f>
        <v>0</v>
      </c>
      <c r="D321" s="2">
        <f>IFERROR(INDEX(البيانات_الأساسية!C:C, MATCH(309, البيانات_الأساسية!$I:$I, 0)), "")</f>
        <v>0</v>
      </c>
      <c r="E321" s="2">
        <f>IFERROR(INDEX(البيانات_الأساسية!D:D, MATCH(309, البيانات_الأساسية!$I:$I, 0)), "")</f>
        <v>0</v>
      </c>
      <c r="F321" s="2">
        <f>IFERROR(INDEX(البيانات_الأساسية!E:E, MATCH(309, البيانات_الأساسية!$I:$I, 0)), "")</f>
        <v>0</v>
      </c>
      <c r="G321" s="2">
        <f>IFERROR(INDEX(البيانات_الأساسية!F:F, MATCH(309, البيانات_الأساسية!$I:$I, 0)), "")</f>
        <v>0</v>
      </c>
      <c r="H321" s="2">
        <f>IFERROR(INDEX(البيانات_الأساسية!G:G, MATCH(309, البيانات_الأساسية!$I:$I, 0)), "")</f>
        <v>0</v>
      </c>
    </row>
    <row r="322" spans="2:8" s="3" customFormat="1" ht="20" customHeight="1">
      <c r="B322" s="2">
        <f>IFERROR(INDEX(البيانات_الأساسية!A:A, MATCH(310, البيانات_الأساسية!$I:$I, 0)), "")</f>
        <v>0</v>
      </c>
      <c r="C322" s="2">
        <f>IFERROR(INDEX(البيانات_الأساسية!B:B, MATCH(310, البيانات_الأساسية!$I:$I, 0)), "")</f>
        <v>0</v>
      </c>
      <c r="D322" s="2">
        <f>IFERROR(INDEX(البيانات_الأساسية!C:C, MATCH(310, البيانات_الأساسية!$I:$I, 0)), "")</f>
        <v>0</v>
      </c>
      <c r="E322" s="2">
        <f>IFERROR(INDEX(البيانات_الأساسية!D:D, MATCH(310, البيانات_الأساسية!$I:$I, 0)), "")</f>
        <v>0</v>
      </c>
      <c r="F322" s="2">
        <f>IFERROR(INDEX(البيانات_الأساسية!E:E, MATCH(310, البيانات_الأساسية!$I:$I, 0)), "")</f>
        <v>0</v>
      </c>
      <c r="G322" s="2">
        <f>IFERROR(INDEX(البيانات_الأساسية!F:F, MATCH(310, البيانات_الأساسية!$I:$I, 0)), "")</f>
        <v>0</v>
      </c>
      <c r="H322" s="2">
        <f>IFERROR(INDEX(البيانات_الأساسية!G:G, MATCH(310, البيانات_الأساسية!$I:$I, 0)), "")</f>
        <v>0</v>
      </c>
    </row>
    <row r="323" spans="2:8" s="3" customFormat="1" ht="20" customHeight="1">
      <c r="B323" s="2">
        <f>IFERROR(INDEX(البيانات_الأساسية!A:A, MATCH(311, البيانات_الأساسية!$I:$I, 0)), "")</f>
        <v>0</v>
      </c>
      <c r="C323" s="2">
        <f>IFERROR(INDEX(البيانات_الأساسية!B:B, MATCH(311, البيانات_الأساسية!$I:$I, 0)), "")</f>
        <v>0</v>
      </c>
      <c r="D323" s="2">
        <f>IFERROR(INDEX(البيانات_الأساسية!C:C, MATCH(311, البيانات_الأساسية!$I:$I, 0)), "")</f>
        <v>0</v>
      </c>
      <c r="E323" s="2">
        <f>IFERROR(INDEX(البيانات_الأساسية!D:D, MATCH(311, البيانات_الأساسية!$I:$I, 0)), "")</f>
        <v>0</v>
      </c>
      <c r="F323" s="2">
        <f>IFERROR(INDEX(البيانات_الأساسية!E:E, MATCH(311, البيانات_الأساسية!$I:$I, 0)), "")</f>
        <v>0</v>
      </c>
      <c r="G323" s="2">
        <f>IFERROR(INDEX(البيانات_الأساسية!F:F, MATCH(311, البيانات_الأساسية!$I:$I, 0)), "")</f>
        <v>0</v>
      </c>
      <c r="H323" s="2">
        <f>IFERROR(INDEX(البيانات_الأساسية!G:G, MATCH(311, البيانات_الأساسية!$I:$I, 0)), "")</f>
        <v>0</v>
      </c>
    </row>
    <row r="324" spans="2:8" s="3" customFormat="1" ht="20" customHeight="1">
      <c r="B324" s="2">
        <f>IFERROR(INDEX(البيانات_الأساسية!A:A, MATCH(312, البيانات_الأساسية!$I:$I, 0)), "")</f>
        <v>0</v>
      </c>
      <c r="C324" s="2">
        <f>IFERROR(INDEX(البيانات_الأساسية!B:B, MATCH(312, البيانات_الأساسية!$I:$I, 0)), "")</f>
        <v>0</v>
      </c>
      <c r="D324" s="2">
        <f>IFERROR(INDEX(البيانات_الأساسية!C:C, MATCH(312, البيانات_الأساسية!$I:$I, 0)), "")</f>
        <v>0</v>
      </c>
      <c r="E324" s="2">
        <f>IFERROR(INDEX(البيانات_الأساسية!D:D, MATCH(312, البيانات_الأساسية!$I:$I, 0)), "")</f>
        <v>0</v>
      </c>
      <c r="F324" s="2">
        <f>IFERROR(INDEX(البيانات_الأساسية!E:E, MATCH(312, البيانات_الأساسية!$I:$I, 0)), "")</f>
        <v>0</v>
      </c>
      <c r="G324" s="2">
        <f>IFERROR(INDEX(البيانات_الأساسية!F:F, MATCH(312, البيانات_الأساسية!$I:$I, 0)), "")</f>
        <v>0</v>
      </c>
      <c r="H324" s="2">
        <f>IFERROR(INDEX(البيانات_الأساسية!G:G, MATCH(312, البيانات_الأساسية!$I:$I, 0)), "")</f>
        <v>0</v>
      </c>
    </row>
    <row r="325" spans="2:8" s="3" customFormat="1" ht="20" customHeight="1">
      <c r="B325" s="2">
        <f>IFERROR(INDEX(البيانات_الأساسية!A:A, MATCH(313, البيانات_الأساسية!$I:$I, 0)), "")</f>
        <v>0</v>
      </c>
      <c r="C325" s="2">
        <f>IFERROR(INDEX(البيانات_الأساسية!B:B, MATCH(313, البيانات_الأساسية!$I:$I, 0)), "")</f>
        <v>0</v>
      </c>
      <c r="D325" s="2">
        <f>IFERROR(INDEX(البيانات_الأساسية!C:C, MATCH(313, البيانات_الأساسية!$I:$I, 0)), "")</f>
        <v>0</v>
      </c>
      <c r="E325" s="2">
        <f>IFERROR(INDEX(البيانات_الأساسية!D:D, MATCH(313, البيانات_الأساسية!$I:$I, 0)), "")</f>
        <v>0</v>
      </c>
      <c r="F325" s="2">
        <f>IFERROR(INDEX(البيانات_الأساسية!E:E, MATCH(313, البيانات_الأساسية!$I:$I, 0)), "")</f>
        <v>0</v>
      </c>
      <c r="G325" s="2">
        <f>IFERROR(INDEX(البيانات_الأساسية!F:F, MATCH(313, البيانات_الأساسية!$I:$I, 0)), "")</f>
        <v>0</v>
      </c>
      <c r="H325" s="2">
        <f>IFERROR(INDEX(البيانات_الأساسية!G:G, MATCH(313, البيانات_الأساسية!$I:$I, 0)), "")</f>
        <v>0</v>
      </c>
    </row>
    <row r="326" spans="2:8" s="3" customFormat="1" ht="20" customHeight="1">
      <c r="B326" s="2">
        <f>IFERROR(INDEX(البيانات_الأساسية!A:A, MATCH(314, البيانات_الأساسية!$I:$I, 0)), "")</f>
        <v>0</v>
      </c>
      <c r="C326" s="2">
        <f>IFERROR(INDEX(البيانات_الأساسية!B:B, MATCH(314, البيانات_الأساسية!$I:$I, 0)), "")</f>
        <v>0</v>
      </c>
      <c r="D326" s="2">
        <f>IFERROR(INDEX(البيانات_الأساسية!C:C, MATCH(314, البيانات_الأساسية!$I:$I, 0)), "")</f>
        <v>0</v>
      </c>
      <c r="E326" s="2">
        <f>IFERROR(INDEX(البيانات_الأساسية!D:D, MATCH(314, البيانات_الأساسية!$I:$I, 0)), "")</f>
        <v>0</v>
      </c>
      <c r="F326" s="2">
        <f>IFERROR(INDEX(البيانات_الأساسية!E:E, MATCH(314, البيانات_الأساسية!$I:$I, 0)), "")</f>
        <v>0</v>
      </c>
      <c r="G326" s="2">
        <f>IFERROR(INDEX(البيانات_الأساسية!F:F, MATCH(314, البيانات_الأساسية!$I:$I, 0)), "")</f>
        <v>0</v>
      </c>
      <c r="H326" s="2">
        <f>IFERROR(INDEX(البيانات_الأساسية!G:G, MATCH(314, البيانات_الأساسية!$I:$I, 0)), "")</f>
        <v>0</v>
      </c>
    </row>
    <row r="327" spans="2:8" s="3" customFormat="1" ht="20" customHeight="1">
      <c r="B327" s="2">
        <f>IFERROR(INDEX(البيانات_الأساسية!A:A, MATCH(315, البيانات_الأساسية!$I:$I, 0)), "")</f>
        <v>0</v>
      </c>
      <c r="C327" s="2">
        <f>IFERROR(INDEX(البيانات_الأساسية!B:B, MATCH(315, البيانات_الأساسية!$I:$I, 0)), "")</f>
        <v>0</v>
      </c>
      <c r="D327" s="2">
        <f>IFERROR(INDEX(البيانات_الأساسية!C:C, MATCH(315, البيانات_الأساسية!$I:$I, 0)), "")</f>
        <v>0</v>
      </c>
      <c r="E327" s="2">
        <f>IFERROR(INDEX(البيانات_الأساسية!D:D, MATCH(315, البيانات_الأساسية!$I:$I, 0)), "")</f>
        <v>0</v>
      </c>
      <c r="F327" s="2">
        <f>IFERROR(INDEX(البيانات_الأساسية!E:E, MATCH(315, البيانات_الأساسية!$I:$I, 0)), "")</f>
        <v>0</v>
      </c>
      <c r="G327" s="2">
        <f>IFERROR(INDEX(البيانات_الأساسية!F:F, MATCH(315, البيانات_الأساسية!$I:$I, 0)), "")</f>
        <v>0</v>
      </c>
      <c r="H327" s="2">
        <f>IFERROR(INDEX(البيانات_الأساسية!G:G, MATCH(315, البيانات_الأساسية!$I:$I, 0)), "")</f>
        <v>0</v>
      </c>
    </row>
    <row r="328" spans="2:8" s="3" customFormat="1" ht="20" customHeight="1">
      <c r="B328" s="2">
        <f>IFERROR(INDEX(البيانات_الأساسية!A:A, MATCH(316, البيانات_الأساسية!$I:$I, 0)), "")</f>
        <v>0</v>
      </c>
      <c r="C328" s="2">
        <f>IFERROR(INDEX(البيانات_الأساسية!B:B, MATCH(316, البيانات_الأساسية!$I:$I, 0)), "")</f>
        <v>0</v>
      </c>
      <c r="D328" s="2">
        <f>IFERROR(INDEX(البيانات_الأساسية!C:C, MATCH(316, البيانات_الأساسية!$I:$I, 0)), "")</f>
        <v>0</v>
      </c>
      <c r="E328" s="2">
        <f>IFERROR(INDEX(البيانات_الأساسية!D:D, MATCH(316, البيانات_الأساسية!$I:$I, 0)), "")</f>
        <v>0</v>
      </c>
      <c r="F328" s="2">
        <f>IFERROR(INDEX(البيانات_الأساسية!E:E, MATCH(316, البيانات_الأساسية!$I:$I, 0)), "")</f>
        <v>0</v>
      </c>
      <c r="G328" s="2">
        <f>IFERROR(INDEX(البيانات_الأساسية!F:F, MATCH(316, البيانات_الأساسية!$I:$I, 0)), "")</f>
        <v>0</v>
      </c>
      <c r="H328" s="2">
        <f>IFERROR(INDEX(البيانات_الأساسية!G:G, MATCH(316, البيانات_الأساسية!$I:$I, 0)), "")</f>
        <v>0</v>
      </c>
    </row>
    <row r="329" spans="2:8" s="3" customFormat="1" ht="20" customHeight="1">
      <c r="B329" s="2">
        <f>IFERROR(INDEX(البيانات_الأساسية!A:A, MATCH(317, البيانات_الأساسية!$I:$I, 0)), "")</f>
        <v>0</v>
      </c>
      <c r="C329" s="2">
        <f>IFERROR(INDEX(البيانات_الأساسية!B:B, MATCH(317, البيانات_الأساسية!$I:$I, 0)), "")</f>
        <v>0</v>
      </c>
      <c r="D329" s="2">
        <f>IFERROR(INDEX(البيانات_الأساسية!C:C, MATCH(317, البيانات_الأساسية!$I:$I, 0)), "")</f>
        <v>0</v>
      </c>
      <c r="E329" s="2">
        <f>IFERROR(INDEX(البيانات_الأساسية!D:D, MATCH(317, البيانات_الأساسية!$I:$I, 0)), "")</f>
        <v>0</v>
      </c>
      <c r="F329" s="2">
        <f>IFERROR(INDEX(البيانات_الأساسية!E:E, MATCH(317, البيانات_الأساسية!$I:$I, 0)), "")</f>
        <v>0</v>
      </c>
      <c r="G329" s="2">
        <f>IFERROR(INDEX(البيانات_الأساسية!F:F, MATCH(317, البيانات_الأساسية!$I:$I, 0)), "")</f>
        <v>0</v>
      </c>
      <c r="H329" s="2">
        <f>IFERROR(INDEX(البيانات_الأساسية!G:G, MATCH(317, البيانات_الأساسية!$I:$I, 0)), "")</f>
        <v>0</v>
      </c>
    </row>
    <row r="330" spans="2:8" s="3" customFormat="1" ht="20" customHeight="1">
      <c r="B330" s="2">
        <f>IFERROR(INDEX(البيانات_الأساسية!A:A, MATCH(318, البيانات_الأساسية!$I:$I, 0)), "")</f>
        <v>0</v>
      </c>
      <c r="C330" s="2">
        <f>IFERROR(INDEX(البيانات_الأساسية!B:B, MATCH(318, البيانات_الأساسية!$I:$I, 0)), "")</f>
        <v>0</v>
      </c>
      <c r="D330" s="2">
        <f>IFERROR(INDEX(البيانات_الأساسية!C:C, MATCH(318, البيانات_الأساسية!$I:$I, 0)), "")</f>
        <v>0</v>
      </c>
      <c r="E330" s="2">
        <f>IFERROR(INDEX(البيانات_الأساسية!D:D, MATCH(318, البيانات_الأساسية!$I:$I, 0)), "")</f>
        <v>0</v>
      </c>
      <c r="F330" s="2">
        <f>IFERROR(INDEX(البيانات_الأساسية!E:E, MATCH(318, البيانات_الأساسية!$I:$I, 0)), "")</f>
        <v>0</v>
      </c>
      <c r="G330" s="2">
        <f>IFERROR(INDEX(البيانات_الأساسية!F:F, MATCH(318, البيانات_الأساسية!$I:$I, 0)), "")</f>
        <v>0</v>
      </c>
      <c r="H330" s="2">
        <f>IFERROR(INDEX(البيانات_الأساسية!G:G, MATCH(318, البيانات_الأساسية!$I:$I, 0)), "")</f>
        <v>0</v>
      </c>
    </row>
    <row r="331" spans="2:8" s="3" customFormat="1" ht="20" customHeight="1">
      <c r="B331" s="2">
        <f>IFERROR(INDEX(البيانات_الأساسية!A:A, MATCH(319, البيانات_الأساسية!$I:$I, 0)), "")</f>
        <v>0</v>
      </c>
      <c r="C331" s="2">
        <f>IFERROR(INDEX(البيانات_الأساسية!B:B, MATCH(319, البيانات_الأساسية!$I:$I, 0)), "")</f>
        <v>0</v>
      </c>
      <c r="D331" s="2">
        <f>IFERROR(INDEX(البيانات_الأساسية!C:C, MATCH(319, البيانات_الأساسية!$I:$I, 0)), "")</f>
        <v>0</v>
      </c>
      <c r="E331" s="2">
        <f>IFERROR(INDEX(البيانات_الأساسية!D:D, MATCH(319, البيانات_الأساسية!$I:$I, 0)), "")</f>
        <v>0</v>
      </c>
      <c r="F331" s="2">
        <f>IFERROR(INDEX(البيانات_الأساسية!E:E, MATCH(319, البيانات_الأساسية!$I:$I, 0)), "")</f>
        <v>0</v>
      </c>
      <c r="G331" s="2">
        <f>IFERROR(INDEX(البيانات_الأساسية!F:F, MATCH(319, البيانات_الأساسية!$I:$I, 0)), "")</f>
        <v>0</v>
      </c>
      <c r="H331" s="2">
        <f>IFERROR(INDEX(البيانات_الأساسية!G:G, MATCH(319, البيانات_الأساسية!$I:$I, 0)), "")</f>
        <v>0</v>
      </c>
    </row>
    <row r="332" spans="2:8" s="3" customFormat="1" ht="20" customHeight="1">
      <c r="B332" s="2">
        <f>IFERROR(INDEX(البيانات_الأساسية!A:A, MATCH(320, البيانات_الأساسية!$I:$I, 0)), "")</f>
        <v>0</v>
      </c>
      <c r="C332" s="2">
        <f>IFERROR(INDEX(البيانات_الأساسية!B:B, MATCH(320, البيانات_الأساسية!$I:$I, 0)), "")</f>
        <v>0</v>
      </c>
      <c r="D332" s="2">
        <f>IFERROR(INDEX(البيانات_الأساسية!C:C, MATCH(320, البيانات_الأساسية!$I:$I, 0)), "")</f>
        <v>0</v>
      </c>
      <c r="E332" s="2">
        <f>IFERROR(INDEX(البيانات_الأساسية!D:D, MATCH(320, البيانات_الأساسية!$I:$I, 0)), "")</f>
        <v>0</v>
      </c>
      <c r="F332" s="2">
        <f>IFERROR(INDEX(البيانات_الأساسية!E:E, MATCH(320, البيانات_الأساسية!$I:$I, 0)), "")</f>
        <v>0</v>
      </c>
      <c r="G332" s="2">
        <f>IFERROR(INDEX(البيانات_الأساسية!F:F, MATCH(320, البيانات_الأساسية!$I:$I, 0)), "")</f>
        <v>0</v>
      </c>
      <c r="H332" s="2">
        <f>IFERROR(INDEX(البيانات_الأساسية!G:G, MATCH(320, البيانات_الأساسية!$I:$I, 0)), "")</f>
        <v>0</v>
      </c>
    </row>
    <row r="333" spans="2:8" s="3" customFormat="1" ht="20" customHeight="1">
      <c r="B333" s="2">
        <f>IFERROR(INDEX(البيانات_الأساسية!A:A, MATCH(321, البيانات_الأساسية!$I:$I, 0)), "")</f>
        <v>0</v>
      </c>
      <c r="C333" s="2">
        <f>IFERROR(INDEX(البيانات_الأساسية!B:B, MATCH(321, البيانات_الأساسية!$I:$I, 0)), "")</f>
        <v>0</v>
      </c>
      <c r="D333" s="2">
        <f>IFERROR(INDEX(البيانات_الأساسية!C:C, MATCH(321, البيانات_الأساسية!$I:$I, 0)), "")</f>
        <v>0</v>
      </c>
      <c r="E333" s="2">
        <f>IFERROR(INDEX(البيانات_الأساسية!D:D, MATCH(321, البيانات_الأساسية!$I:$I, 0)), "")</f>
        <v>0</v>
      </c>
      <c r="F333" s="2">
        <f>IFERROR(INDEX(البيانات_الأساسية!E:E, MATCH(321, البيانات_الأساسية!$I:$I, 0)), "")</f>
        <v>0</v>
      </c>
      <c r="G333" s="2">
        <f>IFERROR(INDEX(البيانات_الأساسية!F:F, MATCH(321, البيانات_الأساسية!$I:$I, 0)), "")</f>
        <v>0</v>
      </c>
      <c r="H333" s="2">
        <f>IFERROR(INDEX(البيانات_الأساسية!G:G, MATCH(321, البيانات_الأساسية!$I:$I, 0)), "")</f>
        <v>0</v>
      </c>
    </row>
    <row r="334" spans="2:8" s="3" customFormat="1" ht="20" customHeight="1">
      <c r="B334" s="2">
        <f>IFERROR(INDEX(البيانات_الأساسية!A:A, MATCH(322, البيانات_الأساسية!$I:$I, 0)), "")</f>
        <v>0</v>
      </c>
      <c r="C334" s="2">
        <f>IFERROR(INDEX(البيانات_الأساسية!B:B, MATCH(322, البيانات_الأساسية!$I:$I, 0)), "")</f>
        <v>0</v>
      </c>
      <c r="D334" s="2">
        <f>IFERROR(INDEX(البيانات_الأساسية!C:C, MATCH(322, البيانات_الأساسية!$I:$I, 0)), "")</f>
        <v>0</v>
      </c>
      <c r="E334" s="2">
        <f>IFERROR(INDEX(البيانات_الأساسية!D:D, MATCH(322, البيانات_الأساسية!$I:$I, 0)), "")</f>
        <v>0</v>
      </c>
      <c r="F334" s="2">
        <f>IFERROR(INDEX(البيانات_الأساسية!E:E, MATCH(322, البيانات_الأساسية!$I:$I, 0)), "")</f>
        <v>0</v>
      </c>
      <c r="G334" s="2">
        <f>IFERROR(INDEX(البيانات_الأساسية!F:F, MATCH(322, البيانات_الأساسية!$I:$I, 0)), "")</f>
        <v>0</v>
      </c>
      <c r="H334" s="2">
        <f>IFERROR(INDEX(البيانات_الأساسية!G:G, MATCH(322, البيانات_الأساسية!$I:$I, 0)), "")</f>
        <v>0</v>
      </c>
    </row>
    <row r="335" spans="2:8" s="3" customFormat="1" ht="20" customHeight="1">
      <c r="B335" s="2">
        <f>IFERROR(INDEX(البيانات_الأساسية!A:A, MATCH(323, البيانات_الأساسية!$I:$I, 0)), "")</f>
        <v>0</v>
      </c>
      <c r="C335" s="2">
        <f>IFERROR(INDEX(البيانات_الأساسية!B:B, MATCH(323, البيانات_الأساسية!$I:$I, 0)), "")</f>
        <v>0</v>
      </c>
      <c r="D335" s="2">
        <f>IFERROR(INDEX(البيانات_الأساسية!C:C, MATCH(323, البيانات_الأساسية!$I:$I, 0)), "")</f>
        <v>0</v>
      </c>
      <c r="E335" s="2">
        <f>IFERROR(INDEX(البيانات_الأساسية!D:D, MATCH(323, البيانات_الأساسية!$I:$I, 0)), "")</f>
        <v>0</v>
      </c>
      <c r="F335" s="2">
        <f>IFERROR(INDEX(البيانات_الأساسية!E:E, MATCH(323, البيانات_الأساسية!$I:$I, 0)), "")</f>
        <v>0</v>
      </c>
      <c r="G335" s="2">
        <f>IFERROR(INDEX(البيانات_الأساسية!F:F, MATCH(323, البيانات_الأساسية!$I:$I, 0)), "")</f>
        <v>0</v>
      </c>
      <c r="H335" s="2">
        <f>IFERROR(INDEX(البيانات_الأساسية!G:G, MATCH(323, البيانات_الأساسية!$I:$I, 0)), "")</f>
        <v>0</v>
      </c>
    </row>
    <row r="336" spans="2:8" s="3" customFormat="1" ht="20" customHeight="1">
      <c r="B336" s="2">
        <f>IFERROR(INDEX(البيانات_الأساسية!A:A, MATCH(324, البيانات_الأساسية!$I:$I, 0)), "")</f>
        <v>0</v>
      </c>
      <c r="C336" s="2">
        <f>IFERROR(INDEX(البيانات_الأساسية!B:B, MATCH(324, البيانات_الأساسية!$I:$I, 0)), "")</f>
        <v>0</v>
      </c>
      <c r="D336" s="2">
        <f>IFERROR(INDEX(البيانات_الأساسية!C:C, MATCH(324, البيانات_الأساسية!$I:$I, 0)), "")</f>
        <v>0</v>
      </c>
      <c r="E336" s="2">
        <f>IFERROR(INDEX(البيانات_الأساسية!D:D, MATCH(324, البيانات_الأساسية!$I:$I, 0)), "")</f>
        <v>0</v>
      </c>
      <c r="F336" s="2">
        <f>IFERROR(INDEX(البيانات_الأساسية!E:E, MATCH(324, البيانات_الأساسية!$I:$I, 0)), "")</f>
        <v>0</v>
      </c>
      <c r="G336" s="2">
        <f>IFERROR(INDEX(البيانات_الأساسية!F:F, MATCH(324, البيانات_الأساسية!$I:$I, 0)), "")</f>
        <v>0</v>
      </c>
      <c r="H336" s="2">
        <f>IFERROR(INDEX(البيانات_الأساسية!G:G, MATCH(324, البيانات_الأساسية!$I:$I, 0)), "")</f>
        <v>0</v>
      </c>
    </row>
    <row r="337" spans="2:8" s="3" customFormat="1" ht="20" customHeight="1">
      <c r="B337" s="2">
        <f>IFERROR(INDEX(البيانات_الأساسية!A:A, MATCH(325, البيانات_الأساسية!$I:$I, 0)), "")</f>
        <v>0</v>
      </c>
      <c r="C337" s="2">
        <f>IFERROR(INDEX(البيانات_الأساسية!B:B, MATCH(325, البيانات_الأساسية!$I:$I, 0)), "")</f>
        <v>0</v>
      </c>
      <c r="D337" s="2">
        <f>IFERROR(INDEX(البيانات_الأساسية!C:C, MATCH(325, البيانات_الأساسية!$I:$I, 0)), "")</f>
        <v>0</v>
      </c>
      <c r="E337" s="2">
        <f>IFERROR(INDEX(البيانات_الأساسية!D:D, MATCH(325, البيانات_الأساسية!$I:$I, 0)), "")</f>
        <v>0</v>
      </c>
      <c r="F337" s="2">
        <f>IFERROR(INDEX(البيانات_الأساسية!E:E, MATCH(325, البيانات_الأساسية!$I:$I, 0)), "")</f>
        <v>0</v>
      </c>
      <c r="G337" s="2">
        <f>IFERROR(INDEX(البيانات_الأساسية!F:F, MATCH(325, البيانات_الأساسية!$I:$I, 0)), "")</f>
        <v>0</v>
      </c>
      <c r="H337" s="2">
        <f>IFERROR(INDEX(البيانات_الأساسية!G:G, MATCH(325, البيانات_الأساسية!$I:$I, 0)), "")</f>
        <v>0</v>
      </c>
    </row>
    <row r="338" spans="2:8" s="3" customFormat="1" ht="20" customHeight="1">
      <c r="B338" s="2">
        <f>IFERROR(INDEX(البيانات_الأساسية!A:A, MATCH(326, البيانات_الأساسية!$I:$I, 0)), "")</f>
        <v>0</v>
      </c>
      <c r="C338" s="2">
        <f>IFERROR(INDEX(البيانات_الأساسية!B:B, MATCH(326, البيانات_الأساسية!$I:$I, 0)), "")</f>
        <v>0</v>
      </c>
      <c r="D338" s="2">
        <f>IFERROR(INDEX(البيانات_الأساسية!C:C, MATCH(326, البيانات_الأساسية!$I:$I, 0)), "")</f>
        <v>0</v>
      </c>
      <c r="E338" s="2">
        <f>IFERROR(INDEX(البيانات_الأساسية!D:D, MATCH(326, البيانات_الأساسية!$I:$I, 0)), "")</f>
        <v>0</v>
      </c>
      <c r="F338" s="2">
        <f>IFERROR(INDEX(البيانات_الأساسية!E:E, MATCH(326, البيانات_الأساسية!$I:$I, 0)), "")</f>
        <v>0</v>
      </c>
      <c r="G338" s="2">
        <f>IFERROR(INDEX(البيانات_الأساسية!F:F, MATCH(326, البيانات_الأساسية!$I:$I, 0)), "")</f>
        <v>0</v>
      </c>
      <c r="H338" s="2">
        <f>IFERROR(INDEX(البيانات_الأساسية!G:G, MATCH(326, البيانات_الأساسية!$I:$I, 0)), "")</f>
        <v>0</v>
      </c>
    </row>
    <row r="339" spans="2:8" s="3" customFormat="1" ht="20" customHeight="1">
      <c r="B339" s="2">
        <f>IFERROR(INDEX(البيانات_الأساسية!A:A, MATCH(327, البيانات_الأساسية!$I:$I, 0)), "")</f>
        <v>0</v>
      </c>
      <c r="C339" s="2">
        <f>IFERROR(INDEX(البيانات_الأساسية!B:B, MATCH(327, البيانات_الأساسية!$I:$I, 0)), "")</f>
        <v>0</v>
      </c>
      <c r="D339" s="2">
        <f>IFERROR(INDEX(البيانات_الأساسية!C:C, MATCH(327, البيانات_الأساسية!$I:$I, 0)), "")</f>
        <v>0</v>
      </c>
      <c r="E339" s="2">
        <f>IFERROR(INDEX(البيانات_الأساسية!D:D, MATCH(327, البيانات_الأساسية!$I:$I, 0)), "")</f>
        <v>0</v>
      </c>
      <c r="F339" s="2">
        <f>IFERROR(INDEX(البيانات_الأساسية!E:E, MATCH(327, البيانات_الأساسية!$I:$I, 0)), "")</f>
        <v>0</v>
      </c>
      <c r="G339" s="2">
        <f>IFERROR(INDEX(البيانات_الأساسية!F:F, MATCH(327, البيانات_الأساسية!$I:$I, 0)), "")</f>
        <v>0</v>
      </c>
      <c r="H339" s="2">
        <f>IFERROR(INDEX(البيانات_الأساسية!G:G, MATCH(327, البيانات_الأساسية!$I:$I, 0)), "")</f>
        <v>0</v>
      </c>
    </row>
    <row r="340" spans="2:8" s="3" customFormat="1" ht="20" customHeight="1">
      <c r="B340" s="2">
        <f>IFERROR(INDEX(البيانات_الأساسية!A:A, MATCH(328, البيانات_الأساسية!$I:$I, 0)), "")</f>
        <v>0</v>
      </c>
      <c r="C340" s="2">
        <f>IFERROR(INDEX(البيانات_الأساسية!B:B, MATCH(328, البيانات_الأساسية!$I:$I, 0)), "")</f>
        <v>0</v>
      </c>
      <c r="D340" s="2">
        <f>IFERROR(INDEX(البيانات_الأساسية!C:C, MATCH(328, البيانات_الأساسية!$I:$I, 0)), "")</f>
        <v>0</v>
      </c>
      <c r="E340" s="2">
        <f>IFERROR(INDEX(البيانات_الأساسية!D:D, MATCH(328, البيانات_الأساسية!$I:$I, 0)), "")</f>
        <v>0</v>
      </c>
      <c r="F340" s="2">
        <f>IFERROR(INDEX(البيانات_الأساسية!E:E, MATCH(328, البيانات_الأساسية!$I:$I, 0)), "")</f>
        <v>0</v>
      </c>
      <c r="G340" s="2">
        <f>IFERROR(INDEX(البيانات_الأساسية!F:F, MATCH(328, البيانات_الأساسية!$I:$I, 0)), "")</f>
        <v>0</v>
      </c>
      <c r="H340" s="2">
        <f>IFERROR(INDEX(البيانات_الأساسية!G:G, MATCH(328, البيانات_الأساسية!$I:$I, 0)), "")</f>
        <v>0</v>
      </c>
    </row>
    <row r="341" spans="2:8" s="3" customFormat="1" ht="20" customHeight="1">
      <c r="B341" s="2">
        <f>IFERROR(INDEX(البيانات_الأساسية!A:A, MATCH(329, البيانات_الأساسية!$I:$I, 0)), "")</f>
        <v>0</v>
      </c>
      <c r="C341" s="2">
        <f>IFERROR(INDEX(البيانات_الأساسية!B:B, MATCH(329, البيانات_الأساسية!$I:$I, 0)), "")</f>
        <v>0</v>
      </c>
      <c r="D341" s="2">
        <f>IFERROR(INDEX(البيانات_الأساسية!C:C, MATCH(329, البيانات_الأساسية!$I:$I, 0)), "")</f>
        <v>0</v>
      </c>
      <c r="E341" s="2">
        <f>IFERROR(INDEX(البيانات_الأساسية!D:D, MATCH(329, البيانات_الأساسية!$I:$I, 0)), "")</f>
        <v>0</v>
      </c>
      <c r="F341" s="2">
        <f>IFERROR(INDEX(البيانات_الأساسية!E:E, MATCH(329, البيانات_الأساسية!$I:$I, 0)), "")</f>
        <v>0</v>
      </c>
      <c r="G341" s="2">
        <f>IFERROR(INDEX(البيانات_الأساسية!F:F, MATCH(329, البيانات_الأساسية!$I:$I, 0)), "")</f>
        <v>0</v>
      </c>
      <c r="H341" s="2">
        <f>IFERROR(INDEX(البيانات_الأساسية!G:G, MATCH(329, البيانات_الأساسية!$I:$I, 0)), "")</f>
        <v>0</v>
      </c>
    </row>
    <row r="342" spans="2:8" s="3" customFormat="1" ht="20" customHeight="1">
      <c r="B342" s="2">
        <f>IFERROR(INDEX(البيانات_الأساسية!A:A, MATCH(330, البيانات_الأساسية!$I:$I, 0)), "")</f>
        <v>0</v>
      </c>
      <c r="C342" s="2">
        <f>IFERROR(INDEX(البيانات_الأساسية!B:B, MATCH(330, البيانات_الأساسية!$I:$I, 0)), "")</f>
        <v>0</v>
      </c>
      <c r="D342" s="2">
        <f>IFERROR(INDEX(البيانات_الأساسية!C:C, MATCH(330, البيانات_الأساسية!$I:$I, 0)), "")</f>
        <v>0</v>
      </c>
      <c r="E342" s="2">
        <f>IFERROR(INDEX(البيانات_الأساسية!D:D, MATCH(330, البيانات_الأساسية!$I:$I, 0)), "")</f>
        <v>0</v>
      </c>
      <c r="F342" s="2">
        <f>IFERROR(INDEX(البيانات_الأساسية!E:E, MATCH(330, البيانات_الأساسية!$I:$I, 0)), "")</f>
        <v>0</v>
      </c>
      <c r="G342" s="2">
        <f>IFERROR(INDEX(البيانات_الأساسية!F:F, MATCH(330, البيانات_الأساسية!$I:$I, 0)), "")</f>
        <v>0</v>
      </c>
      <c r="H342" s="2">
        <f>IFERROR(INDEX(البيانات_الأساسية!G:G, MATCH(330, البيانات_الأساسية!$I:$I, 0)), "")</f>
        <v>0</v>
      </c>
    </row>
    <row r="343" spans="2:8" s="3" customFormat="1" ht="20" customHeight="1">
      <c r="B343" s="2">
        <f>IFERROR(INDEX(البيانات_الأساسية!A:A, MATCH(331, البيانات_الأساسية!$I:$I, 0)), "")</f>
        <v>0</v>
      </c>
      <c r="C343" s="2">
        <f>IFERROR(INDEX(البيانات_الأساسية!B:B, MATCH(331, البيانات_الأساسية!$I:$I, 0)), "")</f>
        <v>0</v>
      </c>
      <c r="D343" s="2">
        <f>IFERROR(INDEX(البيانات_الأساسية!C:C, MATCH(331, البيانات_الأساسية!$I:$I, 0)), "")</f>
        <v>0</v>
      </c>
      <c r="E343" s="2">
        <f>IFERROR(INDEX(البيانات_الأساسية!D:D, MATCH(331, البيانات_الأساسية!$I:$I, 0)), "")</f>
        <v>0</v>
      </c>
      <c r="F343" s="2">
        <f>IFERROR(INDEX(البيانات_الأساسية!E:E, MATCH(331, البيانات_الأساسية!$I:$I, 0)), "")</f>
        <v>0</v>
      </c>
      <c r="G343" s="2">
        <f>IFERROR(INDEX(البيانات_الأساسية!F:F, MATCH(331, البيانات_الأساسية!$I:$I, 0)), "")</f>
        <v>0</v>
      </c>
      <c r="H343" s="2">
        <f>IFERROR(INDEX(البيانات_الأساسية!G:G, MATCH(331, البيانات_الأساسية!$I:$I, 0)), "")</f>
        <v>0</v>
      </c>
    </row>
    <row r="344" spans="2:8" s="3" customFormat="1" ht="20" customHeight="1">
      <c r="B344" s="2">
        <f>IFERROR(INDEX(البيانات_الأساسية!A:A, MATCH(332, البيانات_الأساسية!$I:$I, 0)), "")</f>
        <v>0</v>
      </c>
      <c r="C344" s="2">
        <f>IFERROR(INDEX(البيانات_الأساسية!B:B, MATCH(332, البيانات_الأساسية!$I:$I, 0)), "")</f>
        <v>0</v>
      </c>
      <c r="D344" s="2">
        <f>IFERROR(INDEX(البيانات_الأساسية!C:C, MATCH(332, البيانات_الأساسية!$I:$I, 0)), "")</f>
        <v>0</v>
      </c>
      <c r="E344" s="2">
        <f>IFERROR(INDEX(البيانات_الأساسية!D:D, MATCH(332, البيانات_الأساسية!$I:$I, 0)), "")</f>
        <v>0</v>
      </c>
      <c r="F344" s="2">
        <f>IFERROR(INDEX(البيانات_الأساسية!E:E, MATCH(332, البيانات_الأساسية!$I:$I, 0)), "")</f>
        <v>0</v>
      </c>
      <c r="G344" s="2">
        <f>IFERROR(INDEX(البيانات_الأساسية!F:F, MATCH(332, البيانات_الأساسية!$I:$I, 0)), "")</f>
        <v>0</v>
      </c>
      <c r="H344" s="2">
        <f>IFERROR(INDEX(البيانات_الأساسية!G:G, MATCH(332, البيانات_الأساسية!$I:$I, 0)), "")</f>
        <v>0</v>
      </c>
    </row>
    <row r="345" spans="2:8" s="3" customFormat="1" ht="20" customHeight="1">
      <c r="B345" s="2">
        <f>IFERROR(INDEX(البيانات_الأساسية!A:A, MATCH(333, البيانات_الأساسية!$I:$I, 0)), "")</f>
        <v>0</v>
      </c>
      <c r="C345" s="2">
        <f>IFERROR(INDEX(البيانات_الأساسية!B:B, MATCH(333, البيانات_الأساسية!$I:$I, 0)), "")</f>
        <v>0</v>
      </c>
      <c r="D345" s="2">
        <f>IFERROR(INDEX(البيانات_الأساسية!C:C, MATCH(333, البيانات_الأساسية!$I:$I, 0)), "")</f>
        <v>0</v>
      </c>
      <c r="E345" s="2">
        <f>IFERROR(INDEX(البيانات_الأساسية!D:D, MATCH(333, البيانات_الأساسية!$I:$I, 0)), "")</f>
        <v>0</v>
      </c>
      <c r="F345" s="2">
        <f>IFERROR(INDEX(البيانات_الأساسية!E:E, MATCH(333, البيانات_الأساسية!$I:$I, 0)), "")</f>
        <v>0</v>
      </c>
      <c r="G345" s="2">
        <f>IFERROR(INDEX(البيانات_الأساسية!F:F, MATCH(333, البيانات_الأساسية!$I:$I, 0)), "")</f>
        <v>0</v>
      </c>
      <c r="H345" s="2">
        <f>IFERROR(INDEX(البيانات_الأساسية!G:G, MATCH(333, البيانات_الأساسية!$I:$I, 0)), "")</f>
        <v>0</v>
      </c>
    </row>
    <row r="346" spans="2:8" s="3" customFormat="1" ht="20" customHeight="1">
      <c r="B346" s="2">
        <f>IFERROR(INDEX(البيانات_الأساسية!A:A, MATCH(334, البيانات_الأساسية!$I:$I, 0)), "")</f>
        <v>0</v>
      </c>
      <c r="C346" s="2">
        <f>IFERROR(INDEX(البيانات_الأساسية!B:B, MATCH(334, البيانات_الأساسية!$I:$I, 0)), "")</f>
        <v>0</v>
      </c>
      <c r="D346" s="2">
        <f>IFERROR(INDEX(البيانات_الأساسية!C:C, MATCH(334, البيانات_الأساسية!$I:$I, 0)), "")</f>
        <v>0</v>
      </c>
      <c r="E346" s="2">
        <f>IFERROR(INDEX(البيانات_الأساسية!D:D, MATCH(334, البيانات_الأساسية!$I:$I, 0)), "")</f>
        <v>0</v>
      </c>
      <c r="F346" s="2">
        <f>IFERROR(INDEX(البيانات_الأساسية!E:E, MATCH(334, البيانات_الأساسية!$I:$I, 0)), "")</f>
        <v>0</v>
      </c>
      <c r="G346" s="2">
        <f>IFERROR(INDEX(البيانات_الأساسية!F:F, MATCH(334, البيانات_الأساسية!$I:$I, 0)), "")</f>
        <v>0</v>
      </c>
      <c r="H346" s="2">
        <f>IFERROR(INDEX(البيانات_الأساسية!G:G, MATCH(334, البيانات_الأساسية!$I:$I, 0)), "")</f>
        <v>0</v>
      </c>
    </row>
    <row r="347" spans="2:8" s="3" customFormat="1" ht="20" customHeight="1">
      <c r="B347" s="2">
        <f>IFERROR(INDEX(البيانات_الأساسية!A:A, MATCH(335, البيانات_الأساسية!$I:$I, 0)), "")</f>
        <v>0</v>
      </c>
      <c r="C347" s="2">
        <f>IFERROR(INDEX(البيانات_الأساسية!B:B, MATCH(335, البيانات_الأساسية!$I:$I, 0)), "")</f>
        <v>0</v>
      </c>
      <c r="D347" s="2">
        <f>IFERROR(INDEX(البيانات_الأساسية!C:C, MATCH(335, البيانات_الأساسية!$I:$I, 0)), "")</f>
        <v>0</v>
      </c>
      <c r="E347" s="2">
        <f>IFERROR(INDEX(البيانات_الأساسية!D:D, MATCH(335, البيانات_الأساسية!$I:$I, 0)), "")</f>
        <v>0</v>
      </c>
      <c r="F347" s="2">
        <f>IFERROR(INDEX(البيانات_الأساسية!E:E, MATCH(335, البيانات_الأساسية!$I:$I, 0)), "")</f>
        <v>0</v>
      </c>
      <c r="G347" s="2">
        <f>IFERROR(INDEX(البيانات_الأساسية!F:F, MATCH(335, البيانات_الأساسية!$I:$I, 0)), "")</f>
        <v>0</v>
      </c>
      <c r="H347" s="2">
        <f>IFERROR(INDEX(البيانات_الأساسية!G:G, MATCH(335, البيانات_الأساسية!$I:$I, 0)), "")</f>
        <v>0</v>
      </c>
    </row>
    <row r="348" spans="2:8" s="3" customFormat="1" ht="20" customHeight="1">
      <c r="B348" s="2">
        <f>IFERROR(INDEX(البيانات_الأساسية!A:A, MATCH(336, البيانات_الأساسية!$I:$I, 0)), "")</f>
        <v>0</v>
      </c>
      <c r="C348" s="2">
        <f>IFERROR(INDEX(البيانات_الأساسية!B:B, MATCH(336, البيانات_الأساسية!$I:$I, 0)), "")</f>
        <v>0</v>
      </c>
      <c r="D348" s="2">
        <f>IFERROR(INDEX(البيانات_الأساسية!C:C, MATCH(336, البيانات_الأساسية!$I:$I, 0)), "")</f>
        <v>0</v>
      </c>
      <c r="E348" s="2">
        <f>IFERROR(INDEX(البيانات_الأساسية!D:D, MATCH(336, البيانات_الأساسية!$I:$I, 0)), "")</f>
        <v>0</v>
      </c>
      <c r="F348" s="2">
        <f>IFERROR(INDEX(البيانات_الأساسية!E:E, MATCH(336, البيانات_الأساسية!$I:$I, 0)), "")</f>
        <v>0</v>
      </c>
      <c r="G348" s="2">
        <f>IFERROR(INDEX(البيانات_الأساسية!F:F, MATCH(336, البيانات_الأساسية!$I:$I, 0)), "")</f>
        <v>0</v>
      </c>
      <c r="H348" s="2">
        <f>IFERROR(INDEX(البيانات_الأساسية!G:G, MATCH(336, البيانات_الأساسية!$I:$I, 0)), "")</f>
        <v>0</v>
      </c>
    </row>
    <row r="349" spans="2:8" s="3" customFormat="1" ht="20" customHeight="1">
      <c r="B349" s="2">
        <f>IFERROR(INDEX(البيانات_الأساسية!A:A, MATCH(337, البيانات_الأساسية!$I:$I, 0)), "")</f>
        <v>0</v>
      </c>
      <c r="C349" s="2">
        <f>IFERROR(INDEX(البيانات_الأساسية!B:B, MATCH(337, البيانات_الأساسية!$I:$I, 0)), "")</f>
        <v>0</v>
      </c>
      <c r="D349" s="2">
        <f>IFERROR(INDEX(البيانات_الأساسية!C:C, MATCH(337, البيانات_الأساسية!$I:$I, 0)), "")</f>
        <v>0</v>
      </c>
      <c r="E349" s="2">
        <f>IFERROR(INDEX(البيانات_الأساسية!D:D, MATCH(337, البيانات_الأساسية!$I:$I, 0)), "")</f>
        <v>0</v>
      </c>
      <c r="F349" s="2">
        <f>IFERROR(INDEX(البيانات_الأساسية!E:E, MATCH(337, البيانات_الأساسية!$I:$I, 0)), "")</f>
        <v>0</v>
      </c>
      <c r="G349" s="2">
        <f>IFERROR(INDEX(البيانات_الأساسية!F:F, MATCH(337, البيانات_الأساسية!$I:$I, 0)), "")</f>
        <v>0</v>
      </c>
      <c r="H349" s="2">
        <f>IFERROR(INDEX(البيانات_الأساسية!G:G, MATCH(337, البيانات_الأساسية!$I:$I, 0)), "")</f>
        <v>0</v>
      </c>
    </row>
    <row r="350" spans="2:8" s="3" customFormat="1" ht="20" customHeight="1">
      <c r="B350" s="2">
        <f>IFERROR(INDEX(البيانات_الأساسية!A:A, MATCH(338, البيانات_الأساسية!$I:$I, 0)), "")</f>
        <v>0</v>
      </c>
      <c r="C350" s="2">
        <f>IFERROR(INDEX(البيانات_الأساسية!B:B, MATCH(338, البيانات_الأساسية!$I:$I, 0)), "")</f>
        <v>0</v>
      </c>
      <c r="D350" s="2">
        <f>IFERROR(INDEX(البيانات_الأساسية!C:C, MATCH(338, البيانات_الأساسية!$I:$I, 0)), "")</f>
        <v>0</v>
      </c>
      <c r="E350" s="2">
        <f>IFERROR(INDEX(البيانات_الأساسية!D:D, MATCH(338, البيانات_الأساسية!$I:$I, 0)), "")</f>
        <v>0</v>
      </c>
      <c r="F350" s="2">
        <f>IFERROR(INDEX(البيانات_الأساسية!E:E, MATCH(338, البيانات_الأساسية!$I:$I, 0)), "")</f>
        <v>0</v>
      </c>
      <c r="G350" s="2">
        <f>IFERROR(INDEX(البيانات_الأساسية!F:F, MATCH(338, البيانات_الأساسية!$I:$I, 0)), "")</f>
        <v>0</v>
      </c>
      <c r="H350" s="2">
        <f>IFERROR(INDEX(البيانات_الأساسية!G:G, MATCH(338, البيانات_الأساسية!$I:$I, 0)), "")</f>
        <v>0</v>
      </c>
    </row>
    <row r="351" spans="2:8" s="3" customFormat="1" ht="20" customHeight="1">
      <c r="B351" s="2">
        <f>IFERROR(INDEX(البيانات_الأساسية!A:A, MATCH(339, البيانات_الأساسية!$I:$I, 0)), "")</f>
        <v>0</v>
      </c>
      <c r="C351" s="2">
        <f>IFERROR(INDEX(البيانات_الأساسية!B:B, MATCH(339, البيانات_الأساسية!$I:$I, 0)), "")</f>
        <v>0</v>
      </c>
      <c r="D351" s="2">
        <f>IFERROR(INDEX(البيانات_الأساسية!C:C, MATCH(339, البيانات_الأساسية!$I:$I, 0)), "")</f>
        <v>0</v>
      </c>
      <c r="E351" s="2">
        <f>IFERROR(INDEX(البيانات_الأساسية!D:D, MATCH(339, البيانات_الأساسية!$I:$I, 0)), "")</f>
        <v>0</v>
      </c>
      <c r="F351" s="2">
        <f>IFERROR(INDEX(البيانات_الأساسية!E:E, MATCH(339, البيانات_الأساسية!$I:$I, 0)), "")</f>
        <v>0</v>
      </c>
      <c r="G351" s="2">
        <f>IFERROR(INDEX(البيانات_الأساسية!F:F, MATCH(339, البيانات_الأساسية!$I:$I, 0)), "")</f>
        <v>0</v>
      </c>
      <c r="H351" s="2">
        <f>IFERROR(INDEX(البيانات_الأساسية!G:G, MATCH(339, البيانات_الأساسية!$I:$I, 0)), "")</f>
        <v>0</v>
      </c>
    </row>
    <row r="352" spans="2:8" s="3" customFormat="1" ht="20" customHeight="1">
      <c r="B352" s="2">
        <f>IFERROR(INDEX(البيانات_الأساسية!A:A, MATCH(340, البيانات_الأساسية!$I:$I, 0)), "")</f>
        <v>0</v>
      </c>
      <c r="C352" s="2">
        <f>IFERROR(INDEX(البيانات_الأساسية!B:B, MATCH(340, البيانات_الأساسية!$I:$I, 0)), "")</f>
        <v>0</v>
      </c>
      <c r="D352" s="2">
        <f>IFERROR(INDEX(البيانات_الأساسية!C:C, MATCH(340, البيانات_الأساسية!$I:$I, 0)), "")</f>
        <v>0</v>
      </c>
      <c r="E352" s="2">
        <f>IFERROR(INDEX(البيانات_الأساسية!D:D, MATCH(340, البيانات_الأساسية!$I:$I, 0)), "")</f>
        <v>0</v>
      </c>
      <c r="F352" s="2">
        <f>IFERROR(INDEX(البيانات_الأساسية!E:E, MATCH(340, البيانات_الأساسية!$I:$I, 0)), "")</f>
        <v>0</v>
      </c>
      <c r="G352" s="2">
        <f>IFERROR(INDEX(البيانات_الأساسية!F:F, MATCH(340, البيانات_الأساسية!$I:$I, 0)), "")</f>
        <v>0</v>
      </c>
      <c r="H352" s="2">
        <f>IFERROR(INDEX(البيانات_الأساسية!G:G, MATCH(340, البيانات_الأساسية!$I:$I, 0)), "")</f>
        <v>0</v>
      </c>
    </row>
    <row r="353" spans="2:8" s="3" customFormat="1" ht="20" customHeight="1">
      <c r="B353" s="2">
        <f>IFERROR(INDEX(البيانات_الأساسية!A:A, MATCH(341, البيانات_الأساسية!$I:$I, 0)), "")</f>
        <v>0</v>
      </c>
      <c r="C353" s="2">
        <f>IFERROR(INDEX(البيانات_الأساسية!B:B, MATCH(341, البيانات_الأساسية!$I:$I, 0)), "")</f>
        <v>0</v>
      </c>
      <c r="D353" s="2">
        <f>IFERROR(INDEX(البيانات_الأساسية!C:C, MATCH(341, البيانات_الأساسية!$I:$I, 0)), "")</f>
        <v>0</v>
      </c>
      <c r="E353" s="2">
        <f>IFERROR(INDEX(البيانات_الأساسية!D:D, MATCH(341, البيانات_الأساسية!$I:$I, 0)), "")</f>
        <v>0</v>
      </c>
      <c r="F353" s="2">
        <f>IFERROR(INDEX(البيانات_الأساسية!E:E, MATCH(341, البيانات_الأساسية!$I:$I, 0)), "")</f>
        <v>0</v>
      </c>
      <c r="G353" s="2">
        <f>IFERROR(INDEX(البيانات_الأساسية!F:F, MATCH(341, البيانات_الأساسية!$I:$I, 0)), "")</f>
        <v>0</v>
      </c>
      <c r="H353" s="2">
        <f>IFERROR(INDEX(البيانات_الأساسية!G:G, MATCH(341, البيانات_الأساسية!$I:$I, 0)), "")</f>
        <v>0</v>
      </c>
    </row>
    <row r="354" spans="2:8" s="3" customFormat="1" ht="20" customHeight="1">
      <c r="B354" s="2">
        <f>IFERROR(INDEX(البيانات_الأساسية!A:A, MATCH(342, البيانات_الأساسية!$I:$I, 0)), "")</f>
        <v>0</v>
      </c>
      <c r="C354" s="2">
        <f>IFERROR(INDEX(البيانات_الأساسية!B:B, MATCH(342, البيانات_الأساسية!$I:$I, 0)), "")</f>
        <v>0</v>
      </c>
      <c r="D354" s="2">
        <f>IFERROR(INDEX(البيانات_الأساسية!C:C, MATCH(342, البيانات_الأساسية!$I:$I, 0)), "")</f>
        <v>0</v>
      </c>
      <c r="E354" s="2">
        <f>IFERROR(INDEX(البيانات_الأساسية!D:D, MATCH(342, البيانات_الأساسية!$I:$I, 0)), "")</f>
        <v>0</v>
      </c>
      <c r="F354" s="2">
        <f>IFERROR(INDEX(البيانات_الأساسية!E:E, MATCH(342, البيانات_الأساسية!$I:$I, 0)), "")</f>
        <v>0</v>
      </c>
      <c r="G354" s="2">
        <f>IFERROR(INDEX(البيانات_الأساسية!F:F, MATCH(342, البيانات_الأساسية!$I:$I, 0)), "")</f>
        <v>0</v>
      </c>
      <c r="H354" s="2">
        <f>IFERROR(INDEX(البيانات_الأساسية!G:G, MATCH(342, البيانات_الأساسية!$I:$I, 0)), "")</f>
        <v>0</v>
      </c>
    </row>
    <row r="355" spans="2:8" s="3" customFormat="1" ht="20" customHeight="1">
      <c r="B355" s="2">
        <f>IFERROR(INDEX(البيانات_الأساسية!A:A, MATCH(343, البيانات_الأساسية!$I:$I, 0)), "")</f>
        <v>0</v>
      </c>
      <c r="C355" s="2">
        <f>IFERROR(INDEX(البيانات_الأساسية!B:B, MATCH(343, البيانات_الأساسية!$I:$I, 0)), "")</f>
        <v>0</v>
      </c>
      <c r="D355" s="2">
        <f>IFERROR(INDEX(البيانات_الأساسية!C:C, MATCH(343, البيانات_الأساسية!$I:$I, 0)), "")</f>
        <v>0</v>
      </c>
      <c r="E355" s="2">
        <f>IFERROR(INDEX(البيانات_الأساسية!D:D, MATCH(343, البيانات_الأساسية!$I:$I, 0)), "")</f>
        <v>0</v>
      </c>
      <c r="F355" s="2">
        <f>IFERROR(INDEX(البيانات_الأساسية!E:E, MATCH(343, البيانات_الأساسية!$I:$I, 0)), "")</f>
        <v>0</v>
      </c>
      <c r="G355" s="2">
        <f>IFERROR(INDEX(البيانات_الأساسية!F:F, MATCH(343, البيانات_الأساسية!$I:$I, 0)), "")</f>
        <v>0</v>
      </c>
      <c r="H355" s="2">
        <f>IFERROR(INDEX(البيانات_الأساسية!G:G, MATCH(343, البيانات_الأساسية!$I:$I, 0)), "")</f>
        <v>0</v>
      </c>
    </row>
    <row r="356" spans="2:8" s="3" customFormat="1" ht="20" customHeight="1">
      <c r="B356" s="2">
        <f>IFERROR(INDEX(البيانات_الأساسية!A:A, MATCH(344, البيانات_الأساسية!$I:$I, 0)), "")</f>
        <v>0</v>
      </c>
      <c r="C356" s="2">
        <f>IFERROR(INDEX(البيانات_الأساسية!B:B, MATCH(344, البيانات_الأساسية!$I:$I, 0)), "")</f>
        <v>0</v>
      </c>
      <c r="D356" s="2">
        <f>IFERROR(INDEX(البيانات_الأساسية!C:C, MATCH(344, البيانات_الأساسية!$I:$I, 0)), "")</f>
        <v>0</v>
      </c>
      <c r="E356" s="2">
        <f>IFERROR(INDEX(البيانات_الأساسية!D:D, MATCH(344, البيانات_الأساسية!$I:$I, 0)), "")</f>
        <v>0</v>
      </c>
      <c r="F356" s="2">
        <f>IFERROR(INDEX(البيانات_الأساسية!E:E, MATCH(344, البيانات_الأساسية!$I:$I, 0)), "")</f>
        <v>0</v>
      </c>
      <c r="G356" s="2">
        <f>IFERROR(INDEX(البيانات_الأساسية!F:F, MATCH(344, البيانات_الأساسية!$I:$I, 0)), "")</f>
        <v>0</v>
      </c>
      <c r="H356" s="2">
        <f>IFERROR(INDEX(البيانات_الأساسية!G:G, MATCH(344, البيانات_الأساسية!$I:$I, 0)), "")</f>
        <v>0</v>
      </c>
    </row>
    <row r="357" spans="2:8" s="3" customFormat="1" ht="20" customHeight="1">
      <c r="B357" s="2">
        <f>IFERROR(INDEX(البيانات_الأساسية!A:A, MATCH(345, البيانات_الأساسية!$I:$I, 0)), "")</f>
        <v>0</v>
      </c>
      <c r="C357" s="2">
        <f>IFERROR(INDEX(البيانات_الأساسية!B:B, MATCH(345, البيانات_الأساسية!$I:$I, 0)), "")</f>
        <v>0</v>
      </c>
      <c r="D357" s="2">
        <f>IFERROR(INDEX(البيانات_الأساسية!C:C, MATCH(345, البيانات_الأساسية!$I:$I, 0)), "")</f>
        <v>0</v>
      </c>
      <c r="E357" s="2">
        <f>IFERROR(INDEX(البيانات_الأساسية!D:D, MATCH(345, البيانات_الأساسية!$I:$I, 0)), "")</f>
        <v>0</v>
      </c>
      <c r="F357" s="2">
        <f>IFERROR(INDEX(البيانات_الأساسية!E:E, MATCH(345, البيانات_الأساسية!$I:$I, 0)), "")</f>
        <v>0</v>
      </c>
      <c r="G357" s="2">
        <f>IFERROR(INDEX(البيانات_الأساسية!F:F, MATCH(345, البيانات_الأساسية!$I:$I, 0)), "")</f>
        <v>0</v>
      </c>
      <c r="H357" s="2">
        <f>IFERROR(INDEX(البيانات_الأساسية!G:G, MATCH(345, البيانات_الأساسية!$I:$I, 0)), "")</f>
        <v>0</v>
      </c>
    </row>
    <row r="358" spans="2:8" s="3" customFormat="1" ht="20" customHeight="1">
      <c r="B358" s="2">
        <f>IFERROR(INDEX(البيانات_الأساسية!A:A, MATCH(346, البيانات_الأساسية!$I:$I, 0)), "")</f>
        <v>0</v>
      </c>
      <c r="C358" s="2">
        <f>IFERROR(INDEX(البيانات_الأساسية!B:B, MATCH(346, البيانات_الأساسية!$I:$I, 0)), "")</f>
        <v>0</v>
      </c>
      <c r="D358" s="2">
        <f>IFERROR(INDEX(البيانات_الأساسية!C:C, MATCH(346, البيانات_الأساسية!$I:$I, 0)), "")</f>
        <v>0</v>
      </c>
      <c r="E358" s="2">
        <f>IFERROR(INDEX(البيانات_الأساسية!D:D, MATCH(346, البيانات_الأساسية!$I:$I, 0)), "")</f>
        <v>0</v>
      </c>
      <c r="F358" s="2">
        <f>IFERROR(INDEX(البيانات_الأساسية!E:E, MATCH(346, البيانات_الأساسية!$I:$I, 0)), "")</f>
        <v>0</v>
      </c>
      <c r="G358" s="2">
        <f>IFERROR(INDEX(البيانات_الأساسية!F:F, MATCH(346, البيانات_الأساسية!$I:$I, 0)), "")</f>
        <v>0</v>
      </c>
      <c r="H358" s="2">
        <f>IFERROR(INDEX(البيانات_الأساسية!G:G, MATCH(346, البيانات_الأساسية!$I:$I, 0)), "")</f>
        <v>0</v>
      </c>
    </row>
    <row r="359" spans="2:8" s="3" customFormat="1" ht="20" customHeight="1">
      <c r="B359" s="2">
        <f>IFERROR(INDEX(البيانات_الأساسية!A:A, MATCH(347, البيانات_الأساسية!$I:$I, 0)), "")</f>
        <v>0</v>
      </c>
      <c r="C359" s="2">
        <f>IFERROR(INDEX(البيانات_الأساسية!B:B, MATCH(347, البيانات_الأساسية!$I:$I, 0)), "")</f>
        <v>0</v>
      </c>
      <c r="D359" s="2">
        <f>IFERROR(INDEX(البيانات_الأساسية!C:C, MATCH(347, البيانات_الأساسية!$I:$I, 0)), "")</f>
        <v>0</v>
      </c>
      <c r="E359" s="2">
        <f>IFERROR(INDEX(البيانات_الأساسية!D:D, MATCH(347, البيانات_الأساسية!$I:$I, 0)), "")</f>
        <v>0</v>
      </c>
      <c r="F359" s="2">
        <f>IFERROR(INDEX(البيانات_الأساسية!E:E, MATCH(347, البيانات_الأساسية!$I:$I, 0)), "")</f>
        <v>0</v>
      </c>
      <c r="G359" s="2">
        <f>IFERROR(INDEX(البيانات_الأساسية!F:F, MATCH(347, البيانات_الأساسية!$I:$I, 0)), "")</f>
        <v>0</v>
      </c>
      <c r="H359" s="2">
        <f>IFERROR(INDEX(البيانات_الأساسية!G:G, MATCH(347, البيانات_الأساسية!$I:$I, 0)), "")</f>
        <v>0</v>
      </c>
    </row>
    <row r="360" spans="2:8" s="3" customFormat="1" ht="20" customHeight="1">
      <c r="B360" s="2">
        <f>IFERROR(INDEX(البيانات_الأساسية!A:A, MATCH(348, البيانات_الأساسية!$I:$I, 0)), "")</f>
        <v>0</v>
      </c>
      <c r="C360" s="2">
        <f>IFERROR(INDEX(البيانات_الأساسية!B:B, MATCH(348, البيانات_الأساسية!$I:$I, 0)), "")</f>
        <v>0</v>
      </c>
      <c r="D360" s="2">
        <f>IFERROR(INDEX(البيانات_الأساسية!C:C, MATCH(348, البيانات_الأساسية!$I:$I, 0)), "")</f>
        <v>0</v>
      </c>
      <c r="E360" s="2">
        <f>IFERROR(INDEX(البيانات_الأساسية!D:D, MATCH(348, البيانات_الأساسية!$I:$I, 0)), "")</f>
        <v>0</v>
      </c>
      <c r="F360" s="2">
        <f>IFERROR(INDEX(البيانات_الأساسية!E:E, MATCH(348, البيانات_الأساسية!$I:$I, 0)), "")</f>
        <v>0</v>
      </c>
      <c r="G360" s="2">
        <f>IFERROR(INDEX(البيانات_الأساسية!F:F, MATCH(348, البيانات_الأساسية!$I:$I, 0)), "")</f>
        <v>0</v>
      </c>
      <c r="H360" s="2">
        <f>IFERROR(INDEX(البيانات_الأساسية!G:G, MATCH(348, البيانات_الأساسية!$I:$I, 0)), "")</f>
        <v>0</v>
      </c>
    </row>
    <row r="361" spans="2:8" s="3" customFormat="1" ht="20" customHeight="1">
      <c r="B361" s="2">
        <f>IFERROR(INDEX(البيانات_الأساسية!A:A, MATCH(349, البيانات_الأساسية!$I:$I, 0)), "")</f>
        <v>0</v>
      </c>
      <c r="C361" s="2">
        <f>IFERROR(INDEX(البيانات_الأساسية!B:B, MATCH(349, البيانات_الأساسية!$I:$I, 0)), "")</f>
        <v>0</v>
      </c>
      <c r="D361" s="2">
        <f>IFERROR(INDEX(البيانات_الأساسية!C:C, MATCH(349, البيانات_الأساسية!$I:$I, 0)), "")</f>
        <v>0</v>
      </c>
      <c r="E361" s="2">
        <f>IFERROR(INDEX(البيانات_الأساسية!D:D, MATCH(349, البيانات_الأساسية!$I:$I, 0)), "")</f>
        <v>0</v>
      </c>
      <c r="F361" s="2">
        <f>IFERROR(INDEX(البيانات_الأساسية!E:E, MATCH(349, البيانات_الأساسية!$I:$I, 0)), "")</f>
        <v>0</v>
      </c>
      <c r="G361" s="2">
        <f>IFERROR(INDEX(البيانات_الأساسية!F:F, MATCH(349, البيانات_الأساسية!$I:$I, 0)), "")</f>
        <v>0</v>
      </c>
      <c r="H361" s="2">
        <f>IFERROR(INDEX(البيانات_الأساسية!G:G, MATCH(349, البيانات_الأساسية!$I:$I, 0)), "")</f>
        <v>0</v>
      </c>
    </row>
    <row r="362" spans="2:8" s="3" customFormat="1" ht="20" customHeight="1">
      <c r="B362" s="2">
        <f>IFERROR(INDEX(البيانات_الأساسية!A:A, MATCH(350, البيانات_الأساسية!$I:$I, 0)), "")</f>
        <v>0</v>
      </c>
      <c r="C362" s="2">
        <f>IFERROR(INDEX(البيانات_الأساسية!B:B, MATCH(350, البيانات_الأساسية!$I:$I, 0)), "")</f>
        <v>0</v>
      </c>
      <c r="D362" s="2">
        <f>IFERROR(INDEX(البيانات_الأساسية!C:C, MATCH(350, البيانات_الأساسية!$I:$I, 0)), "")</f>
        <v>0</v>
      </c>
      <c r="E362" s="2">
        <f>IFERROR(INDEX(البيانات_الأساسية!D:D, MATCH(350, البيانات_الأساسية!$I:$I, 0)), "")</f>
        <v>0</v>
      </c>
      <c r="F362" s="2">
        <f>IFERROR(INDEX(البيانات_الأساسية!E:E, MATCH(350, البيانات_الأساسية!$I:$I, 0)), "")</f>
        <v>0</v>
      </c>
      <c r="G362" s="2">
        <f>IFERROR(INDEX(البيانات_الأساسية!F:F, MATCH(350, البيانات_الأساسية!$I:$I, 0)), "")</f>
        <v>0</v>
      </c>
      <c r="H362" s="2">
        <f>IFERROR(INDEX(البيانات_الأساسية!G:G, MATCH(350, البيانات_الأساسية!$I:$I, 0)), "")</f>
        <v>0</v>
      </c>
    </row>
    <row r="363" spans="2:8" s="3" customFormat="1" ht="20" customHeight="1">
      <c r="B363" s="2">
        <f>IFERROR(INDEX(البيانات_الأساسية!A:A, MATCH(351, البيانات_الأساسية!$I:$I, 0)), "")</f>
        <v>0</v>
      </c>
      <c r="C363" s="2">
        <f>IFERROR(INDEX(البيانات_الأساسية!B:B, MATCH(351, البيانات_الأساسية!$I:$I, 0)), "")</f>
        <v>0</v>
      </c>
      <c r="D363" s="2">
        <f>IFERROR(INDEX(البيانات_الأساسية!C:C, MATCH(351, البيانات_الأساسية!$I:$I, 0)), "")</f>
        <v>0</v>
      </c>
      <c r="E363" s="2">
        <f>IFERROR(INDEX(البيانات_الأساسية!D:D, MATCH(351, البيانات_الأساسية!$I:$I, 0)), "")</f>
        <v>0</v>
      </c>
      <c r="F363" s="2">
        <f>IFERROR(INDEX(البيانات_الأساسية!E:E, MATCH(351, البيانات_الأساسية!$I:$I, 0)), "")</f>
        <v>0</v>
      </c>
      <c r="G363" s="2">
        <f>IFERROR(INDEX(البيانات_الأساسية!F:F, MATCH(351, البيانات_الأساسية!$I:$I, 0)), "")</f>
        <v>0</v>
      </c>
      <c r="H363" s="2">
        <f>IFERROR(INDEX(البيانات_الأساسية!G:G, MATCH(351, البيانات_الأساسية!$I:$I, 0)), "")</f>
        <v>0</v>
      </c>
    </row>
    <row r="364" spans="2:8" s="3" customFormat="1" ht="20" customHeight="1">
      <c r="B364" s="2">
        <f>IFERROR(INDEX(البيانات_الأساسية!A:A, MATCH(352, البيانات_الأساسية!$I:$I, 0)), "")</f>
        <v>0</v>
      </c>
      <c r="C364" s="2">
        <f>IFERROR(INDEX(البيانات_الأساسية!B:B, MATCH(352, البيانات_الأساسية!$I:$I, 0)), "")</f>
        <v>0</v>
      </c>
      <c r="D364" s="2">
        <f>IFERROR(INDEX(البيانات_الأساسية!C:C, MATCH(352, البيانات_الأساسية!$I:$I, 0)), "")</f>
        <v>0</v>
      </c>
      <c r="E364" s="2">
        <f>IFERROR(INDEX(البيانات_الأساسية!D:D, MATCH(352, البيانات_الأساسية!$I:$I, 0)), "")</f>
        <v>0</v>
      </c>
      <c r="F364" s="2">
        <f>IFERROR(INDEX(البيانات_الأساسية!E:E, MATCH(352, البيانات_الأساسية!$I:$I, 0)), "")</f>
        <v>0</v>
      </c>
      <c r="G364" s="2">
        <f>IFERROR(INDEX(البيانات_الأساسية!F:F, MATCH(352, البيانات_الأساسية!$I:$I, 0)), "")</f>
        <v>0</v>
      </c>
      <c r="H364" s="2">
        <f>IFERROR(INDEX(البيانات_الأساسية!G:G, MATCH(352, البيانات_الأساسية!$I:$I, 0)), "")</f>
        <v>0</v>
      </c>
    </row>
    <row r="365" spans="2:8" s="3" customFormat="1" ht="20" customHeight="1">
      <c r="B365" s="2">
        <f>IFERROR(INDEX(البيانات_الأساسية!A:A, MATCH(353, البيانات_الأساسية!$I:$I, 0)), "")</f>
        <v>0</v>
      </c>
      <c r="C365" s="2">
        <f>IFERROR(INDEX(البيانات_الأساسية!B:B, MATCH(353, البيانات_الأساسية!$I:$I, 0)), "")</f>
        <v>0</v>
      </c>
      <c r="D365" s="2">
        <f>IFERROR(INDEX(البيانات_الأساسية!C:C, MATCH(353, البيانات_الأساسية!$I:$I, 0)), "")</f>
        <v>0</v>
      </c>
      <c r="E365" s="2">
        <f>IFERROR(INDEX(البيانات_الأساسية!D:D, MATCH(353, البيانات_الأساسية!$I:$I, 0)), "")</f>
        <v>0</v>
      </c>
      <c r="F365" s="2">
        <f>IFERROR(INDEX(البيانات_الأساسية!E:E, MATCH(353, البيانات_الأساسية!$I:$I, 0)), "")</f>
        <v>0</v>
      </c>
      <c r="G365" s="2">
        <f>IFERROR(INDEX(البيانات_الأساسية!F:F, MATCH(353, البيانات_الأساسية!$I:$I, 0)), "")</f>
        <v>0</v>
      </c>
      <c r="H365" s="2">
        <f>IFERROR(INDEX(البيانات_الأساسية!G:G, MATCH(353, البيانات_الأساسية!$I:$I, 0)), "")</f>
        <v>0</v>
      </c>
    </row>
    <row r="366" spans="2:8" s="3" customFormat="1" ht="20" customHeight="1">
      <c r="B366" s="2">
        <f>IFERROR(INDEX(البيانات_الأساسية!A:A, MATCH(354, البيانات_الأساسية!$I:$I, 0)), "")</f>
        <v>0</v>
      </c>
      <c r="C366" s="2">
        <f>IFERROR(INDEX(البيانات_الأساسية!B:B, MATCH(354, البيانات_الأساسية!$I:$I, 0)), "")</f>
        <v>0</v>
      </c>
      <c r="D366" s="2">
        <f>IFERROR(INDEX(البيانات_الأساسية!C:C, MATCH(354, البيانات_الأساسية!$I:$I, 0)), "")</f>
        <v>0</v>
      </c>
      <c r="E366" s="2">
        <f>IFERROR(INDEX(البيانات_الأساسية!D:D, MATCH(354, البيانات_الأساسية!$I:$I, 0)), "")</f>
        <v>0</v>
      </c>
      <c r="F366" s="2">
        <f>IFERROR(INDEX(البيانات_الأساسية!E:E, MATCH(354, البيانات_الأساسية!$I:$I, 0)), "")</f>
        <v>0</v>
      </c>
      <c r="G366" s="2">
        <f>IFERROR(INDEX(البيانات_الأساسية!F:F, MATCH(354, البيانات_الأساسية!$I:$I, 0)), "")</f>
        <v>0</v>
      </c>
      <c r="H366" s="2">
        <f>IFERROR(INDEX(البيانات_الأساسية!G:G, MATCH(354, البيانات_الأساسية!$I:$I, 0)), "")</f>
        <v>0</v>
      </c>
    </row>
    <row r="367" spans="2:8" s="3" customFormat="1" ht="20" customHeight="1">
      <c r="B367" s="2">
        <f>IFERROR(INDEX(البيانات_الأساسية!A:A, MATCH(355, البيانات_الأساسية!$I:$I, 0)), "")</f>
        <v>0</v>
      </c>
      <c r="C367" s="2">
        <f>IFERROR(INDEX(البيانات_الأساسية!B:B, MATCH(355, البيانات_الأساسية!$I:$I, 0)), "")</f>
        <v>0</v>
      </c>
      <c r="D367" s="2">
        <f>IFERROR(INDEX(البيانات_الأساسية!C:C, MATCH(355, البيانات_الأساسية!$I:$I, 0)), "")</f>
        <v>0</v>
      </c>
      <c r="E367" s="2">
        <f>IFERROR(INDEX(البيانات_الأساسية!D:D, MATCH(355, البيانات_الأساسية!$I:$I, 0)), "")</f>
        <v>0</v>
      </c>
      <c r="F367" s="2">
        <f>IFERROR(INDEX(البيانات_الأساسية!E:E, MATCH(355, البيانات_الأساسية!$I:$I, 0)), "")</f>
        <v>0</v>
      </c>
      <c r="G367" s="2">
        <f>IFERROR(INDEX(البيانات_الأساسية!F:F, MATCH(355, البيانات_الأساسية!$I:$I, 0)), "")</f>
        <v>0</v>
      </c>
      <c r="H367" s="2">
        <f>IFERROR(INDEX(البيانات_الأساسية!G:G, MATCH(355, البيانات_الأساسية!$I:$I, 0)), "")</f>
        <v>0</v>
      </c>
    </row>
    <row r="368" spans="2:8" s="3" customFormat="1" ht="20" customHeight="1">
      <c r="B368" s="2">
        <f>IFERROR(INDEX(البيانات_الأساسية!A:A, MATCH(356, البيانات_الأساسية!$I:$I, 0)), "")</f>
        <v>0</v>
      </c>
      <c r="C368" s="2">
        <f>IFERROR(INDEX(البيانات_الأساسية!B:B, MATCH(356, البيانات_الأساسية!$I:$I, 0)), "")</f>
        <v>0</v>
      </c>
      <c r="D368" s="2">
        <f>IFERROR(INDEX(البيانات_الأساسية!C:C, MATCH(356, البيانات_الأساسية!$I:$I, 0)), "")</f>
        <v>0</v>
      </c>
      <c r="E368" s="2">
        <f>IFERROR(INDEX(البيانات_الأساسية!D:D, MATCH(356, البيانات_الأساسية!$I:$I, 0)), "")</f>
        <v>0</v>
      </c>
      <c r="F368" s="2">
        <f>IFERROR(INDEX(البيانات_الأساسية!E:E, MATCH(356, البيانات_الأساسية!$I:$I, 0)), "")</f>
        <v>0</v>
      </c>
      <c r="G368" s="2">
        <f>IFERROR(INDEX(البيانات_الأساسية!F:F, MATCH(356, البيانات_الأساسية!$I:$I, 0)), "")</f>
        <v>0</v>
      </c>
      <c r="H368" s="2">
        <f>IFERROR(INDEX(البيانات_الأساسية!G:G, MATCH(356, البيانات_الأساسية!$I:$I, 0)), "")</f>
        <v>0</v>
      </c>
    </row>
    <row r="369" spans="2:8" s="3" customFormat="1" ht="20" customHeight="1">
      <c r="B369" s="2">
        <f>IFERROR(INDEX(البيانات_الأساسية!A:A, MATCH(357, البيانات_الأساسية!$I:$I, 0)), "")</f>
        <v>0</v>
      </c>
      <c r="C369" s="2">
        <f>IFERROR(INDEX(البيانات_الأساسية!B:B, MATCH(357, البيانات_الأساسية!$I:$I, 0)), "")</f>
        <v>0</v>
      </c>
      <c r="D369" s="2">
        <f>IFERROR(INDEX(البيانات_الأساسية!C:C, MATCH(357, البيانات_الأساسية!$I:$I, 0)), "")</f>
        <v>0</v>
      </c>
      <c r="E369" s="2">
        <f>IFERROR(INDEX(البيانات_الأساسية!D:D, MATCH(357, البيانات_الأساسية!$I:$I, 0)), "")</f>
        <v>0</v>
      </c>
      <c r="F369" s="2">
        <f>IFERROR(INDEX(البيانات_الأساسية!E:E, MATCH(357, البيانات_الأساسية!$I:$I, 0)), "")</f>
        <v>0</v>
      </c>
      <c r="G369" s="2">
        <f>IFERROR(INDEX(البيانات_الأساسية!F:F, MATCH(357, البيانات_الأساسية!$I:$I, 0)), "")</f>
        <v>0</v>
      </c>
      <c r="H369" s="2">
        <f>IFERROR(INDEX(البيانات_الأساسية!G:G, MATCH(357, البيانات_الأساسية!$I:$I, 0)), "")</f>
        <v>0</v>
      </c>
    </row>
    <row r="370" spans="2:8" s="3" customFormat="1" ht="20" customHeight="1">
      <c r="B370" s="2">
        <f>IFERROR(INDEX(البيانات_الأساسية!A:A, MATCH(358, البيانات_الأساسية!$I:$I, 0)), "")</f>
        <v>0</v>
      </c>
      <c r="C370" s="2">
        <f>IFERROR(INDEX(البيانات_الأساسية!B:B, MATCH(358, البيانات_الأساسية!$I:$I, 0)), "")</f>
        <v>0</v>
      </c>
      <c r="D370" s="2">
        <f>IFERROR(INDEX(البيانات_الأساسية!C:C, MATCH(358, البيانات_الأساسية!$I:$I, 0)), "")</f>
        <v>0</v>
      </c>
      <c r="E370" s="2">
        <f>IFERROR(INDEX(البيانات_الأساسية!D:D, MATCH(358, البيانات_الأساسية!$I:$I, 0)), "")</f>
        <v>0</v>
      </c>
      <c r="F370" s="2">
        <f>IFERROR(INDEX(البيانات_الأساسية!E:E, MATCH(358, البيانات_الأساسية!$I:$I, 0)), "")</f>
        <v>0</v>
      </c>
      <c r="G370" s="2">
        <f>IFERROR(INDEX(البيانات_الأساسية!F:F, MATCH(358, البيانات_الأساسية!$I:$I, 0)), "")</f>
        <v>0</v>
      </c>
      <c r="H370" s="2">
        <f>IFERROR(INDEX(البيانات_الأساسية!G:G, MATCH(358, البيانات_الأساسية!$I:$I, 0)), "")</f>
        <v>0</v>
      </c>
    </row>
    <row r="371" spans="2:8" s="3" customFormat="1" ht="20" customHeight="1">
      <c r="B371" s="2">
        <f>IFERROR(INDEX(البيانات_الأساسية!A:A, MATCH(359, البيانات_الأساسية!$I:$I, 0)), "")</f>
        <v>0</v>
      </c>
      <c r="C371" s="2">
        <f>IFERROR(INDEX(البيانات_الأساسية!B:B, MATCH(359, البيانات_الأساسية!$I:$I, 0)), "")</f>
        <v>0</v>
      </c>
      <c r="D371" s="2">
        <f>IFERROR(INDEX(البيانات_الأساسية!C:C, MATCH(359, البيانات_الأساسية!$I:$I, 0)), "")</f>
        <v>0</v>
      </c>
      <c r="E371" s="2">
        <f>IFERROR(INDEX(البيانات_الأساسية!D:D, MATCH(359, البيانات_الأساسية!$I:$I, 0)), "")</f>
        <v>0</v>
      </c>
      <c r="F371" s="2">
        <f>IFERROR(INDEX(البيانات_الأساسية!E:E, MATCH(359, البيانات_الأساسية!$I:$I, 0)), "")</f>
        <v>0</v>
      </c>
      <c r="G371" s="2">
        <f>IFERROR(INDEX(البيانات_الأساسية!F:F, MATCH(359, البيانات_الأساسية!$I:$I, 0)), "")</f>
        <v>0</v>
      </c>
      <c r="H371" s="2">
        <f>IFERROR(INDEX(البيانات_الأساسية!G:G, MATCH(359, البيانات_الأساسية!$I:$I, 0)), "")</f>
        <v>0</v>
      </c>
    </row>
    <row r="372" spans="2:8" s="3" customFormat="1" ht="20" customHeight="1">
      <c r="B372" s="2">
        <f>IFERROR(INDEX(البيانات_الأساسية!A:A, MATCH(360, البيانات_الأساسية!$I:$I, 0)), "")</f>
        <v>0</v>
      </c>
      <c r="C372" s="2">
        <f>IFERROR(INDEX(البيانات_الأساسية!B:B, MATCH(360, البيانات_الأساسية!$I:$I, 0)), "")</f>
        <v>0</v>
      </c>
      <c r="D372" s="2">
        <f>IFERROR(INDEX(البيانات_الأساسية!C:C, MATCH(360, البيانات_الأساسية!$I:$I, 0)), "")</f>
        <v>0</v>
      </c>
      <c r="E372" s="2">
        <f>IFERROR(INDEX(البيانات_الأساسية!D:D, MATCH(360, البيانات_الأساسية!$I:$I, 0)), "")</f>
        <v>0</v>
      </c>
      <c r="F372" s="2">
        <f>IFERROR(INDEX(البيانات_الأساسية!E:E, MATCH(360, البيانات_الأساسية!$I:$I, 0)), "")</f>
        <v>0</v>
      </c>
      <c r="G372" s="2">
        <f>IFERROR(INDEX(البيانات_الأساسية!F:F, MATCH(360, البيانات_الأساسية!$I:$I, 0)), "")</f>
        <v>0</v>
      </c>
      <c r="H372" s="2">
        <f>IFERROR(INDEX(البيانات_الأساسية!G:G, MATCH(360, البيانات_الأساسية!$I:$I, 0)), "")</f>
        <v>0</v>
      </c>
    </row>
    <row r="373" spans="2:8" s="3" customFormat="1" ht="20" customHeight="1">
      <c r="B373" s="2">
        <f>IFERROR(INDEX(البيانات_الأساسية!A:A, MATCH(361, البيانات_الأساسية!$I:$I, 0)), "")</f>
        <v>0</v>
      </c>
      <c r="C373" s="2">
        <f>IFERROR(INDEX(البيانات_الأساسية!B:B, MATCH(361, البيانات_الأساسية!$I:$I, 0)), "")</f>
        <v>0</v>
      </c>
      <c r="D373" s="2">
        <f>IFERROR(INDEX(البيانات_الأساسية!C:C, MATCH(361, البيانات_الأساسية!$I:$I, 0)), "")</f>
        <v>0</v>
      </c>
      <c r="E373" s="2">
        <f>IFERROR(INDEX(البيانات_الأساسية!D:D, MATCH(361, البيانات_الأساسية!$I:$I, 0)), "")</f>
        <v>0</v>
      </c>
      <c r="F373" s="2">
        <f>IFERROR(INDEX(البيانات_الأساسية!E:E, MATCH(361, البيانات_الأساسية!$I:$I, 0)), "")</f>
        <v>0</v>
      </c>
      <c r="G373" s="2">
        <f>IFERROR(INDEX(البيانات_الأساسية!F:F, MATCH(361, البيانات_الأساسية!$I:$I, 0)), "")</f>
        <v>0</v>
      </c>
      <c r="H373" s="2">
        <f>IFERROR(INDEX(البيانات_الأساسية!G:G, MATCH(361, البيانات_الأساسية!$I:$I, 0)), "")</f>
        <v>0</v>
      </c>
    </row>
    <row r="374" spans="2:8" s="3" customFormat="1" ht="20" customHeight="1">
      <c r="B374" s="2">
        <f>IFERROR(INDEX(البيانات_الأساسية!A:A, MATCH(362, البيانات_الأساسية!$I:$I, 0)), "")</f>
        <v>0</v>
      </c>
      <c r="C374" s="2">
        <f>IFERROR(INDEX(البيانات_الأساسية!B:B, MATCH(362, البيانات_الأساسية!$I:$I, 0)), "")</f>
        <v>0</v>
      </c>
      <c r="D374" s="2">
        <f>IFERROR(INDEX(البيانات_الأساسية!C:C, MATCH(362, البيانات_الأساسية!$I:$I, 0)), "")</f>
        <v>0</v>
      </c>
      <c r="E374" s="2">
        <f>IFERROR(INDEX(البيانات_الأساسية!D:D, MATCH(362, البيانات_الأساسية!$I:$I, 0)), "")</f>
        <v>0</v>
      </c>
      <c r="F374" s="2">
        <f>IFERROR(INDEX(البيانات_الأساسية!E:E, MATCH(362, البيانات_الأساسية!$I:$I, 0)), "")</f>
        <v>0</v>
      </c>
      <c r="G374" s="2">
        <f>IFERROR(INDEX(البيانات_الأساسية!F:F, MATCH(362, البيانات_الأساسية!$I:$I, 0)), "")</f>
        <v>0</v>
      </c>
      <c r="H374" s="2">
        <f>IFERROR(INDEX(البيانات_الأساسية!G:G, MATCH(362, البيانات_الأساسية!$I:$I, 0)), "")</f>
        <v>0</v>
      </c>
    </row>
    <row r="375" spans="2:8" s="3" customFormat="1" ht="20" customHeight="1">
      <c r="B375" s="2">
        <f>IFERROR(INDEX(البيانات_الأساسية!A:A, MATCH(363, البيانات_الأساسية!$I:$I, 0)), "")</f>
        <v>0</v>
      </c>
      <c r="C375" s="2">
        <f>IFERROR(INDEX(البيانات_الأساسية!B:B, MATCH(363, البيانات_الأساسية!$I:$I, 0)), "")</f>
        <v>0</v>
      </c>
      <c r="D375" s="2">
        <f>IFERROR(INDEX(البيانات_الأساسية!C:C, MATCH(363, البيانات_الأساسية!$I:$I, 0)), "")</f>
        <v>0</v>
      </c>
      <c r="E375" s="2">
        <f>IFERROR(INDEX(البيانات_الأساسية!D:D, MATCH(363, البيانات_الأساسية!$I:$I, 0)), "")</f>
        <v>0</v>
      </c>
      <c r="F375" s="2">
        <f>IFERROR(INDEX(البيانات_الأساسية!E:E, MATCH(363, البيانات_الأساسية!$I:$I, 0)), "")</f>
        <v>0</v>
      </c>
      <c r="G375" s="2">
        <f>IFERROR(INDEX(البيانات_الأساسية!F:F, MATCH(363, البيانات_الأساسية!$I:$I, 0)), "")</f>
        <v>0</v>
      </c>
      <c r="H375" s="2">
        <f>IFERROR(INDEX(البيانات_الأساسية!G:G, MATCH(363, البيانات_الأساسية!$I:$I, 0)), "")</f>
        <v>0</v>
      </c>
    </row>
    <row r="376" spans="2:8" s="3" customFormat="1" ht="20" customHeight="1">
      <c r="B376" s="2">
        <f>IFERROR(INDEX(البيانات_الأساسية!A:A, MATCH(364, البيانات_الأساسية!$I:$I, 0)), "")</f>
        <v>0</v>
      </c>
      <c r="C376" s="2">
        <f>IFERROR(INDEX(البيانات_الأساسية!B:B, MATCH(364, البيانات_الأساسية!$I:$I, 0)), "")</f>
        <v>0</v>
      </c>
      <c r="D376" s="2">
        <f>IFERROR(INDEX(البيانات_الأساسية!C:C, MATCH(364, البيانات_الأساسية!$I:$I, 0)), "")</f>
        <v>0</v>
      </c>
      <c r="E376" s="2">
        <f>IFERROR(INDEX(البيانات_الأساسية!D:D, MATCH(364, البيانات_الأساسية!$I:$I, 0)), "")</f>
        <v>0</v>
      </c>
      <c r="F376" s="2">
        <f>IFERROR(INDEX(البيانات_الأساسية!E:E, MATCH(364, البيانات_الأساسية!$I:$I, 0)), "")</f>
        <v>0</v>
      </c>
      <c r="G376" s="2">
        <f>IFERROR(INDEX(البيانات_الأساسية!F:F, MATCH(364, البيانات_الأساسية!$I:$I, 0)), "")</f>
        <v>0</v>
      </c>
      <c r="H376" s="2">
        <f>IFERROR(INDEX(البيانات_الأساسية!G:G, MATCH(364, البيانات_الأساسية!$I:$I, 0)), "")</f>
        <v>0</v>
      </c>
    </row>
    <row r="377" spans="2:8" s="3" customFormat="1" ht="20" customHeight="1">
      <c r="B377" s="2">
        <f>IFERROR(INDEX(البيانات_الأساسية!A:A, MATCH(365, البيانات_الأساسية!$I:$I, 0)), "")</f>
        <v>0</v>
      </c>
      <c r="C377" s="2">
        <f>IFERROR(INDEX(البيانات_الأساسية!B:B, MATCH(365, البيانات_الأساسية!$I:$I, 0)), "")</f>
        <v>0</v>
      </c>
      <c r="D377" s="2">
        <f>IFERROR(INDEX(البيانات_الأساسية!C:C, MATCH(365, البيانات_الأساسية!$I:$I, 0)), "")</f>
        <v>0</v>
      </c>
      <c r="E377" s="2">
        <f>IFERROR(INDEX(البيانات_الأساسية!D:D, MATCH(365, البيانات_الأساسية!$I:$I, 0)), "")</f>
        <v>0</v>
      </c>
      <c r="F377" s="2">
        <f>IFERROR(INDEX(البيانات_الأساسية!E:E, MATCH(365, البيانات_الأساسية!$I:$I, 0)), "")</f>
        <v>0</v>
      </c>
      <c r="G377" s="2">
        <f>IFERROR(INDEX(البيانات_الأساسية!F:F, MATCH(365, البيانات_الأساسية!$I:$I, 0)), "")</f>
        <v>0</v>
      </c>
      <c r="H377" s="2">
        <f>IFERROR(INDEX(البيانات_الأساسية!G:G, MATCH(365, البيانات_الأساسية!$I:$I, 0)), "")</f>
        <v>0</v>
      </c>
    </row>
    <row r="378" spans="2:8" s="3" customFormat="1" ht="20" customHeight="1">
      <c r="B378" s="2">
        <f>IFERROR(INDEX(البيانات_الأساسية!A:A, MATCH(366, البيانات_الأساسية!$I:$I, 0)), "")</f>
        <v>0</v>
      </c>
      <c r="C378" s="2">
        <f>IFERROR(INDEX(البيانات_الأساسية!B:B, MATCH(366, البيانات_الأساسية!$I:$I, 0)), "")</f>
        <v>0</v>
      </c>
      <c r="D378" s="2">
        <f>IFERROR(INDEX(البيانات_الأساسية!C:C, MATCH(366, البيانات_الأساسية!$I:$I, 0)), "")</f>
        <v>0</v>
      </c>
      <c r="E378" s="2">
        <f>IFERROR(INDEX(البيانات_الأساسية!D:D, MATCH(366, البيانات_الأساسية!$I:$I, 0)), "")</f>
        <v>0</v>
      </c>
      <c r="F378" s="2">
        <f>IFERROR(INDEX(البيانات_الأساسية!E:E, MATCH(366, البيانات_الأساسية!$I:$I, 0)), "")</f>
        <v>0</v>
      </c>
      <c r="G378" s="2">
        <f>IFERROR(INDEX(البيانات_الأساسية!F:F, MATCH(366, البيانات_الأساسية!$I:$I, 0)), "")</f>
        <v>0</v>
      </c>
      <c r="H378" s="2">
        <f>IFERROR(INDEX(البيانات_الأساسية!G:G, MATCH(366, البيانات_الأساسية!$I:$I, 0)), "")</f>
        <v>0</v>
      </c>
    </row>
    <row r="379" spans="2:8" s="3" customFormat="1" ht="20" customHeight="1">
      <c r="B379" s="2">
        <f>IFERROR(INDEX(البيانات_الأساسية!A:A, MATCH(367, البيانات_الأساسية!$I:$I, 0)), "")</f>
        <v>0</v>
      </c>
      <c r="C379" s="2">
        <f>IFERROR(INDEX(البيانات_الأساسية!B:B, MATCH(367, البيانات_الأساسية!$I:$I, 0)), "")</f>
        <v>0</v>
      </c>
      <c r="D379" s="2">
        <f>IFERROR(INDEX(البيانات_الأساسية!C:C, MATCH(367, البيانات_الأساسية!$I:$I, 0)), "")</f>
        <v>0</v>
      </c>
      <c r="E379" s="2">
        <f>IFERROR(INDEX(البيانات_الأساسية!D:D, MATCH(367, البيانات_الأساسية!$I:$I, 0)), "")</f>
        <v>0</v>
      </c>
      <c r="F379" s="2">
        <f>IFERROR(INDEX(البيانات_الأساسية!E:E, MATCH(367, البيانات_الأساسية!$I:$I, 0)), "")</f>
        <v>0</v>
      </c>
      <c r="G379" s="2">
        <f>IFERROR(INDEX(البيانات_الأساسية!F:F, MATCH(367, البيانات_الأساسية!$I:$I, 0)), "")</f>
        <v>0</v>
      </c>
      <c r="H379" s="2">
        <f>IFERROR(INDEX(البيانات_الأساسية!G:G, MATCH(367, البيانات_الأساسية!$I:$I, 0)), "")</f>
        <v>0</v>
      </c>
    </row>
    <row r="380" spans="2:8" s="3" customFormat="1" ht="20" customHeight="1">
      <c r="B380" s="2">
        <f>IFERROR(INDEX(البيانات_الأساسية!A:A, MATCH(368, البيانات_الأساسية!$I:$I, 0)), "")</f>
        <v>0</v>
      </c>
      <c r="C380" s="2">
        <f>IFERROR(INDEX(البيانات_الأساسية!B:B, MATCH(368, البيانات_الأساسية!$I:$I, 0)), "")</f>
        <v>0</v>
      </c>
      <c r="D380" s="2">
        <f>IFERROR(INDEX(البيانات_الأساسية!C:C, MATCH(368, البيانات_الأساسية!$I:$I, 0)), "")</f>
        <v>0</v>
      </c>
      <c r="E380" s="2">
        <f>IFERROR(INDEX(البيانات_الأساسية!D:D, MATCH(368, البيانات_الأساسية!$I:$I, 0)), "")</f>
        <v>0</v>
      </c>
      <c r="F380" s="2">
        <f>IFERROR(INDEX(البيانات_الأساسية!E:E, MATCH(368, البيانات_الأساسية!$I:$I, 0)), "")</f>
        <v>0</v>
      </c>
      <c r="G380" s="2">
        <f>IFERROR(INDEX(البيانات_الأساسية!F:F, MATCH(368, البيانات_الأساسية!$I:$I, 0)), "")</f>
        <v>0</v>
      </c>
      <c r="H380" s="2">
        <f>IFERROR(INDEX(البيانات_الأساسية!G:G, MATCH(368, البيانات_الأساسية!$I:$I, 0)), "")</f>
        <v>0</v>
      </c>
    </row>
    <row r="381" spans="2:8" s="3" customFormat="1" ht="20" customHeight="1">
      <c r="B381" s="2">
        <f>IFERROR(INDEX(البيانات_الأساسية!A:A, MATCH(369, البيانات_الأساسية!$I:$I, 0)), "")</f>
        <v>0</v>
      </c>
      <c r="C381" s="2">
        <f>IFERROR(INDEX(البيانات_الأساسية!B:B, MATCH(369, البيانات_الأساسية!$I:$I, 0)), "")</f>
        <v>0</v>
      </c>
      <c r="D381" s="2">
        <f>IFERROR(INDEX(البيانات_الأساسية!C:C, MATCH(369, البيانات_الأساسية!$I:$I, 0)), "")</f>
        <v>0</v>
      </c>
      <c r="E381" s="2">
        <f>IFERROR(INDEX(البيانات_الأساسية!D:D, MATCH(369, البيانات_الأساسية!$I:$I, 0)), "")</f>
        <v>0</v>
      </c>
      <c r="F381" s="2">
        <f>IFERROR(INDEX(البيانات_الأساسية!E:E, MATCH(369, البيانات_الأساسية!$I:$I, 0)), "")</f>
        <v>0</v>
      </c>
      <c r="G381" s="2">
        <f>IFERROR(INDEX(البيانات_الأساسية!F:F, MATCH(369, البيانات_الأساسية!$I:$I, 0)), "")</f>
        <v>0</v>
      </c>
      <c r="H381" s="2">
        <f>IFERROR(INDEX(البيانات_الأساسية!G:G, MATCH(369, البيانات_الأساسية!$I:$I, 0)), "")</f>
        <v>0</v>
      </c>
    </row>
    <row r="382" spans="2:8" s="3" customFormat="1" ht="20" customHeight="1">
      <c r="B382" s="2">
        <f>IFERROR(INDEX(البيانات_الأساسية!A:A, MATCH(370, البيانات_الأساسية!$I:$I, 0)), "")</f>
        <v>0</v>
      </c>
      <c r="C382" s="2">
        <f>IFERROR(INDEX(البيانات_الأساسية!B:B, MATCH(370, البيانات_الأساسية!$I:$I, 0)), "")</f>
        <v>0</v>
      </c>
      <c r="D382" s="2">
        <f>IFERROR(INDEX(البيانات_الأساسية!C:C, MATCH(370, البيانات_الأساسية!$I:$I, 0)), "")</f>
        <v>0</v>
      </c>
      <c r="E382" s="2">
        <f>IFERROR(INDEX(البيانات_الأساسية!D:D, MATCH(370, البيانات_الأساسية!$I:$I, 0)), "")</f>
        <v>0</v>
      </c>
      <c r="F382" s="2">
        <f>IFERROR(INDEX(البيانات_الأساسية!E:E, MATCH(370, البيانات_الأساسية!$I:$I, 0)), "")</f>
        <v>0</v>
      </c>
      <c r="G382" s="2">
        <f>IFERROR(INDEX(البيانات_الأساسية!F:F, MATCH(370, البيانات_الأساسية!$I:$I, 0)), "")</f>
        <v>0</v>
      </c>
      <c r="H382" s="2">
        <f>IFERROR(INDEX(البيانات_الأساسية!G:G, MATCH(370, البيانات_الأساسية!$I:$I, 0)), "")</f>
        <v>0</v>
      </c>
    </row>
    <row r="383" spans="2:8" s="3" customFormat="1" ht="20" customHeight="1">
      <c r="B383" s="2">
        <f>IFERROR(INDEX(البيانات_الأساسية!A:A, MATCH(371, البيانات_الأساسية!$I:$I, 0)), "")</f>
        <v>0</v>
      </c>
      <c r="C383" s="2">
        <f>IFERROR(INDEX(البيانات_الأساسية!B:B, MATCH(371, البيانات_الأساسية!$I:$I, 0)), "")</f>
        <v>0</v>
      </c>
      <c r="D383" s="2">
        <f>IFERROR(INDEX(البيانات_الأساسية!C:C, MATCH(371, البيانات_الأساسية!$I:$I, 0)), "")</f>
        <v>0</v>
      </c>
      <c r="E383" s="2">
        <f>IFERROR(INDEX(البيانات_الأساسية!D:D, MATCH(371, البيانات_الأساسية!$I:$I, 0)), "")</f>
        <v>0</v>
      </c>
      <c r="F383" s="2">
        <f>IFERROR(INDEX(البيانات_الأساسية!E:E, MATCH(371, البيانات_الأساسية!$I:$I, 0)), "")</f>
        <v>0</v>
      </c>
      <c r="G383" s="2">
        <f>IFERROR(INDEX(البيانات_الأساسية!F:F, MATCH(371, البيانات_الأساسية!$I:$I, 0)), "")</f>
        <v>0</v>
      </c>
      <c r="H383" s="2">
        <f>IFERROR(INDEX(البيانات_الأساسية!G:G, MATCH(371, البيانات_الأساسية!$I:$I, 0)), "")</f>
        <v>0</v>
      </c>
    </row>
    <row r="384" spans="2:8" s="3" customFormat="1" ht="20" customHeight="1">
      <c r="B384" s="2">
        <f>IFERROR(INDEX(البيانات_الأساسية!A:A, MATCH(372, البيانات_الأساسية!$I:$I, 0)), "")</f>
        <v>0</v>
      </c>
      <c r="C384" s="2">
        <f>IFERROR(INDEX(البيانات_الأساسية!B:B, MATCH(372, البيانات_الأساسية!$I:$I, 0)), "")</f>
        <v>0</v>
      </c>
      <c r="D384" s="2">
        <f>IFERROR(INDEX(البيانات_الأساسية!C:C, MATCH(372, البيانات_الأساسية!$I:$I, 0)), "")</f>
        <v>0</v>
      </c>
      <c r="E384" s="2">
        <f>IFERROR(INDEX(البيانات_الأساسية!D:D, MATCH(372, البيانات_الأساسية!$I:$I, 0)), "")</f>
        <v>0</v>
      </c>
      <c r="F384" s="2">
        <f>IFERROR(INDEX(البيانات_الأساسية!E:E, MATCH(372, البيانات_الأساسية!$I:$I, 0)), "")</f>
        <v>0</v>
      </c>
      <c r="G384" s="2">
        <f>IFERROR(INDEX(البيانات_الأساسية!F:F, MATCH(372, البيانات_الأساسية!$I:$I, 0)), "")</f>
        <v>0</v>
      </c>
      <c r="H384" s="2">
        <f>IFERROR(INDEX(البيانات_الأساسية!G:G, MATCH(372, البيانات_الأساسية!$I:$I, 0)), "")</f>
        <v>0</v>
      </c>
    </row>
    <row r="385" spans="2:8" s="3" customFormat="1" ht="20" customHeight="1">
      <c r="B385" s="2">
        <f>IFERROR(INDEX(البيانات_الأساسية!A:A, MATCH(373, البيانات_الأساسية!$I:$I, 0)), "")</f>
        <v>0</v>
      </c>
      <c r="C385" s="2">
        <f>IFERROR(INDEX(البيانات_الأساسية!B:B, MATCH(373, البيانات_الأساسية!$I:$I, 0)), "")</f>
        <v>0</v>
      </c>
      <c r="D385" s="2">
        <f>IFERROR(INDEX(البيانات_الأساسية!C:C, MATCH(373, البيانات_الأساسية!$I:$I, 0)), "")</f>
        <v>0</v>
      </c>
      <c r="E385" s="2">
        <f>IFERROR(INDEX(البيانات_الأساسية!D:D, MATCH(373, البيانات_الأساسية!$I:$I, 0)), "")</f>
        <v>0</v>
      </c>
      <c r="F385" s="2">
        <f>IFERROR(INDEX(البيانات_الأساسية!E:E, MATCH(373, البيانات_الأساسية!$I:$I, 0)), "")</f>
        <v>0</v>
      </c>
      <c r="G385" s="2">
        <f>IFERROR(INDEX(البيانات_الأساسية!F:F, MATCH(373, البيانات_الأساسية!$I:$I, 0)), "")</f>
        <v>0</v>
      </c>
      <c r="H385" s="2">
        <f>IFERROR(INDEX(البيانات_الأساسية!G:G, MATCH(373, البيانات_الأساسية!$I:$I, 0)), "")</f>
        <v>0</v>
      </c>
    </row>
    <row r="386" spans="2:8" s="3" customFormat="1" ht="20" customHeight="1">
      <c r="B386" s="2">
        <f>IFERROR(INDEX(البيانات_الأساسية!A:A, MATCH(374, البيانات_الأساسية!$I:$I, 0)), "")</f>
        <v>0</v>
      </c>
      <c r="C386" s="2">
        <f>IFERROR(INDEX(البيانات_الأساسية!B:B, MATCH(374, البيانات_الأساسية!$I:$I, 0)), "")</f>
        <v>0</v>
      </c>
      <c r="D386" s="2">
        <f>IFERROR(INDEX(البيانات_الأساسية!C:C, MATCH(374, البيانات_الأساسية!$I:$I, 0)), "")</f>
        <v>0</v>
      </c>
      <c r="E386" s="2">
        <f>IFERROR(INDEX(البيانات_الأساسية!D:D, MATCH(374, البيانات_الأساسية!$I:$I, 0)), "")</f>
        <v>0</v>
      </c>
      <c r="F386" s="2">
        <f>IFERROR(INDEX(البيانات_الأساسية!E:E, MATCH(374, البيانات_الأساسية!$I:$I, 0)), "")</f>
        <v>0</v>
      </c>
      <c r="G386" s="2">
        <f>IFERROR(INDEX(البيانات_الأساسية!F:F, MATCH(374, البيانات_الأساسية!$I:$I, 0)), "")</f>
        <v>0</v>
      </c>
      <c r="H386" s="2">
        <f>IFERROR(INDEX(البيانات_الأساسية!G:G, MATCH(374, البيانات_الأساسية!$I:$I, 0)), "")</f>
        <v>0</v>
      </c>
    </row>
    <row r="387" spans="2:8" s="3" customFormat="1" ht="20" customHeight="1">
      <c r="B387" s="2">
        <f>IFERROR(INDEX(البيانات_الأساسية!A:A, MATCH(375, البيانات_الأساسية!$I:$I, 0)), "")</f>
        <v>0</v>
      </c>
      <c r="C387" s="2">
        <f>IFERROR(INDEX(البيانات_الأساسية!B:B, MATCH(375, البيانات_الأساسية!$I:$I, 0)), "")</f>
        <v>0</v>
      </c>
      <c r="D387" s="2">
        <f>IFERROR(INDEX(البيانات_الأساسية!C:C, MATCH(375, البيانات_الأساسية!$I:$I, 0)), "")</f>
        <v>0</v>
      </c>
      <c r="E387" s="2">
        <f>IFERROR(INDEX(البيانات_الأساسية!D:D, MATCH(375, البيانات_الأساسية!$I:$I, 0)), "")</f>
        <v>0</v>
      </c>
      <c r="F387" s="2">
        <f>IFERROR(INDEX(البيانات_الأساسية!E:E, MATCH(375, البيانات_الأساسية!$I:$I, 0)), "")</f>
        <v>0</v>
      </c>
      <c r="G387" s="2">
        <f>IFERROR(INDEX(البيانات_الأساسية!F:F, MATCH(375, البيانات_الأساسية!$I:$I, 0)), "")</f>
        <v>0</v>
      </c>
      <c r="H387" s="2">
        <f>IFERROR(INDEX(البيانات_الأساسية!G:G, MATCH(375, البيانات_الأساسية!$I:$I, 0)), "")</f>
        <v>0</v>
      </c>
    </row>
    <row r="388" spans="2:8" s="3" customFormat="1" ht="20" customHeight="1">
      <c r="B388" s="2">
        <f>IFERROR(INDEX(البيانات_الأساسية!A:A, MATCH(376, البيانات_الأساسية!$I:$I, 0)), "")</f>
        <v>0</v>
      </c>
      <c r="C388" s="2">
        <f>IFERROR(INDEX(البيانات_الأساسية!B:B, MATCH(376, البيانات_الأساسية!$I:$I, 0)), "")</f>
        <v>0</v>
      </c>
      <c r="D388" s="2">
        <f>IFERROR(INDEX(البيانات_الأساسية!C:C, MATCH(376, البيانات_الأساسية!$I:$I, 0)), "")</f>
        <v>0</v>
      </c>
      <c r="E388" s="2">
        <f>IFERROR(INDEX(البيانات_الأساسية!D:D, MATCH(376, البيانات_الأساسية!$I:$I, 0)), "")</f>
        <v>0</v>
      </c>
      <c r="F388" s="2">
        <f>IFERROR(INDEX(البيانات_الأساسية!E:E, MATCH(376, البيانات_الأساسية!$I:$I, 0)), "")</f>
        <v>0</v>
      </c>
      <c r="G388" s="2">
        <f>IFERROR(INDEX(البيانات_الأساسية!F:F, MATCH(376, البيانات_الأساسية!$I:$I, 0)), "")</f>
        <v>0</v>
      </c>
      <c r="H388" s="2">
        <f>IFERROR(INDEX(البيانات_الأساسية!G:G, MATCH(376, البيانات_الأساسية!$I:$I, 0)), "")</f>
        <v>0</v>
      </c>
    </row>
    <row r="389" spans="2:8" s="3" customFormat="1" ht="20" customHeight="1">
      <c r="B389" s="2">
        <f>IFERROR(INDEX(البيانات_الأساسية!A:A, MATCH(377, البيانات_الأساسية!$I:$I, 0)), "")</f>
        <v>0</v>
      </c>
      <c r="C389" s="2">
        <f>IFERROR(INDEX(البيانات_الأساسية!B:B, MATCH(377, البيانات_الأساسية!$I:$I, 0)), "")</f>
        <v>0</v>
      </c>
      <c r="D389" s="2">
        <f>IFERROR(INDEX(البيانات_الأساسية!C:C, MATCH(377, البيانات_الأساسية!$I:$I, 0)), "")</f>
        <v>0</v>
      </c>
      <c r="E389" s="2">
        <f>IFERROR(INDEX(البيانات_الأساسية!D:D, MATCH(377, البيانات_الأساسية!$I:$I, 0)), "")</f>
        <v>0</v>
      </c>
      <c r="F389" s="2">
        <f>IFERROR(INDEX(البيانات_الأساسية!E:E, MATCH(377, البيانات_الأساسية!$I:$I, 0)), "")</f>
        <v>0</v>
      </c>
      <c r="G389" s="2">
        <f>IFERROR(INDEX(البيانات_الأساسية!F:F, MATCH(377, البيانات_الأساسية!$I:$I, 0)), "")</f>
        <v>0</v>
      </c>
      <c r="H389" s="2">
        <f>IFERROR(INDEX(البيانات_الأساسية!G:G, MATCH(377, البيانات_الأساسية!$I:$I, 0)), "")</f>
        <v>0</v>
      </c>
    </row>
    <row r="390" spans="2:8" s="3" customFormat="1" ht="20" customHeight="1">
      <c r="B390" s="2">
        <f>IFERROR(INDEX(البيانات_الأساسية!A:A, MATCH(378, البيانات_الأساسية!$I:$I, 0)), "")</f>
        <v>0</v>
      </c>
      <c r="C390" s="2">
        <f>IFERROR(INDEX(البيانات_الأساسية!B:B, MATCH(378, البيانات_الأساسية!$I:$I, 0)), "")</f>
        <v>0</v>
      </c>
      <c r="D390" s="2">
        <f>IFERROR(INDEX(البيانات_الأساسية!C:C, MATCH(378, البيانات_الأساسية!$I:$I, 0)), "")</f>
        <v>0</v>
      </c>
      <c r="E390" s="2">
        <f>IFERROR(INDEX(البيانات_الأساسية!D:D, MATCH(378, البيانات_الأساسية!$I:$I, 0)), "")</f>
        <v>0</v>
      </c>
      <c r="F390" s="2">
        <f>IFERROR(INDEX(البيانات_الأساسية!E:E, MATCH(378, البيانات_الأساسية!$I:$I, 0)), "")</f>
        <v>0</v>
      </c>
      <c r="G390" s="2">
        <f>IFERROR(INDEX(البيانات_الأساسية!F:F, MATCH(378, البيانات_الأساسية!$I:$I, 0)), "")</f>
        <v>0</v>
      </c>
      <c r="H390" s="2">
        <f>IFERROR(INDEX(البيانات_الأساسية!G:G, MATCH(378, البيانات_الأساسية!$I:$I, 0)), "")</f>
        <v>0</v>
      </c>
    </row>
    <row r="391" spans="2:8" s="3" customFormat="1" ht="20" customHeight="1">
      <c r="B391" s="2">
        <f>IFERROR(INDEX(البيانات_الأساسية!A:A, MATCH(379, البيانات_الأساسية!$I:$I, 0)), "")</f>
        <v>0</v>
      </c>
      <c r="C391" s="2">
        <f>IFERROR(INDEX(البيانات_الأساسية!B:B, MATCH(379, البيانات_الأساسية!$I:$I, 0)), "")</f>
        <v>0</v>
      </c>
      <c r="D391" s="2">
        <f>IFERROR(INDEX(البيانات_الأساسية!C:C, MATCH(379, البيانات_الأساسية!$I:$I, 0)), "")</f>
        <v>0</v>
      </c>
      <c r="E391" s="2">
        <f>IFERROR(INDEX(البيانات_الأساسية!D:D, MATCH(379, البيانات_الأساسية!$I:$I, 0)), "")</f>
        <v>0</v>
      </c>
      <c r="F391" s="2">
        <f>IFERROR(INDEX(البيانات_الأساسية!E:E, MATCH(379, البيانات_الأساسية!$I:$I, 0)), "")</f>
        <v>0</v>
      </c>
      <c r="G391" s="2">
        <f>IFERROR(INDEX(البيانات_الأساسية!F:F, MATCH(379, البيانات_الأساسية!$I:$I, 0)), "")</f>
        <v>0</v>
      </c>
      <c r="H391" s="2">
        <f>IFERROR(INDEX(البيانات_الأساسية!G:G, MATCH(379, البيانات_الأساسية!$I:$I, 0)), "")</f>
        <v>0</v>
      </c>
    </row>
    <row r="392" spans="2:8" s="3" customFormat="1" ht="20" customHeight="1">
      <c r="B392" s="2">
        <f>IFERROR(INDEX(البيانات_الأساسية!A:A, MATCH(380, البيانات_الأساسية!$I:$I, 0)), "")</f>
        <v>0</v>
      </c>
      <c r="C392" s="2">
        <f>IFERROR(INDEX(البيانات_الأساسية!B:B, MATCH(380, البيانات_الأساسية!$I:$I, 0)), "")</f>
        <v>0</v>
      </c>
      <c r="D392" s="2">
        <f>IFERROR(INDEX(البيانات_الأساسية!C:C, MATCH(380, البيانات_الأساسية!$I:$I, 0)), "")</f>
        <v>0</v>
      </c>
      <c r="E392" s="2">
        <f>IFERROR(INDEX(البيانات_الأساسية!D:D, MATCH(380, البيانات_الأساسية!$I:$I, 0)), "")</f>
        <v>0</v>
      </c>
      <c r="F392" s="2">
        <f>IFERROR(INDEX(البيانات_الأساسية!E:E, MATCH(380, البيانات_الأساسية!$I:$I, 0)), "")</f>
        <v>0</v>
      </c>
      <c r="G392" s="2">
        <f>IFERROR(INDEX(البيانات_الأساسية!F:F, MATCH(380, البيانات_الأساسية!$I:$I, 0)), "")</f>
        <v>0</v>
      </c>
      <c r="H392" s="2">
        <f>IFERROR(INDEX(البيانات_الأساسية!G:G, MATCH(380, البيانات_الأساسية!$I:$I, 0)), "")</f>
        <v>0</v>
      </c>
    </row>
    <row r="393" spans="2:8" s="3" customFormat="1" ht="20" customHeight="1">
      <c r="B393" s="2">
        <f>IFERROR(INDEX(البيانات_الأساسية!A:A, MATCH(381, البيانات_الأساسية!$I:$I, 0)), "")</f>
        <v>0</v>
      </c>
      <c r="C393" s="2">
        <f>IFERROR(INDEX(البيانات_الأساسية!B:B, MATCH(381, البيانات_الأساسية!$I:$I, 0)), "")</f>
        <v>0</v>
      </c>
      <c r="D393" s="2">
        <f>IFERROR(INDEX(البيانات_الأساسية!C:C, MATCH(381, البيانات_الأساسية!$I:$I, 0)), "")</f>
        <v>0</v>
      </c>
      <c r="E393" s="2">
        <f>IFERROR(INDEX(البيانات_الأساسية!D:D, MATCH(381, البيانات_الأساسية!$I:$I, 0)), "")</f>
        <v>0</v>
      </c>
      <c r="F393" s="2">
        <f>IFERROR(INDEX(البيانات_الأساسية!E:E, MATCH(381, البيانات_الأساسية!$I:$I, 0)), "")</f>
        <v>0</v>
      </c>
      <c r="G393" s="2">
        <f>IFERROR(INDEX(البيانات_الأساسية!F:F, MATCH(381, البيانات_الأساسية!$I:$I, 0)), "")</f>
        <v>0</v>
      </c>
      <c r="H393" s="2">
        <f>IFERROR(INDEX(البيانات_الأساسية!G:G, MATCH(381, البيانات_الأساسية!$I:$I, 0)), "")</f>
        <v>0</v>
      </c>
    </row>
    <row r="394" spans="2:8" s="3" customFormat="1" ht="20" customHeight="1">
      <c r="B394" s="2">
        <f>IFERROR(INDEX(البيانات_الأساسية!A:A, MATCH(382, البيانات_الأساسية!$I:$I, 0)), "")</f>
        <v>0</v>
      </c>
      <c r="C394" s="2">
        <f>IFERROR(INDEX(البيانات_الأساسية!B:B, MATCH(382, البيانات_الأساسية!$I:$I, 0)), "")</f>
        <v>0</v>
      </c>
      <c r="D394" s="2">
        <f>IFERROR(INDEX(البيانات_الأساسية!C:C, MATCH(382, البيانات_الأساسية!$I:$I, 0)), "")</f>
        <v>0</v>
      </c>
      <c r="E394" s="2">
        <f>IFERROR(INDEX(البيانات_الأساسية!D:D, MATCH(382, البيانات_الأساسية!$I:$I, 0)), "")</f>
        <v>0</v>
      </c>
      <c r="F394" s="2">
        <f>IFERROR(INDEX(البيانات_الأساسية!E:E, MATCH(382, البيانات_الأساسية!$I:$I, 0)), "")</f>
        <v>0</v>
      </c>
      <c r="G394" s="2">
        <f>IFERROR(INDEX(البيانات_الأساسية!F:F, MATCH(382, البيانات_الأساسية!$I:$I, 0)), "")</f>
        <v>0</v>
      </c>
      <c r="H394" s="2">
        <f>IFERROR(INDEX(البيانات_الأساسية!G:G, MATCH(382, البيانات_الأساسية!$I:$I, 0)), "")</f>
        <v>0</v>
      </c>
    </row>
    <row r="395" spans="2:8" s="3" customFormat="1" ht="20" customHeight="1">
      <c r="B395" s="2">
        <f>IFERROR(INDEX(البيانات_الأساسية!A:A, MATCH(383, البيانات_الأساسية!$I:$I, 0)), "")</f>
        <v>0</v>
      </c>
      <c r="C395" s="2">
        <f>IFERROR(INDEX(البيانات_الأساسية!B:B, MATCH(383, البيانات_الأساسية!$I:$I, 0)), "")</f>
        <v>0</v>
      </c>
      <c r="D395" s="2">
        <f>IFERROR(INDEX(البيانات_الأساسية!C:C, MATCH(383, البيانات_الأساسية!$I:$I, 0)), "")</f>
        <v>0</v>
      </c>
      <c r="E395" s="2">
        <f>IFERROR(INDEX(البيانات_الأساسية!D:D, MATCH(383, البيانات_الأساسية!$I:$I, 0)), "")</f>
        <v>0</v>
      </c>
      <c r="F395" s="2">
        <f>IFERROR(INDEX(البيانات_الأساسية!E:E, MATCH(383, البيانات_الأساسية!$I:$I, 0)), "")</f>
        <v>0</v>
      </c>
      <c r="G395" s="2">
        <f>IFERROR(INDEX(البيانات_الأساسية!F:F, MATCH(383, البيانات_الأساسية!$I:$I, 0)), "")</f>
        <v>0</v>
      </c>
      <c r="H395" s="2">
        <f>IFERROR(INDEX(البيانات_الأساسية!G:G, MATCH(383, البيانات_الأساسية!$I:$I, 0)), "")</f>
        <v>0</v>
      </c>
    </row>
    <row r="396" spans="2:8" s="3" customFormat="1" ht="20" customHeight="1">
      <c r="B396" s="2">
        <f>IFERROR(INDEX(البيانات_الأساسية!A:A, MATCH(384, البيانات_الأساسية!$I:$I, 0)), "")</f>
        <v>0</v>
      </c>
      <c r="C396" s="2">
        <f>IFERROR(INDEX(البيانات_الأساسية!B:B, MATCH(384, البيانات_الأساسية!$I:$I, 0)), "")</f>
        <v>0</v>
      </c>
      <c r="D396" s="2">
        <f>IFERROR(INDEX(البيانات_الأساسية!C:C, MATCH(384, البيانات_الأساسية!$I:$I, 0)), "")</f>
        <v>0</v>
      </c>
      <c r="E396" s="2">
        <f>IFERROR(INDEX(البيانات_الأساسية!D:D, MATCH(384, البيانات_الأساسية!$I:$I, 0)), "")</f>
        <v>0</v>
      </c>
      <c r="F396" s="2">
        <f>IFERROR(INDEX(البيانات_الأساسية!E:E, MATCH(384, البيانات_الأساسية!$I:$I, 0)), "")</f>
        <v>0</v>
      </c>
      <c r="G396" s="2">
        <f>IFERROR(INDEX(البيانات_الأساسية!F:F, MATCH(384, البيانات_الأساسية!$I:$I, 0)), "")</f>
        <v>0</v>
      </c>
      <c r="H396" s="2">
        <f>IFERROR(INDEX(البيانات_الأساسية!G:G, MATCH(384, البيانات_الأساسية!$I:$I, 0)), "")</f>
        <v>0</v>
      </c>
    </row>
    <row r="397" spans="2:8" s="3" customFormat="1" ht="20" customHeight="1">
      <c r="B397" s="2">
        <f>IFERROR(INDEX(البيانات_الأساسية!A:A, MATCH(385, البيانات_الأساسية!$I:$I, 0)), "")</f>
        <v>0</v>
      </c>
      <c r="C397" s="2">
        <f>IFERROR(INDEX(البيانات_الأساسية!B:B, MATCH(385, البيانات_الأساسية!$I:$I, 0)), "")</f>
        <v>0</v>
      </c>
      <c r="D397" s="2">
        <f>IFERROR(INDEX(البيانات_الأساسية!C:C, MATCH(385, البيانات_الأساسية!$I:$I, 0)), "")</f>
        <v>0</v>
      </c>
      <c r="E397" s="2">
        <f>IFERROR(INDEX(البيانات_الأساسية!D:D, MATCH(385, البيانات_الأساسية!$I:$I, 0)), "")</f>
        <v>0</v>
      </c>
      <c r="F397" s="2">
        <f>IFERROR(INDEX(البيانات_الأساسية!E:E, MATCH(385, البيانات_الأساسية!$I:$I, 0)), "")</f>
        <v>0</v>
      </c>
      <c r="G397" s="2">
        <f>IFERROR(INDEX(البيانات_الأساسية!F:F, MATCH(385, البيانات_الأساسية!$I:$I, 0)), "")</f>
        <v>0</v>
      </c>
      <c r="H397" s="2">
        <f>IFERROR(INDEX(البيانات_الأساسية!G:G, MATCH(385, البيانات_الأساسية!$I:$I, 0)), "")</f>
        <v>0</v>
      </c>
    </row>
    <row r="398" spans="2:8" s="3" customFormat="1" ht="20" customHeight="1">
      <c r="B398" s="2">
        <f>IFERROR(INDEX(البيانات_الأساسية!A:A, MATCH(386, البيانات_الأساسية!$I:$I, 0)), "")</f>
        <v>0</v>
      </c>
      <c r="C398" s="2">
        <f>IFERROR(INDEX(البيانات_الأساسية!B:B, MATCH(386, البيانات_الأساسية!$I:$I, 0)), "")</f>
        <v>0</v>
      </c>
      <c r="D398" s="2">
        <f>IFERROR(INDEX(البيانات_الأساسية!C:C, MATCH(386, البيانات_الأساسية!$I:$I, 0)), "")</f>
        <v>0</v>
      </c>
      <c r="E398" s="2">
        <f>IFERROR(INDEX(البيانات_الأساسية!D:D, MATCH(386, البيانات_الأساسية!$I:$I, 0)), "")</f>
        <v>0</v>
      </c>
      <c r="F398" s="2">
        <f>IFERROR(INDEX(البيانات_الأساسية!E:E, MATCH(386, البيانات_الأساسية!$I:$I, 0)), "")</f>
        <v>0</v>
      </c>
      <c r="G398" s="2">
        <f>IFERROR(INDEX(البيانات_الأساسية!F:F, MATCH(386, البيانات_الأساسية!$I:$I, 0)), "")</f>
        <v>0</v>
      </c>
      <c r="H398" s="2">
        <f>IFERROR(INDEX(البيانات_الأساسية!G:G, MATCH(386, البيانات_الأساسية!$I:$I, 0)), "")</f>
        <v>0</v>
      </c>
    </row>
    <row r="399" spans="2:8" s="3" customFormat="1" ht="20" customHeight="1">
      <c r="B399" s="2">
        <f>IFERROR(INDEX(البيانات_الأساسية!A:A, MATCH(387, البيانات_الأساسية!$I:$I, 0)), "")</f>
        <v>0</v>
      </c>
      <c r="C399" s="2">
        <f>IFERROR(INDEX(البيانات_الأساسية!B:B, MATCH(387, البيانات_الأساسية!$I:$I, 0)), "")</f>
        <v>0</v>
      </c>
      <c r="D399" s="2">
        <f>IFERROR(INDEX(البيانات_الأساسية!C:C, MATCH(387, البيانات_الأساسية!$I:$I, 0)), "")</f>
        <v>0</v>
      </c>
      <c r="E399" s="2">
        <f>IFERROR(INDEX(البيانات_الأساسية!D:D, MATCH(387, البيانات_الأساسية!$I:$I, 0)), "")</f>
        <v>0</v>
      </c>
      <c r="F399" s="2">
        <f>IFERROR(INDEX(البيانات_الأساسية!E:E, MATCH(387, البيانات_الأساسية!$I:$I, 0)), "")</f>
        <v>0</v>
      </c>
      <c r="G399" s="2">
        <f>IFERROR(INDEX(البيانات_الأساسية!F:F, MATCH(387, البيانات_الأساسية!$I:$I, 0)), "")</f>
        <v>0</v>
      </c>
      <c r="H399" s="2">
        <f>IFERROR(INDEX(البيانات_الأساسية!G:G, MATCH(387, البيانات_الأساسية!$I:$I, 0)), "")</f>
        <v>0</v>
      </c>
    </row>
    <row r="400" spans="2:8" s="3" customFormat="1" ht="20" customHeight="1">
      <c r="B400" s="2">
        <f>IFERROR(INDEX(البيانات_الأساسية!A:A, MATCH(388, البيانات_الأساسية!$I:$I, 0)), "")</f>
        <v>0</v>
      </c>
      <c r="C400" s="2">
        <f>IFERROR(INDEX(البيانات_الأساسية!B:B, MATCH(388, البيانات_الأساسية!$I:$I, 0)), "")</f>
        <v>0</v>
      </c>
      <c r="D400" s="2">
        <f>IFERROR(INDEX(البيانات_الأساسية!C:C, MATCH(388, البيانات_الأساسية!$I:$I, 0)), "")</f>
        <v>0</v>
      </c>
      <c r="E400" s="2">
        <f>IFERROR(INDEX(البيانات_الأساسية!D:D, MATCH(388, البيانات_الأساسية!$I:$I, 0)), "")</f>
        <v>0</v>
      </c>
      <c r="F400" s="2">
        <f>IFERROR(INDEX(البيانات_الأساسية!E:E, MATCH(388, البيانات_الأساسية!$I:$I, 0)), "")</f>
        <v>0</v>
      </c>
      <c r="G400" s="2">
        <f>IFERROR(INDEX(البيانات_الأساسية!F:F, MATCH(388, البيانات_الأساسية!$I:$I, 0)), "")</f>
        <v>0</v>
      </c>
      <c r="H400" s="2">
        <f>IFERROR(INDEX(البيانات_الأساسية!G:G, MATCH(388, البيانات_الأساسية!$I:$I, 0)), "")</f>
        <v>0</v>
      </c>
    </row>
    <row r="401" spans="2:8" s="3" customFormat="1" ht="20" customHeight="1">
      <c r="B401" s="2">
        <f>IFERROR(INDEX(البيانات_الأساسية!A:A, MATCH(389, البيانات_الأساسية!$I:$I, 0)), "")</f>
        <v>0</v>
      </c>
      <c r="C401" s="2">
        <f>IFERROR(INDEX(البيانات_الأساسية!B:B, MATCH(389, البيانات_الأساسية!$I:$I, 0)), "")</f>
        <v>0</v>
      </c>
      <c r="D401" s="2">
        <f>IFERROR(INDEX(البيانات_الأساسية!C:C, MATCH(389, البيانات_الأساسية!$I:$I, 0)), "")</f>
        <v>0</v>
      </c>
      <c r="E401" s="2">
        <f>IFERROR(INDEX(البيانات_الأساسية!D:D, MATCH(389, البيانات_الأساسية!$I:$I, 0)), "")</f>
        <v>0</v>
      </c>
      <c r="F401" s="2">
        <f>IFERROR(INDEX(البيانات_الأساسية!E:E, MATCH(389, البيانات_الأساسية!$I:$I, 0)), "")</f>
        <v>0</v>
      </c>
      <c r="G401" s="2">
        <f>IFERROR(INDEX(البيانات_الأساسية!F:F, MATCH(389, البيانات_الأساسية!$I:$I, 0)), "")</f>
        <v>0</v>
      </c>
      <c r="H401" s="2">
        <f>IFERROR(INDEX(البيانات_الأساسية!G:G, MATCH(389, البيانات_الأساسية!$I:$I, 0)), "")</f>
        <v>0</v>
      </c>
    </row>
    <row r="402" spans="2:8" s="3" customFormat="1" ht="20" customHeight="1">
      <c r="B402" s="2">
        <f>IFERROR(INDEX(البيانات_الأساسية!A:A, MATCH(390, البيانات_الأساسية!$I:$I, 0)), "")</f>
        <v>0</v>
      </c>
      <c r="C402" s="2">
        <f>IFERROR(INDEX(البيانات_الأساسية!B:B, MATCH(390, البيانات_الأساسية!$I:$I, 0)), "")</f>
        <v>0</v>
      </c>
      <c r="D402" s="2">
        <f>IFERROR(INDEX(البيانات_الأساسية!C:C, MATCH(390, البيانات_الأساسية!$I:$I, 0)), "")</f>
        <v>0</v>
      </c>
      <c r="E402" s="2">
        <f>IFERROR(INDEX(البيانات_الأساسية!D:D, MATCH(390, البيانات_الأساسية!$I:$I, 0)), "")</f>
        <v>0</v>
      </c>
      <c r="F402" s="2">
        <f>IFERROR(INDEX(البيانات_الأساسية!E:E, MATCH(390, البيانات_الأساسية!$I:$I, 0)), "")</f>
        <v>0</v>
      </c>
      <c r="G402" s="2">
        <f>IFERROR(INDEX(البيانات_الأساسية!F:F, MATCH(390, البيانات_الأساسية!$I:$I, 0)), "")</f>
        <v>0</v>
      </c>
      <c r="H402" s="2">
        <f>IFERROR(INDEX(البيانات_الأساسية!G:G, MATCH(390, البيانات_الأساسية!$I:$I, 0)), "")</f>
        <v>0</v>
      </c>
    </row>
    <row r="403" spans="2:8" s="3" customFormat="1" ht="20" customHeight="1">
      <c r="B403" s="2">
        <f>IFERROR(INDEX(البيانات_الأساسية!A:A, MATCH(391, البيانات_الأساسية!$I:$I, 0)), "")</f>
        <v>0</v>
      </c>
      <c r="C403" s="2">
        <f>IFERROR(INDEX(البيانات_الأساسية!B:B, MATCH(391, البيانات_الأساسية!$I:$I, 0)), "")</f>
        <v>0</v>
      </c>
      <c r="D403" s="2">
        <f>IFERROR(INDEX(البيانات_الأساسية!C:C, MATCH(391, البيانات_الأساسية!$I:$I, 0)), "")</f>
        <v>0</v>
      </c>
      <c r="E403" s="2">
        <f>IFERROR(INDEX(البيانات_الأساسية!D:D, MATCH(391, البيانات_الأساسية!$I:$I, 0)), "")</f>
        <v>0</v>
      </c>
      <c r="F403" s="2">
        <f>IFERROR(INDEX(البيانات_الأساسية!E:E, MATCH(391, البيانات_الأساسية!$I:$I, 0)), "")</f>
        <v>0</v>
      </c>
      <c r="G403" s="2">
        <f>IFERROR(INDEX(البيانات_الأساسية!F:F, MATCH(391, البيانات_الأساسية!$I:$I, 0)), "")</f>
        <v>0</v>
      </c>
      <c r="H403" s="2">
        <f>IFERROR(INDEX(البيانات_الأساسية!G:G, MATCH(391, البيانات_الأساسية!$I:$I, 0)), "")</f>
        <v>0</v>
      </c>
    </row>
    <row r="404" spans="2:8" s="3" customFormat="1" ht="20" customHeight="1">
      <c r="B404" s="2">
        <f>IFERROR(INDEX(البيانات_الأساسية!A:A, MATCH(392, البيانات_الأساسية!$I:$I, 0)), "")</f>
        <v>0</v>
      </c>
      <c r="C404" s="2">
        <f>IFERROR(INDEX(البيانات_الأساسية!B:B, MATCH(392, البيانات_الأساسية!$I:$I, 0)), "")</f>
        <v>0</v>
      </c>
      <c r="D404" s="2">
        <f>IFERROR(INDEX(البيانات_الأساسية!C:C, MATCH(392, البيانات_الأساسية!$I:$I, 0)), "")</f>
        <v>0</v>
      </c>
      <c r="E404" s="2">
        <f>IFERROR(INDEX(البيانات_الأساسية!D:D, MATCH(392, البيانات_الأساسية!$I:$I, 0)), "")</f>
        <v>0</v>
      </c>
      <c r="F404" s="2">
        <f>IFERROR(INDEX(البيانات_الأساسية!E:E, MATCH(392, البيانات_الأساسية!$I:$I, 0)), "")</f>
        <v>0</v>
      </c>
      <c r="G404" s="2">
        <f>IFERROR(INDEX(البيانات_الأساسية!F:F, MATCH(392, البيانات_الأساسية!$I:$I, 0)), "")</f>
        <v>0</v>
      </c>
      <c r="H404" s="2">
        <f>IFERROR(INDEX(البيانات_الأساسية!G:G, MATCH(392, البيانات_الأساسية!$I:$I, 0)), "")</f>
        <v>0</v>
      </c>
    </row>
    <row r="405" spans="2:8" s="3" customFormat="1" ht="20" customHeight="1">
      <c r="B405" s="2">
        <f>IFERROR(INDEX(البيانات_الأساسية!A:A, MATCH(393, البيانات_الأساسية!$I:$I, 0)), "")</f>
        <v>0</v>
      </c>
      <c r="C405" s="2">
        <f>IFERROR(INDEX(البيانات_الأساسية!B:B, MATCH(393, البيانات_الأساسية!$I:$I, 0)), "")</f>
        <v>0</v>
      </c>
      <c r="D405" s="2">
        <f>IFERROR(INDEX(البيانات_الأساسية!C:C, MATCH(393, البيانات_الأساسية!$I:$I, 0)), "")</f>
        <v>0</v>
      </c>
      <c r="E405" s="2">
        <f>IFERROR(INDEX(البيانات_الأساسية!D:D, MATCH(393, البيانات_الأساسية!$I:$I, 0)), "")</f>
        <v>0</v>
      </c>
      <c r="F405" s="2">
        <f>IFERROR(INDEX(البيانات_الأساسية!E:E, MATCH(393, البيانات_الأساسية!$I:$I, 0)), "")</f>
        <v>0</v>
      </c>
      <c r="G405" s="2">
        <f>IFERROR(INDEX(البيانات_الأساسية!F:F, MATCH(393, البيانات_الأساسية!$I:$I, 0)), "")</f>
        <v>0</v>
      </c>
      <c r="H405" s="2">
        <f>IFERROR(INDEX(البيانات_الأساسية!G:G, MATCH(393, البيانات_الأساسية!$I:$I, 0)), "")</f>
        <v>0</v>
      </c>
    </row>
    <row r="406" spans="2:8" s="3" customFormat="1" ht="20" customHeight="1">
      <c r="B406" s="2">
        <f>IFERROR(INDEX(البيانات_الأساسية!A:A, MATCH(394, البيانات_الأساسية!$I:$I, 0)), "")</f>
        <v>0</v>
      </c>
      <c r="C406" s="2">
        <f>IFERROR(INDEX(البيانات_الأساسية!B:B, MATCH(394, البيانات_الأساسية!$I:$I, 0)), "")</f>
        <v>0</v>
      </c>
      <c r="D406" s="2">
        <f>IFERROR(INDEX(البيانات_الأساسية!C:C, MATCH(394, البيانات_الأساسية!$I:$I, 0)), "")</f>
        <v>0</v>
      </c>
      <c r="E406" s="2">
        <f>IFERROR(INDEX(البيانات_الأساسية!D:D, MATCH(394, البيانات_الأساسية!$I:$I, 0)), "")</f>
        <v>0</v>
      </c>
      <c r="F406" s="2">
        <f>IFERROR(INDEX(البيانات_الأساسية!E:E, MATCH(394, البيانات_الأساسية!$I:$I, 0)), "")</f>
        <v>0</v>
      </c>
      <c r="G406" s="2">
        <f>IFERROR(INDEX(البيانات_الأساسية!F:F, MATCH(394, البيانات_الأساسية!$I:$I, 0)), "")</f>
        <v>0</v>
      </c>
      <c r="H406" s="2">
        <f>IFERROR(INDEX(البيانات_الأساسية!G:G, MATCH(394, البيانات_الأساسية!$I:$I, 0)), "")</f>
        <v>0</v>
      </c>
    </row>
    <row r="407" spans="2:8" s="3" customFormat="1" ht="20" customHeight="1">
      <c r="B407" s="2">
        <f>IFERROR(INDEX(البيانات_الأساسية!A:A, MATCH(395, البيانات_الأساسية!$I:$I, 0)), "")</f>
        <v>0</v>
      </c>
      <c r="C407" s="2">
        <f>IFERROR(INDEX(البيانات_الأساسية!B:B, MATCH(395, البيانات_الأساسية!$I:$I, 0)), "")</f>
        <v>0</v>
      </c>
      <c r="D407" s="2">
        <f>IFERROR(INDEX(البيانات_الأساسية!C:C, MATCH(395, البيانات_الأساسية!$I:$I, 0)), "")</f>
        <v>0</v>
      </c>
      <c r="E407" s="2">
        <f>IFERROR(INDEX(البيانات_الأساسية!D:D, MATCH(395, البيانات_الأساسية!$I:$I, 0)), "")</f>
        <v>0</v>
      </c>
      <c r="F407" s="2">
        <f>IFERROR(INDEX(البيانات_الأساسية!E:E, MATCH(395, البيانات_الأساسية!$I:$I, 0)), "")</f>
        <v>0</v>
      </c>
      <c r="G407" s="2">
        <f>IFERROR(INDEX(البيانات_الأساسية!F:F, MATCH(395, البيانات_الأساسية!$I:$I, 0)), "")</f>
        <v>0</v>
      </c>
      <c r="H407" s="2">
        <f>IFERROR(INDEX(البيانات_الأساسية!G:G, MATCH(395, البيانات_الأساسية!$I:$I, 0)), "")</f>
        <v>0</v>
      </c>
    </row>
    <row r="408" spans="2:8" s="3" customFormat="1" ht="20" customHeight="1">
      <c r="B408" s="2">
        <f>IFERROR(INDEX(البيانات_الأساسية!A:A, MATCH(396, البيانات_الأساسية!$I:$I, 0)), "")</f>
        <v>0</v>
      </c>
      <c r="C408" s="2">
        <f>IFERROR(INDEX(البيانات_الأساسية!B:B, MATCH(396, البيانات_الأساسية!$I:$I, 0)), "")</f>
        <v>0</v>
      </c>
      <c r="D408" s="2">
        <f>IFERROR(INDEX(البيانات_الأساسية!C:C, MATCH(396, البيانات_الأساسية!$I:$I, 0)), "")</f>
        <v>0</v>
      </c>
      <c r="E408" s="2">
        <f>IFERROR(INDEX(البيانات_الأساسية!D:D, MATCH(396, البيانات_الأساسية!$I:$I, 0)), "")</f>
        <v>0</v>
      </c>
      <c r="F408" s="2">
        <f>IFERROR(INDEX(البيانات_الأساسية!E:E, MATCH(396, البيانات_الأساسية!$I:$I, 0)), "")</f>
        <v>0</v>
      </c>
      <c r="G408" s="2">
        <f>IFERROR(INDEX(البيانات_الأساسية!F:F, MATCH(396, البيانات_الأساسية!$I:$I, 0)), "")</f>
        <v>0</v>
      </c>
      <c r="H408" s="2">
        <f>IFERROR(INDEX(البيانات_الأساسية!G:G, MATCH(396, البيانات_الأساسية!$I:$I, 0)), "")</f>
        <v>0</v>
      </c>
    </row>
    <row r="409" spans="2:8" s="3" customFormat="1" ht="20" customHeight="1">
      <c r="B409" s="2">
        <f>IFERROR(INDEX(البيانات_الأساسية!A:A, MATCH(397, البيانات_الأساسية!$I:$I, 0)), "")</f>
        <v>0</v>
      </c>
      <c r="C409" s="2">
        <f>IFERROR(INDEX(البيانات_الأساسية!B:B, MATCH(397, البيانات_الأساسية!$I:$I, 0)), "")</f>
        <v>0</v>
      </c>
      <c r="D409" s="2">
        <f>IFERROR(INDEX(البيانات_الأساسية!C:C, MATCH(397, البيانات_الأساسية!$I:$I, 0)), "")</f>
        <v>0</v>
      </c>
      <c r="E409" s="2">
        <f>IFERROR(INDEX(البيانات_الأساسية!D:D, MATCH(397, البيانات_الأساسية!$I:$I, 0)), "")</f>
        <v>0</v>
      </c>
      <c r="F409" s="2">
        <f>IFERROR(INDEX(البيانات_الأساسية!E:E, MATCH(397, البيانات_الأساسية!$I:$I, 0)), "")</f>
        <v>0</v>
      </c>
      <c r="G409" s="2">
        <f>IFERROR(INDEX(البيانات_الأساسية!F:F, MATCH(397, البيانات_الأساسية!$I:$I, 0)), "")</f>
        <v>0</v>
      </c>
      <c r="H409" s="2">
        <f>IFERROR(INDEX(البيانات_الأساسية!G:G, MATCH(397, البيانات_الأساسية!$I:$I, 0)), "")</f>
        <v>0</v>
      </c>
    </row>
    <row r="410" spans="2:8" s="3" customFormat="1" ht="20" customHeight="1">
      <c r="B410" s="2">
        <f>IFERROR(INDEX(البيانات_الأساسية!A:A, MATCH(398, البيانات_الأساسية!$I:$I, 0)), "")</f>
        <v>0</v>
      </c>
      <c r="C410" s="2">
        <f>IFERROR(INDEX(البيانات_الأساسية!B:B, MATCH(398, البيانات_الأساسية!$I:$I, 0)), "")</f>
        <v>0</v>
      </c>
      <c r="D410" s="2">
        <f>IFERROR(INDEX(البيانات_الأساسية!C:C, MATCH(398, البيانات_الأساسية!$I:$I, 0)), "")</f>
        <v>0</v>
      </c>
      <c r="E410" s="2">
        <f>IFERROR(INDEX(البيانات_الأساسية!D:D, MATCH(398, البيانات_الأساسية!$I:$I, 0)), "")</f>
        <v>0</v>
      </c>
      <c r="F410" s="2">
        <f>IFERROR(INDEX(البيانات_الأساسية!E:E, MATCH(398, البيانات_الأساسية!$I:$I, 0)), "")</f>
        <v>0</v>
      </c>
      <c r="G410" s="2">
        <f>IFERROR(INDEX(البيانات_الأساسية!F:F, MATCH(398, البيانات_الأساسية!$I:$I, 0)), "")</f>
        <v>0</v>
      </c>
      <c r="H410" s="2">
        <f>IFERROR(INDEX(البيانات_الأساسية!G:G, MATCH(398, البيانات_الأساسية!$I:$I, 0)), "")</f>
        <v>0</v>
      </c>
    </row>
    <row r="411" spans="2:8" s="3" customFormat="1" ht="20" customHeight="1">
      <c r="B411" s="2">
        <f>IFERROR(INDEX(البيانات_الأساسية!A:A, MATCH(399, البيانات_الأساسية!$I:$I, 0)), "")</f>
        <v>0</v>
      </c>
      <c r="C411" s="2">
        <f>IFERROR(INDEX(البيانات_الأساسية!B:B, MATCH(399, البيانات_الأساسية!$I:$I, 0)), "")</f>
        <v>0</v>
      </c>
      <c r="D411" s="2">
        <f>IFERROR(INDEX(البيانات_الأساسية!C:C, MATCH(399, البيانات_الأساسية!$I:$I, 0)), "")</f>
        <v>0</v>
      </c>
      <c r="E411" s="2">
        <f>IFERROR(INDEX(البيانات_الأساسية!D:D, MATCH(399, البيانات_الأساسية!$I:$I, 0)), "")</f>
        <v>0</v>
      </c>
      <c r="F411" s="2">
        <f>IFERROR(INDEX(البيانات_الأساسية!E:E, MATCH(399, البيانات_الأساسية!$I:$I, 0)), "")</f>
        <v>0</v>
      </c>
      <c r="G411" s="2">
        <f>IFERROR(INDEX(البيانات_الأساسية!F:F, MATCH(399, البيانات_الأساسية!$I:$I, 0)), "")</f>
        <v>0</v>
      </c>
      <c r="H411" s="2">
        <f>IFERROR(INDEX(البيانات_الأساسية!G:G, MATCH(399, البيانات_الأساسية!$I:$I, 0)), "")</f>
        <v>0</v>
      </c>
    </row>
    <row r="412" spans="2:8" s="3" customFormat="1" ht="20" customHeight="1">
      <c r="B412" s="2">
        <f>IFERROR(INDEX(البيانات_الأساسية!A:A, MATCH(400, البيانات_الأساسية!$I:$I, 0)), "")</f>
        <v>0</v>
      </c>
      <c r="C412" s="2">
        <f>IFERROR(INDEX(البيانات_الأساسية!B:B, MATCH(400, البيانات_الأساسية!$I:$I, 0)), "")</f>
        <v>0</v>
      </c>
      <c r="D412" s="2">
        <f>IFERROR(INDEX(البيانات_الأساسية!C:C, MATCH(400, البيانات_الأساسية!$I:$I, 0)), "")</f>
        <v>0</v>
      </c>
      <c r="E412" s="2">
        <f>IFERROR(INDEX(البيانات_الأساسية!D:D, MATCH(400, البيانات_الأساسية!$I:$I, 0)), "")</f>
        <v>0</v>
      </c>
      <c r="F412" s="2">
        <f>IFERROR(INDEX(البيانات_الأساسية!E:E, MATCH(400, البيانات_الأساسية!$I:$I, 0)), "")</f>
        <v>0</v>
      </c>
      <c r="G412" s="2">
        <f>IFERROR(INDEX(البيانات_الأساسية!F:F, MATCH(400, البيانات_الأساسية!$I:$I, 0)), "")</f>
        <v>0</v>
      </c>
      <c r="H412" s="2">
        <f>IFERROR(INDEX(البيانات_الأساسية!G:G, MATCH(400, البيانات_الأساسية!$I:$I, 0)), "")</f>
        <v>0</v>
      </c>
    </row>
    <row r="413" spans="2:8" s="3" customFormat="1" ht="20" customHeight="1">
      <c r="B413" s="2">
        <f>IFERROR(INDEX(البيانات_الأساسية!A:A, MATCH(401, البيانات_الأساسية!$I:$I, 0)), "")</f>
        <v>0</v>
      </c>
      <c r="C413" s="2">
        <f>IFERROR(INDEX(البيانات_الأساسية!B:B, MATCH(401, البيانات_الأساسية!$I:$I, 0)), "")</f>
        <v>0</v>
      </c>
      <c r="D413" s="2">
        <f>IFERROR(INDEX(البيانات_الأساسية!C:C, MATCH(401, البيانات_الأساسية!$I:$I, 0)), "")</f>
        <v>0</v>
      </c>
      <c r="E413" s="2">
        <f>IFERROR(INDEX(البيانات_الأساسية!D:D, MATCH(401, البيانات_الأساسية!$I:$I, 0)), "")</f>
        <v>0</v>
      </c>
      <c r="F413" s="2">
        <f>IFERROR(INDEX(البيانات_الأساسية!E:E, MATCH(401, البيانات_الأساسية!$I:$I, 0)), "")</f>
        <v>0</v>
      </c>
      <c r="G413" s="2">
        <f>IFERROR(INDEX(البيانات_الأساسية!F:F, MATCH(401, البيانات_الأساسية!$I:$I, 0)), "")</f>
        <v>0</v>
      </c>
      <c r="H413" s="2">
        <f>IFERROR(INDEX(البيانات_الأساسية!G:G, MATCH(401, البيانات_الأساسية!$I:$I, 0)), "")</f>
        <v>0</v>
      </c>
    </row>
    <row r="414" spans="2:8" s="3" customFormat="1" ht="20" customHeight="1">
      <c r="B414" s="2">
        <f>IFERROR(INDEX(البيانات_الأساسية!A:A, MATCH(402, البيانات_الأساسية!$I:$I, 0)), "")</f>
        <v>0</v>
      </c>
      <c r="C414" s="2">
        <f>IFERROR(INDEX(البيانات_الأساسية!B:B, MATCH(402, البيانات_الأساسية!$I:$I, 0)), "")</f>
        <v>0</v>
      </c>
      <c r="D414" s="2">
        <f>IFERROR(INDEX(البيانات_الأساسية!C:C, MATCH(402, البيانات_الأساسية!$I:$I, 0)), "")</f>
        <v>0</v>
      </c>
      <c r="E414" s="2">
        <f>IFERROR(INDEX(البيانات_الأساسية!D:D, MATCH(402, البيانات_الأساسية!$I:$I, 0)), "")</f>
        <v>0</v>
      </c>
      <c r="F414" s="2">
        <f>IFERROR(INDEX(البيانات_الأساسية!E:E, MATCH(402, البيانات_الأساسية!$I:$I, 0)), "")</f>
        <v>0</v>
      </c>
      <c r="G414" s="2">
        <f>IFERROR(INDEX(البيانات_الأساسية!F:F, MATCH(402, البيانات_الأساسية!$I:$I, 0)), "")</f>
        <v>0</v>
      </c>
      <c r="H414" s="2">
        <f>IFERROR(INDEX(البيانات_الأساسية!G:G, MATCH(402, البيانات_الأساسية!$I:$I, 0)), "")</f>
        <v>0</v>
      </c>
    </row>
    <row r="415" spans="2:8" s="3" customFormat="1" ht="20" customHeight="1">
      <c r="B415" s="2">
        <f>IFERROR(INDEX(البيانات_الأساسية!A:A, MATCH(403, البيانات_الأساسية!$I:$I, 0)), "")</f>
        <v>0</v>
      </c>
      <c r="C415" s="2">
        <f>IFERROR(INDEX(البيانات_الأساسية!B:B, MATCH(403, البيانات_الأساسية!$I:$I, 0)), "")</f>
        <v>0</v>
      </c>
      <c r="D415" s="2">
        <f>IFERROR(INDEX(البيانات_الأساسية!C:C, MATCH(403, البيانات_الأساسية!$I:$I, 0)), "")</f>
        <v>0</v>
      </c>
      <c r="E415" s="2">
        <f>IFERROR(INDEX(البيانات_الأساسية!D:D, MATCH(403, البيانات_الأساسية!$I:$I, 0)), "")</f>
        <v>0</v>
      </c>
      <c r="F415" s="2">
        <f>IFERROR(INDEX(البيانات_الأساسية!E:E, MATCH(403, البيانات_الأساسية!$I:$I, 0)), "")</f>
        <v>0</v>
      </c>
      <c r="G415" s="2">
        <f>IFERROR(INDEX(البيانات_الأساسية!F:F, MATCH(403, البيانات_الأساسية!$I:$I, 0)), "")</f>
        <v>0</v>
      </c>
      <c r="H415" s="2">
        <f>IFERROR(INDEX(البيانات_الأساسية!G:G, MATCH(403, البيانات_الأساسية!$I:$I, 0)), "")</f>
        <v>0</v>
      </c>
    </row>
    <row r="416" spans="2:8" s="3" customFormat="1" ht="20" customHeight="1">
      <c r="B416" s="2">
        <f>IFERROR(INDEX(البيانات_الأساسية!A:A, MATCH(404, البيانات_الأساسية!$I:$I, 0)), "")</f>
        <v>0</v>
      </c>
      <c r="C416" s="2">
        <f>IFERROR(INDEX(البيانات_الأساسية!B:B, MATCH(404, البيانات_الأساسية!$I:$I, 0)), "")</f>
        <v>0</v>
      </c>
      <c r="D416" s="2">
        <f>IFERROR(INDEX(البيانات_الأساسية!C:C, MATCH(404, البيانات_الأساسية!$I:$I, 0)), "")</f>
        <v>0</v>
      </c>
      <c r="E416" s="2">
        <f>IFERROR(INDEX(البيانات_الأساسية!D:D, MATCH(404, البيانات_الأساسية!$I:$I, 0)), "")</f>
        <v>0</v>
      </c>
      <c r="F416" s="2">
        <f>IFERROR(INDEX(البيانات_الأساسية!E:E, MATCH(404, البيانات_الأساسية!$I:$I, 0)), "")</f>
        <v>0</v>
      </c>
      <c r="G416" s="2">
        <f>IFERROR(INDEX(البيانات_الأساسية!F:F, MATCH(404, البيانات_الأساسية!$I:$I, 0)), "")</f>
        <v>0</v>
      </c>
      <c r="H416" s="2">
        <f>IFERROR(INDEX(البيانات_الأساسية!G:G, MATCH(404, البيانات_الأساسية!$I:$I, 0)), "")</f>
        <v>0</v>
      </c>
    </row>
    <row r="417" spans="2:8" s="3" customFormat="1" ht="20" customHeight="1">
      <c r="B417" s="2">
        <f>IFERROR(INDEX(البيانات_الأساسية!A:A, MATCH(405, البيانات_الأساسية!$I:$I, 0)), "")</f>
        <v>0</v>
      </c>
      <c r="C417" s="2">
        <f>IFERROR(INDEX(البيانات_الأساسية!B:B, MATCH(405, البيانات_الأساسية!$I:$I, 0)), "")</f>
        <v>0</v>
      </c>
      <c r="D417" s="2">
        <f>IFERROR(INDEX(البيانات_الأساسية!C:C, MATCH(405, البيانات_الأساسية!$I:$I, 0)), "")</f>
        <v>0</v>
      </c>
      <c r="E417" s="2">
        <f>IFERROR(INDEX(البيانات_الأساسية!D:D, MATCH(405, البيانات_الأساسية!$I:$I, 0)), "")</f>
        <v>0</v>
      </c>
      <c r="F417" s="2">
        <f>IFERROR(INDEX(البيانات_الأساسية!E:E, MATCH(405, البيانات_الأساسية!$I:$I, 0)), "")</f>
        <v>0</v>
      </c>
      <c r="G417" s="2">
        <f>IFERROR(INDEX(البيانات_الأساسية!F:F, MATCH(405, البيانات_الأساسية!$I:$I, 0)), "")</f>
        <v>0</v>
      </c>
      <c r="H417" s="2">
        <f>IFERROR(INDEX(البيانات_الأساسية!G:G, MATCH(405, البيانات_الأساسية!$I:$I, 0)), "")</f>
        <v>0</v>
      </c>
    </row>
    <row r="418" spans="2:8" s="3" customFormat="1" ht="20" customHeight="1">
      <c r="B418" s="2">
        <f>IFERROR(INDEX(البيانات_الأساسية!A:A, MATCH(406, البيانات_الأساسية!$I:$I, 0)), "")</f>
        <v>0</v>
      </c>
      <c r="C418" s="2">
        <f>IFERROR(INDEX(البيانات_الأساسية!B:B, MATCH(406, البيانات_الأساسية!$I:$I, 0)), "")</f>
        <v>0</v>
      </c>
      <c r="D418" s="2">
        <f>IFERROR(INDEX(البيانات_الأساسية!C:C, MATCH(406, البيانات_الأساسية!$I:$I, 0)), "")</f>
        <v>0</v>
      </c>
      <c r="E418" s="2">
        <f>IFERROR(INDEX(البيانات_الأساسية!D:D, MATCH(406, البيانات_الأساسية!$I:$I, 0)), "")</f>
        <v>0</v>
      </c>
      <c r="F418" s="2">
        <f>IFERROR(INDEX(البيانات_الأساسية!E:E, MATCH(406, البيانات_الأساسية!$I:$I, 0)), "")</f>
        <v>0</v>
      </c>
      <c r="G418" s="2">
        <f>IFERROR(INDEX(البيانات_الأساسية!F:F, MATCH(406, البيانات_الأساسية!$I:$I, 0)), "")</f>
        <v>0</v>
      </c>
      <c r="H418" s="2">
        <f>IFERROR(INDEX(البيانات_الأساسية!G:G, MATCH(406, البيانات_الأساسية!$I:$I, 0)), "")</f>
        <v>0</v>
      </c>
    </row>
    <row r="419" spans="2:8" s="3" customFormat="1" ht="20" customHeight="1">
      <c r="B419" s="2">
        <f>IFERROR(INDEX(البيانات_الأساسية!A:A, MATCH(407, البيانات_الأساسية!$I:$I, 0)), "")</f>
        <v>0</v>
      </c>
      <c r="C419" s="2">
        <f>IFERROR(INDEX(البيانات_الأساسية!B:B, MATCH(407, البيانات_الأساسية!$I:$I, 0)), "")</f>
        <v>0</v>
      </c>
      <c r="D419" s="2">
        <f>IFERROR(INDEX(البيانات_الأساسية!C:C, MATCH(407, البيانات_الأساسية!$I:$I, 0)), "")</f>
        <v>0</v>
      </c>
      <c r="E419" s="2">
        <f>IFERROR(INDEX(البيانات_الأساسية!D:D, MATCH(407, البيانات_الأساسية!$I:$I, 0)), "")</f>
        <v>0</v>
      </c>
      <c r="F419" s="2">
        <f>IFERROR(INDEX(البيانات_الأساسية!E:E, MATCH(407, البيانات_الأساسية!$I:$I, 0)), "")</f>
        <v>0</v>
      </c>
      <c r="G419" s="2">
        <f>IFERROR(INDEX(البيانات_الأساسية!F:F, MATCH(407, البيانات_الأساسية!$I:$I, 0)), "")</f>
        <v>0</v>
      </c>
      <c r="H419" s="2">
        <f>IFERROR(INDEX(البيانات_الأساسية!G:G, MATCH(407, البيانات_الأساسية!$I:$I, 0)), "")</f>
        <v>0</v>
      </c>
    </row>
    <row r="420" spans="2:8" s="3" customFormat="1" ht="20" customHeight="1">
      <c r="B420" s="2">
        <f>IFERROR(INDEX(البيانات_الأساسية!A:A, MATCH(408, البيانات_الأساسية!$I:$I, 0)), "")</f>
        <v>0</v>
      </c>
      <c r="C420" s="2">
        <f>IFERROR(INDEX(البيانات_الأساسية!B:B, MATCH(408, البيانات_الأساسية!$I:$I, 0)), "")</f>
        <v>0</v>
      </c>
      <c r="D420" s="2">
        <f>IFERROR(INDEX(البيانات_الأساسية!C:C, MATCH(408, البيانات_الأساسية!$I:$I, 0)), "")</f>
        <v>0</v>
      </c>
      <c r="E420" s="2">
        <f>IFERROR(INDEX(البيانات_الأساسية!D:D, MATCH(408, البيانات_الأساسية!$I:$I, 0)), "")</f>
        <v>0</v>
      </c>
      <c r="F420" s="2">
        <f>IFERROR(INDEX(البيانات_الأساسية!E:E, MATCH(408, البيانات_الأساسية!$I:$I, 0)), "")</f>
        <v>0</v>
      </c>
      <c r="G420" s="2">
        <f>IFERROR(INDEX(البيانات_الأساسية!F:F, MATCH(408, البيانات_الأساسية!$I:$I, 0)), "")</f>
        <v>0</v>
      </c>
      <c r="H420" s="2">
        <f>IFERROR(INDEX(البيانات_الأساسية!G:G, MATCH(408, البيانات_الأساسية!$I:$I, 0)), "")</f>
        <v>0</v>
      </c>
    </row>
    <row r="421" spans="2:8" s="3" customFormat="1" ht="20" customHeight="1">
      <c r="B421" s="2">
        <f>IFERROR(INDEX(البيانات_الأساسية!A:A, MATCH(409, البيانات_الأساسية!$I:$I, 0)), "")</f>
        <v>0</v>
      </c>
      <c r="C421" s="2">
        <f>IFERROR(INDEX(البيانات_الأساسية!B:B, MATCH(409, البيانات_الأساسية!$I:$I, 0)), "")</f>
        <v>0</v>
      </c>
      <c r="D421" s="2">
        <f>IFERROR(INDEX(البيانات_الأساسية!C:C, MATCH(409, البيانات_الأساسية!$I:$I, 0)), "")</f>
        <v>0</v>
      </c>
      <c r="E421" s="2">
        <f>IFERROR(INDEX(البيانات_الأساسية!D:D, MATCH(409, البيانات_الأساسية!$I:$I, 0)), "")</f>
        <v>0</v>
      </c>
      <c r="F421" s="2">
        <f>IFERROR(INDEX(البيانات_الأساسية!E:E, MATCH(409, البيانات_الأساسية!$I:$I, 0)), "")</f>
        <v>0</v>
      </c>
      <c r="G421" s="2">
        <f>IFERROR(INDEX(البيانات_الأساسية!F:F, MATCH(409, البيانات_الأساسية!$I:$I, 0)), "")</f>
        <v>0</v>
      </c>
      <c r="H421" s="2">
        <f>IFERROR(INDEX(البيانات_الأساسية!G:G, MATCH(409, البيانات_الأساسية!$I:$I, 0)), "")</f>
        <v>0</v>
      </c>
    </row>
    <row r="422" spans="2:8" s="3" customFormat="1" ht="20" customHeight="1">
      <c r="B422" s="2">
        <f>IFERROR(INDEX(البيانات_الأساسية!A:A, MATCH(410, البيانات_الأساسية!$I:$I, 0)), "")</f>
        <v>0</v>
      </c>
      <c r="C422" s="2">
        <f>IFERROR(INDEX(البيانات_الأساسية!B:B, MATCH(410, البيانات_الأساسية!$I:$I, 0)), "")</f>
        <v>0</v>
      </c>
      <c r="D422" s="2">
        <f>IFERROR(INDEX(البيانات_الأساسية!C:C, MATCH(410, البيانات_الأساسية!$I:$I, 0)), "")</f>
        <v>0</v>
      </c>
      <c r="E422" s="2">
        <f>IFERROR(INDEX(البيانات_الأساسية!D:D, MATCH(410, البيانات_الأساسية!$I:$I, 0)), "")</f>
        <v>0</v>
      </c>
      <c r="F422" s="2">
        <f>IFERROR(INDEX(البيانات_الأساسية!E:E, MATCH(410, البيانات_الأساسية!$I:$I, 0)), "")</f>
        <v>0</v>
      </c>
      <c r="G422" s="2">
        <f>IFERROR(INDEX(البيانات_الأساسية!F:F, MATCH(410, البيانات_الأساسية!$I:$I, 0)), "")</f>
        <v>0</v>
      </c>
      <c r="H422" s="2">
        <f>IFERROR(INDEX(البيانات_الأساسية!G:G, MATCH(410, البيانات_الأساسية!$I:$I, 0)), "")</f>
        <v>0</v>
      </c>
    </row>
    <row r="423" spans="2:8" s="3" customFormat="1" ht="20" customHeight="1">
      <c r="B423" s="2">
        <f>IFERROR(INDEX(البيانات_الأساسية!A:A, MATCH(411, البيانات_الأساسية!$I:$I, 0)), "")</f>
        <v>0</v>
      </c>
      <c r="C423" s="2">
        <f>IFERROR(INDEX(البيانات_الأساسية!B:B, MATCH(411, البيانات_الأساسية!$I:$I, 0)), "")</f>
        <v>0</v>
      </c>
      <c r="D423" s="2">
        <f>IFERROR(INDEX(البيانات_الأساسية!C:C, MATCH(411, البيانات_الأساسية!$I:$I, 0)), "")</f>
        <v>0</v>
      </c>
      <c r="E423" s="2">
        <f>IFERROR(INDEX(البيانات_الأساسية!D:D, MATCH(411, البيانات_الأساسية!$I:$I, 0)), "")</f>
        <v>0</v>
      </c>
      <c r="F423" s="2">
        <f>IFERROR(INDEX(البيانات_الأساسية!E:E, MATCH(411, البيانات_الأساسية!$I:$I, 0)), "")</f>
        <v>0</v>
      </c>
      <c r="G423" s="2">
        <f>IFERROR(INDEX(البيانات_الأساسية!F:F, MATCH(411, البيانات_الأساسية!$I:$I, 0)), "")</f>
        <v>0</v>
      </c>
      <c r="H423" s="2">
        <f>IFERROR(INDEX(البيانات_الأساسية!G:G, MATCH(411, البيانات_الأساسية!$I:$I, 0)), "")</f>
        <v>0</v>
      </c>
    </row>
    <row r="424" spans="2:8" s="3" customFormat="1" ht="20" customHeight="1">
      <c r="B424" s="2">
        <f>IFERROR(INDEX(البيانات_الأساسية!A:A, MATCH(412, البيانات_الأساسية!$I:$I, 0)), "")</f>
        <v>0</v>
      </c>
      <c r="C424" s="2">
        <f>IFERROR(INDEX(البيانات_الأساسية!B:B, MATCH(412, البيانات_الأساسية!$I:$I, 0)), "")</f>
        <v>0</v>
      </c>
      <c r="D424" s="2">
        <f>IFERROR(INDEX(البيانات_الأساسية!C:C, MATCH(412, البيانات_الأساسية!$I:$I, 0)), "")</f>
        <v>0</v>
      </c>
      <c r="E424" s="2">
        <f>IFERROR(INDEX(البيانات_الأساسية!D:D, MATCH(412, البيانات_الأساسية!$I:$I, 0)), "")</f>
        <v>0</v>
      </c>
      <c r="F424" s="2">
        <f>IFERROR(INDEX(البيانات_الأساسية!E:E, MATCH(412, البيانات_الأساسية!$I:$I, 0)), "")</f>
        <v>0</v>
      </c>
      <c r="G424" s="2">
        <f>IFERROR(INDEX(البيانات_الأساسية!F:F, MATCH(412, البيانات_الأساسية!$I:$I, 0)), "")</f>
        <v>0</v>
      </c>
      <c r="H424" s="2">
        <f>IFERROR(INDEX(البيانات_الأساسية!G:G, MATCH(412, البيانات_الأساسية!$I:$I, 0)), "")</f>
        <v>0</v>
      </c>
    </row>
    <row r="425" spans="2:8" s="3" customFormat="1" ht="20" customHeight="1">
      <c r="B425" s="2">
        <f>IFERROR(INDEX(البيانات_الأساسية!A:A, MATCH(413, البيانات_الأساسية!$I:$I, 0)), "")</f>
        <v>0</v>
      </c>
      <c r="C425" s="2">
        <f>IFERROR(INDEX(البيانات_الأساسية!B:B, MATCH(413, البيانات_الأساسية!$I:$I, 0)), "")</f>
        <v>0</v>
      </c>
      <c r="D425" s="2">
        <f>IFERROR(INDEX(البيانات_الأساسية!C:C, MATCH(413, البيانات_الأساسية!$I:$I, 0)), "")</f>
        <v>0</v>
      </c>
      <c r="E425" s="2">
        <f>IFERROR(INDEX(البيانات_الأساسية!D:D, MATCH(413, البيانات_الأساسية!$I:$I, 0)), "")</f>
        <v>0</v>
      </c>
      <c r="F425" s="2">
        <f>IFERROR(INDEX(البيانات_الأساسية!E:E, MATCH(413, البيانات_الأساسية!$I:$I, 0)), "")</f>
        <v>0</v>
      </c>
      <c r="G425" s="2">
        <f>IFERROR(INDEX(البيانات_الأساسية!F:F, MATCH(413, البيانات_الأساسية!$I:$I, 0)), "")</f>
        <v>0</v>
      </c>
      <c r="H425" s="2">
        <f>IFERROR(INDEX(البيانات_الأساسية!G:G, MATCH(413, البيانات_الأساسية!$I:$I, 0)), "")</f>
        <v>0</v>
      </c>
    </row>
    <row r="426" spans="2:8" s="3" customFormat="1" ht="20" customHeight="1">
      <c r="B426" s="2">
        <f>IFERROR(INDEX(البيانات_الأساسية!A:A, MATCH(414, البيانات_الأساسية!$I:$I, 0)), "")</f>
        <v>0</v>
      </c>
      <c r="C426" s="2">
        <f>IFERROR(INDEX(البيانات_الأساسية!B:B, MATCH(414, البيانات_الأساسية!$I:$I, 0)), "")</f>
        <v>0</v>
      </c>
      <c r="D426" s="2">
        <f>IFERROR(INDEX(البيانات_الأساسية!C:C, MATCH(414, البيانات_الأساسية!$I:$I, 0)), "")</f>
        <v>0</v>
      </c>
      <c r="E426" s="2">
        <f>IFERROR(INDEX(البيانات_الأساسية!D:D, MATCH(414, البيانات_الأساسية!$I:$I, 0)), "")</f>
        <v>0</v>
      </c>
      <c r="F426" s="2">
        <f>IFERROR(INDEX(البيانات_الأساسية!E:E, MATCH(414, البيانات_الأساسية!$I:$I, 0)), "")</f>
        <v>0</v>
      </c>
      <c r="G426" s="2">
        <f>IFERROR(INDEX(البيانات_الأساسية!F:F, MATCH(414, البيانات_الأساسية!$I:$I, 0)), "")</f>
        <v>0</v>
      </c>
      <c r="H426" s="2">
        <f>IFERROR(INDEX(البيانات_الأساسية!G:G, MATCH(414, البيانات_الأساسية!$I:$I, 0)), "")</f>
        <v>0</v>
      </c>
    </row>
    <row r="427" spans="2:8" s="3" customFormat="1" ht="20" customHeight="1">
      <c r="B427" s="2">
        <f>IFERROR(INDEX(البيانات_الأساسية!A:A, MATCH(415, البيانات_الأساسية!$I:$I, 0)), "")</f>
        <v>0</v>
      </c>
      <c r="C427" s="2">
        <f>IFERROR(INDEX(البيانات_الأساسية!B:B, MATCH(415, البيانات_الأساسية!$I:$I, 0)), "")</f>
        <v>0</v>
      </c>
      <c r="D427" s="2">
        <f>IFERROR(INDEX(البيانات_الأساسية!C:C, MATCH(415, البيانات_الأساسية!$I:$I, 0)), "")</f>
        <v>0</v>
      </c>
      <c r="E427" s="2">
        <f>IFERROR(INDEX(البيانات_الأساسية!D:D, MATCH(415, البيانات_الأساسية!$I:$I, 0)), "")</f>
        <v>0</v>
      </c>
      <c r="F427" s="2">
        <f>IFERROR(INDEX(البيانات_الأساسية!E:E, MATCH(415, البيانات_الأساسية!$I:$I, 0)), "")</f>
        <v>0</v>
      </c>
      <c r="G427" s="2">
        <f>IFERROR(INDEX(البيانات_الأساسية!F:F, MATCH(415, البيانات_الأساسية!$I:$I, 0)), "")</f>
        <v>0</v>
      </c>
      <c r="H427" s="2">
        <f>IFERROR(INDEX(البيانات_الأساسية!G:G, MATCH(415, البيانات_الأساسية!$I:$I, 0)), "")</f>
        <v>0</v>
      </c>
    </row>
    <row r="428" spans="2:8" s="3" customFormat="1" ht="20" customHeight="1">
      <c r="B428" s="2">
        <f>IFERROR(INDEX(البيانات_الأساسية!A:A, MATCH(416, البيانات_الأساسية!$I:$I, 0)), "")</f>
        <v>0</v>
      </c>
      <c r="C428" s="2">
        <f>IFERROR(INDEX(البيانات_الأساسية!B:B, MATCH(416, البيانات_الأساسية!$I:$I, 0)), "")</f>
        <v>0</v>
      </c>
      <c r="D428" s="2">
        <f>IFERROR(INDEX(البيانات_الأساسية!C:C, MATCH(416, البيانات_الأساسية!$I:$I, 0)), "")</f>
        <v>0</v>
      </c>
      <c r="E428" s="2">
        <f>IFERROR(INDEX(البيانات_الأساسية!D:D, MATCH(416, البيانات_الأساسية!$I:$I, 0)), "")</f>
        <v>0</v>
      </c>
      <c r="F428" s="2">
        <f>IFERROR(INDEX(البيانات_الأساسية!E:E, MATCH(416, البيانات_الأساسية!$I:$I, 0)), "")</f>
        <v>0</v>
      </c>
      <c r="G428" s="2">
        <f>IFERROR(INDEX(البيانات_الأساسية!F:F, MATCH(416, البيانات_الأساسية!$I:$I, 0)), "")</f>
        <v>0</v>
      </c>
      <c r="H428" s="2">
        <f>IFERROR(INDEX(البيانات_الأساسية!G:G, MATCH(416, البيانات_الأساسية!$I:$I, 0)), "")</f>
        <v>0</v>
      </c>
    </row>
    <row r="429" spans="2:8" s="3" customFormat="1" ht="20" customHeight="1">
      <c r="B429" s="2">
        <f>IFERROR(INDEX(البيانات_الأساسية!A:A, MATCH(417, البيانات_الأساسية!$I:$I, 0)), "")</f>
        <v>0</v>
      </c>
      <c r="C429" s="2">
        <f>IFERROR(INDEX(البيانات_الأساسية!B:B, MATCH(417, البيانات_الأساسية!$I:$I, 0)), "")</f>
        <v>0</v>
      </c>
      <c r="D429" s="2">
        <f>IFERROR(INDEX(البيانات_الأساسية!C:C, MATCH(417, البيانات_الأساسية!$I:$I, 0)), "")</f>
        <v>0</v>
      </c>
      <c r="E429" s="2">
        <f>IFERROR(INDEX(البيانات_الأساسية!D:D, MATCH(417, البيانات_الأساسية!$I:$I, 0)), "")</f>
        <v>0</v>
      </c>
      <c r="F429" s="2">
        <f>IFERROR(INDEX(البيانات_الأساسية!E:E, MATCH(417, البيانات_الأساسية!$I:$I, 0)), "")</f>
        <v>0</v>
      </c>
      <c r="G429" s="2">
        <f>IFERROR(INDEX(البيانات_الأساسية!F:F, MATCH(417, البيانات_الأساسية!$I:$I, 0)), "")</f>
        <v>0</v>
      </c>
      <c r="H429" s="2">
        <f>IFERROR(INDEX(البيانات_الأساسية!G:G, MATCH(417, البيانات_الأساسية!$I:$I, 0)), "")</f>
        <v>0</v>
      </c>
    </row>
    <row r="430" spans="2:8" s="3" customFormat="1" ht="20" customHeight="1">
      <c r="B430" s="2">
        <f>IFERROR(INDEX(البيانات_الأساسية!A:A, MATCH(418, البيانات_الأساسية!$I:$I, 0)), "")</f>
        <v>0</v>
      </c>
      <c r="C430" s="2">
        <f>IFERROR(INDEX(البيانات_الأساسية!B:B, MATCH(418, البيانات_الأساسية!$I:$I, 0)), "")</f>
        <v>0</v>
      </c>
      <c r="D430" s="2">
        <f>IFERROR(INDEX(البيانات_الأساسية!C:C, MATCH(418, البيانات_الأساسية!$I:$I, 0)), "")</f>
        <v>0</v>
      </c>
      <c r="E430" s="2">
        <f>IFERROR(INDEX(البيانات_الأساسية!D:D, MATCH(418, البيانات_الأساسية!$I:$I, 0)), "")</f>
        <v>0</v>
      </c>
      <c r="F430" s="2">
        <f>IFERROR(INDEX(البيانات_الأساسية!E:E, MATCH(418, البيانات_الأساسية!$I:$I, 0)), "")</f>
        <v>0</v>
      </c>
      <c r="G430" s="2">
        <f>IFERROR(INDEX(البيانات_الأساسية!F:F, MATCH(418, البيانات_الأساسية!$I:$I, 0)), "")</f>
        <v>0</v>
      </c>
      <c r="H430" s="2">
        <f>IFERROR(INDEX(البيانات_الأساسية!G:G, MATCH(418, البيانات_الأساسية!$I:$I, 0)), "")</f>
        <v>0</v>
      </c>
    </row>
    <row r="431" spans="2:8" s="3" customFormat="1" ht="20" customHeight="1">
      <c r="B431" s="2">
        <f>IFERROR(INDEX(البيانات_الأساسية!A:A, MATCH(419, البيانات_الأساسية!$I:$I, 0)), "")</f>
        <v>0</v>
      </c>
      <c r="C431" s="2">
        <f>IFERROR(INDEX(البيانات_الأساسية!B:B, MATCH(419, البيانات_الأساسية!$I:$I, 0)), "")</f>
        <v>0</v>
      </c>
      <c r="D431" s="2">
        <f>IFERROR(INDEX(البيانات_الأساسية!C:C, MATCH(419, البيانات_الأساسية!$I:$I, 0)), "")</f>
        <v>0</v>
      </c>
      <c r="E431" s="2">
        <f>IFERROR(INDEX(البيانات_الأساسية!D:D, MATCH(419, البيانات_الأساسية!$I:$I, 0)), "")</f>
        <v>0</v>
      </c>
      <c r="F431" s="2">
        <f>IFERROR(INDEX(البيانات_الأساسية!E:E, MATCH(419, البيانات_الأساسية!$I:$I, 0)), "")</f>
        <v>0</v>
      </c>
      <c r="G431" s="2">
        <f>IFERROR(INDEX(البيانات_الأساسية!F:F, MATCH(419, البيانات_الأساسية!$I:$I, 0)), "")</f>
        <v>0</v>
      </c>
      <c r="H431" s="2">
        <f>IFERROR(INDEX(البيانات_الأساسية!G:G, MATCH(419, البيانات_الأساسية!$I:$I, 0)), "")</f>
        <v>0</v>
      </c>
    </row>
    <row r="432" spans="2:8" s="3" customFormat="1" ht="20" customHeight="1">
      <c r="B432" s="2">
        <f>IFERROR(INDEX(البيانات_الأساسية!A:A, MATCH(420, البيانات_الأساسية!$I:$I, 0)), "")</f>
        <v>0</v>
      </c>
      <c r="C432" s="2">
        <f>IFERROR(INDEX(البيانات_الأساسية!B:B, MATCH(420, البيانات_الأساسية!$I:$I, 0)), "")</f>
        <v>0</v>
      </c>
      <c r="D432" s="2">
        <f>IFERROR(INDEX(البيانات_الأساسية!C:C, MATCH(420, البيانات_الأساسية!$I:$I, 0)), "")</f>
        <v>0</v>
      </c>
      <c r="E432" s="2">
        <f>IFERROR(INDEX(البيانات_الأساسية!D:D, MATCH(420, البيانات_الأساسية!$I:$I, 0)), "")</f>
        <v>0</v>
      </c>
      <c r="F432" s="2">
        <f>IFERROR(INDEX(البيانات_الأساسية!E:E, MATCH(420, البيانات_الأساسية!$I:$I, 0)), "")</f>
        <v>0</v>
      </c>
      <c r="G432" s="2">
        <f>IFERROR(INDEX(البيانات_الأساسية!F:F, MATCH(420, البيانات_الأساسية!$I:$I, 0)), "")</f>
        <v>0</v>
      </c>
      <c r="H432" s="2">
        <f>IFERROR(INDEX(البيانات_الأساسية!G:G, MATCH(420, البيانات_الأساسية!$I:$I, 0)), "")</f>
        <v>0</v>
      </c>
    </row>
    <row r="433" spans="2:8" s="3" customFormat="1" ht="20" customHeight="1">
      <c r="B433" s="2">
        <f>IFERROR(INDEX(البيانات_الأساسية!A:A, MATCH(421, البيانات_الأساسية!$I:$I, 0)), "")</f>
        <v>0</v>
      </c>
      <c r="C433" s="2">
        <f>IFERROR(INDEX(البيانات_الأساسية!B:B, MATCH(421, البيانات_الأساسية!$I:$I, 0)), "")</f>
        <v>0</v>
      </c>
      <c r="D433" s="2">
        <f>IFERROR(INDEX(البيانات_الأساسية!C:C, MATCH(421, البيانات_الأساسية!$I:$I, 0)), "")</f>
        <v>0</v>
      </c>
      <c r="E433" s="2">
        <f>IFERROR(INDEX(البيانات_الأساسية!D:D, MATCH(421, البيانات_الأساسية!$I:$I, 0)), "")</f>
        <v>0</v>
      </c>
      <c r="F433" s="2">
        <f>IFERROR(INDEX(البيانات_الأساسية!E:E, MATCH(421, البيانات_الأساسية!$I:$I, 0)), "")</f>
        <v>0</v>
      </c>
      <c r="G433" s="2">
        <f>IFERROR(INDEX(البيانات_الأساسية!F:F, MATCH(421, البيانات_الأساسية!$I:$I, 0)), "")</f>
        <v>0</v>
      </c>
      <c r="H433" s="2">
        <f>IFERROR(INDEX(البيانات_الأساسية!G:G, MATCH(421, البيانات_الأساسية!$I:$I, 0)), "")</f>
        <v>0</v>
      </c>
    </row>
    <row r="434" spans="2:8" s="3" customFormat="1" ht="20" customHeight="1">
      <c r="B434" s="2">
        <f>IFERROR(INDEX(البيانات_الأساسية!A:A, MATCH(422, البيانات_الأساسية!$I:$I, 0)), "")</f>
        <v>0</v>
      </c>
      <c r="C434" s="2">
        <f>IFERROR(INDEX(البيانات_الأساسية!B:B, MATCH(422, البيانات_الأساسية!$I:$I, 0)), "")</f>
        <v>0</v>
      </c>
      <c r="D434" s="2">
        <f>IFERROR(INDEX(البيانات_الأساسية!C:C, MATCH(422, البيانات_الأساسية!$I:$I, 0)), "")</f>
        <v>0</v>
      </c>
      <c r="E434" s="2">
        <f>IFERROR(INDEX(البيانات_الأساسية!D:D, MATCH(422, البيانات_الأساسية!$I:$I, 0)), "")</f>
        <v>0</v>
      </c>
      <c r="F434" s="2">
        <f>IFERROR(INDEX(البيانات_الأساسية!E:E, MATCH(422, البيانات_الأساسية!$I:$I, 0)), "")</f>
        <v>0</v>
      </c>
      <c r="G434" s="2">
        <f>IFERROR(INDEX(البيانات_الأساسية!F:F, MATCH(422, البيانات_الأساسية!$I:$I, 0)), "")</f>
        <v>0</v>
      </c>
      <c r="H434" s="2">
        <f>IFERROR(INDEX(البيانات_الأساسية!G:G, MATCH(422, البيانات_الأساسية!$I:$I, 0)), "")</f>
        <v>0</v>
      </c>
    </row>
    <row r="435" spans="2:8" s="3" customFormat="1" ht="20" customHeight="1">
      <c r="B435" s="2">
        <f>IFERROR(INDEX(البيانات_الأساسية!A:A, MATCH(423, البيانات_الأساسية!$I:$I, 0)), "")</f>
        <v>0</v>
      </c>
      <c r="C435" s="2">
        <f>IFERROR(INDEX(البيانات_الأساسية!B:B, MATCH(423, البيانات_الأساسية!$I:$I, 0)), "")</f>
        <v>0</v>
      </c>
      <c r="D435" s="2">
        <f>IFERROR(INDEX(البيانات_الأساسية!C:C, MATCH(423, البيانات_الأساسية!$I:$I, 0)), "")</f>
        <v>0</v>
      </c>
      <c r="E435" s="2">
        <f>IFERROR(INDEX(البيانات_الأساسية!D:D, MATCH(423, البيانات_الأساسية!$I:$I, 0)), "")</f>
        <v>0</v>
      </c>
      <c r="F435" s="2">
        <f>IFERROR(INDEX(البيانات_الأساسية!E:E, MATCH(423, البيانات_الأساسية!$I:$I, 0)), "")</f>
        <v>0</v>
      </c>
      <c r="G435" s="2">
        <f>IFERROR(INDEX(البيانات_الأساسية!F:F, MATCH(423, البيانات_الأساسية!$I:$I, 0)), "")</f>
        <v>0</v>
      </c>
      <c r="H435" s="2">
        <f>IFERROR(INDEX(البيانات_الأساسية!G:G, MATCH(423, البيانات_الأساسية!$I:$I, 0)), "")</f>
        <v>0</v>
      </c>
    </row>
    <row r="436" spans="2:8" s="3" customFormat="1" ht="20" customHeight="1">
      <c r="B436" s="2">
        <f>IFERROR(INDEX(البيانات_الأساسية!A:A, MATCH(424, البيانات_الأساسية!$I:$I, 0)), "")</f>
        <v>0</v>
      </c>
      <c r="C436" s="2">
        <f>IFERROR(INDEX(البيانات_الأساسية!B:B, MATCH(424, البيانات_الأساسية!$I:$I, 0)), "")</f>
        <v>0</v>
      </c>
      <c r="D436" s="2">
        <f>IFERROR(INDEX(البيانات_الأساسية!C:C, MATCH(424, البيانات_الأساسية!$I:$I, 0)), "")</f>
        <v>0</v>
      </c>
      <c r="E436" s="2">
        <f>IFERROR(INDEX(البيانات_الأساسية!D:D, MATCH(424, البيانات_الأساسية!$I:$I, 0)), "")</f>
        <v>0</v>
      </c>
      <c r="F436" s="2">
        <f>IFERROR(INDEX(البيانات_الأساسية!E:E, MATCH(424, البيانات_الأساسية!$I:$I, 0)), "")</f>
        <v>0</v>
      </c>
      <c r="G436" s="2">
        <f>IFERROR(INDEX(البيانات_الأساسية!F:F, MATCH(424, البيانات_الأساسية!$I:$I, 0)), "")</f>
        <v>0</v>
      </c>
      <c r="H436" s="2">
        <f>IFERROR(INDEX(البيانات_الأساسية!G:G, MATCH(424, البيانات_الأساسية!$I:$I, 0)), "")</f>
        <v>0</v>
      </c>
    </row>
    <row r="437" spans="2:8" s="3" customFormat="1" ht="20" customHeight="1">
      <c r="B437" s="2">
        <f>IFERROR(INDEX(البيانات_الأساسية!A:A, MATCH(425, البيانات_الأساسية!$I:$I, 0)), "")</f>
        <v>0</v>
      </c>
      <c r="C437" s="2">
        <f>IFERROR(INDEX(البيانات_الأساسية!B:B, MATCH(425, البيانات_الأساسية!$I:$I, 0)), "")</f>
        <v>0</v>
      </c>
      <c r="D437" s="2">
        <f>IFERROR(INDEX(البيانات_الأساسية!C:C, MATCH(425, البيانات_الأساسية!$I:$I, 0)), "")</f>
        <v>0</v>
      </c>
      <c r="E437" s="2">
        <f>IFERROR(INDEX(البيانات_الأساسية!D:D, MATCH(425, البيانات_الأساسية!$I:$I, 0)), "")</f>
        <v>0</v>
      </c>
      <c r="F437" s="2">
        <f>IFERROR(INDEX(البيانات_الأساسية!E:E, MATCH(425, البيانات_الأساسية!$I:$I, 0)), "")</f>
        <v>0</v>
      </c>
      <c r="G437" s="2">
        <f>IFERROR(INDEX(البيانات_الأساسية!F:F, MATCH(425, البيانات_الأساسية!$I:$I, 0)), "")</f>
        <v>0</v>
      </c>
      <c r="H437" s="2">
        <f>IFERROR(INDEX(البيانات_الأساسية!G:G, MATCH(425, البيانات_الأساسية!$I:$I, 0)), "")</f>
        <v>0</v>
      </c>
    </row>
    <row r="438" spans="2:8" s="3" customFormat="1" ht="20" customHeight="1">
      <c r="B438" s="2">
        <f>IFERROR(INDEX(البيانات_الأساسية!A:A, MATCH(426, البيانات_الأساسية!$I:$I, 0)), "")</f>
        <v>0</v>
      </c>
      <c r="C438" s="2">
        <f>IFERROR(INDEX(البيانات_الأساسية!B:B, MATCH(426, البيانات_الأساسية!$I:$I, 0)), "")</f>
        <v>0</v>
      </c>
      <c r="D438" s="2">
        <f>IFERROR(INDEX(البيانات_الأساسية!C:C, MATCH(426, البيانات_الأساسية!$I:$I, 0)), "")</f>
        <v>0</v>
      </c>
      <c r="E438" s="2">
        <f>IFERROR(INDEX(البيانات_الأساسية!D:D, MATCH(426, البيانات_الأساسية!$I:$I, 0)), "")</f>
        <v>0</v>
      </c>
      <c r="F438" s="2">
        <f>IFERROR(INDEX(البيانات_الأساسية!E:E, MATCH(426, البيانات_الأساسية!$I:$I, 0)), "")</f>
        <v>0</v>
      </c>
      <c r="G438" s="2">
        <f>IFERROR(INDEX(البيانات_الأساسية!F:F, MATCH(426, البيانات_الأساسية!$I:$I, 0)), "")</f>
        <v>0</v>
      </c>
      <c r="H438" s="2">
        <f>IFERROR(INDEX(البيانات_الأساسية!G:G, MATCH(426, البيانات_الأساسية!$I:$I, 0)), "")</f>
        <v>0</v>
      </c>
    </row>
    <row r="439" spans="2:8" s="3" customFormat="1" ht="20" customHeight="1">
      <c r="B439" s="2">
        <f>IFERROR(INDEX(البيانات_الأساسية!A:A, MATCH(427, البيانات_الأساسية!$I:$I, 0)), "")</f>
        <v>0</v>
      </c>
      <c r="C439" s="2">
        <f>IFERROR(INDEX(البيانات_الأساسية!B:B, MATCH(427, البيانات_الأساسية!$I:$I, 0)), "")</f>
        <v>0</v>
      </c>
      <c r="D439" s="2">
        <f>IFERROR(INDEX(البيانات_الأساسية!C:C, MATCH(427, البيانات_الأساسية!$I:$I, 0)), "")</f>
        <v>0</v>
      </c>
      <c r="E439" s="2">
        <f>IFERROR(INDEX(البيانات_الأساسية!D:D, MATCH(427, البيانات_الأساسية!$I:$I, 0)), "")</f>
        <v>0</v>
      </c>
      <c r="F439" s="2">
        <f>IFERROR(INDEX(البيانات_الأساسية!E:E, MATCH(427, البيانات_الأساسية!$I:$I, 0)), "")</f>
        <v>0</v>
      </c>
      <c r="G439" s="2">
        <f>IFERROR(INDEX(البيانات_الأساسية!F:F, MATCH(427, البيانات_الأساسية!$I:$I, 0)), "")</f>
        <v>0</v>
      </c>
      <c r="H439" s="2">
        <f>IFERROR(INDEX(البيانات_الأساسية!G:G, MATCH(427, البيانات_الأساسية!$I:$I, 0)), "")</f>
        <v>0</v>
      </c>
    </row>
    <row r="440" spans="2:8" s="3" customFormat="1" ht="20" customHeight="1">
      <c r="B440" s="2">
        <f>IFERROR(INDEX(البيانات_الأساسية!A:A, MATCH(428, البيانات_الأساسية!$I:$I, 0)), "")</f>
        <v>0</v>
      </c>
      <c r="C440" s="2">
        <f>IFERROR(INDEX(البيانات_الأساسية!B:B, MATCH(428, البيانات_الأساسية!$I:$I, 0)), "")</f>
        <v>0</v>
      </c>
      <c r="D440" s="2">
        <f>IFERROR(INDEX(البيانات_الأساسية!C:C, MATCH(428, البيانات_الأساسية!$I:$I, 0)), "")</f>
        <v>0</v>
      </c>
      <c r="E440" s="2">
        <f>IFERROR(INDEX(البيانات_الأساسية!D:D, MATCH(428, البيانات_الأساسية!$I:$I, 0)), "")</f>
        <v>0</v>
      </c>
      <c r="F440" s="2">
        <f>IFERROR(INDEX(البيانات_الأساسية!E:E, MATCH(428, البيانات_الأساسية!$I:$I, 0)), "")</f>
        <v>0</v>
      </c>
      <c r="G440" s="2">
        <f>IFERROR(INDEX(البيانات_الأساسية!F:F, MATCH(428, البيانات_الأساسية!$I:$I, 0)), "")</f>
        <v>0</v>
      </c>
      <c r="H440" s="2">
        <f>IFERROR(INDEX(البيانات_الأساسية!G:G, MATCH(428, البيانات_الأساسية!$I:$I, 0)), "")</f>
        <v>0</v>
      </c>
    </row>
    <row r="441" spans="2:8" s="3" customFormat="1" ht="20" customHeight="1">
      <c r="B441" s="2">
        <f>IFERROR(INDEX(البيانات_الأساسية!A:A, MATCH(429, البيانات_الأساسية!$I:$I, 0)), "")</f>
        <v>0</v>
      </c>
      <c r="C441" s="2">
        <f>IFERROR(INDEX(البيانات_الأساسية!B:B, MATCH(429, البيانات_الأساسية!$I:$I, 0)), "")</f>
        <v>0</v>
      </c>
      <c r="D441" s="2">
        <f>IFERROR(INDEX(البيانات_الأساسية!C:C, MATCH(429, البيانات_الأساسية!$I:$I, 0)), "")</f>
        <v>0</v>
      </c>
      <c r="E441" s="2">
        <f>IFERROR(INDEX(البيانات_الأساسية!D:D, MATCH(429, البيانات_الأساسية!$I:$I, 0)), "")</f>
        <v>0</v>
      </c>
      <c r="F441" s="2">
        <f>IFERROR(INDEX(البيانات_الأساسية!E:E, MATCH(429, البيانات_الأساسية!$I:$I, 0)), "")</f>
        <v>0</v>
      </c>
      <c r="G441" s="2">
        <f>IFERROR(INDEX(البيانات_الأساسية!F:F, MATCH(429, البيانات_الأساسية!$I:$I, 0)), "")</f>
        <v>0</v>
      </c>
      <c r="H441" s="2">
        <f>IFERROR(INDEX(البيانات_الأساسية!G:G, MATCH(429, البيانات_الأساسية!$I:$I, 0)), "")</f>
        <v>0</v>
      </c>
    </row>
    <row r="442" spans="2:8" s="3" customFormat="1" ht="20" customHeight="1">
      <c r="B442" s="2">
        <f>IFERROR(INDEX(البيانات_الأساسية!A:A, MATCH(430, البيانات_الأساسية!$I:$I, 0)), "")</f>
        <v>0</v>
      </c>
      <c r="C442" s="2">
        <f>IFERROR(INDEX(البيانات_الأساسية!B:B, MATCH(430, البيانات_الأساسية!$I:$I, 0)), "")</f>
        <v>0</v>
      </c>
      <c r="D442" s="2">
        <f>IFERROR(INDEX(البيانات_الأساسية!C:C, MATCH(430, البيانات_الأساسية!$I:$I, 0)), "")</f>
        <v>0</v>
      </c>
      <c r="E442" s="2">
        <f>IFERROR(INDEX(البيانات_الأساسية!D:D, MATCH(430, البيانات_الأساسية!$I:$I, 0)), "")</f>
        <v>0</v>
      </c>
      <c r="F442" s="2">
        <f>IFERROR(INDEX(البيانات_الأساسية!E:E, MATCH(430, البيانات_الأساسية!$I:$I, 0)), "")</f>
        <v>0</v>
      </c>
      <c r="G442" s="2">
        <f>IFERROR(INDEX(البيانات_الأساسية!F:F, MATCH(430, البيانات_الأساسية!$I:$I, 0)), "")</f>
        <v>0</v>
      </c>
      <c r="H442" s="2">
        <f>IFERROR(INDEX(البيانات_الأساسية!G:G, MATCH(430, البيانات_الأساسية!$I:$I, 0)), "")</f>
        <v>0</v>
      </c>
    </row>
    <row r="443" spans="2:8" s="3" customFormat="1" ht="20" customHeight="1">
      <c r="B443" s="2">
        <f>IFERROR(INDEX(البيانات_الأساسية!A:A, MATCH(431, البيانات_الأساسية!$I:$I, 0)), "")</f>
        <v>0</v>
      </c>
      <c r="C443" s="2">
        <f>IFERROR(INDEX(البيانات_الأساسية!B:B, MATCH(431, البيانات_الأساسية!$I:$I, 0)), "")</f>
        <v>0</v>
      </c>
      <c r="D443" s="2">
        <f>IFERROR(INDEX(البيانات_الأساسية!C:C, MATCH(431, البيانات_الأساسية!$I:$I, 0)), "")</f>
        <v>0</v>
      </c>
      <c r="E443" s="2">
        <f>IFERROR(INDEX(البيانات_الأساسية!D:D, MATCH(431, البيانات_الأساسية!$I:$I, 0)), "")</f>
        <v>0</v>
      </c>
      <c r="F443" s="2">
        <f>IFERROR(INDEX(البيانات_الأساسية!E:E, MATCH(431, البيانات_الأساسية!$I:$I, 0)), "")</f>
        <v>0</v>
      </c>
      <c r="G443" s="2">
        <f>IFERROR(INDEX(البيانات_الأساسية!F:F, MATCH(431, البيانات_الأساسية!$I:$I, 0)), "")</f>
        <v>0</v>
      </c>
      <c r="H443" s="2">
        <f>IFERROR(INDEX(البيانات_الأساسية!G:G, MATCH(431, البيانات_الأساسية!$I:$I, 0)), "")</f>
        <v>0</v>
      </c>
    </row>
    <row r="444" spans="2:8" s="3" customFormat="1" ht="20" customHeight="1">
      <c r="B444" s="2">
        <f>IFERROR(INDEX(البيانات_الأساسية!A:A, MATCH(432, البيانات_الأساسية!$I:$I, 0)), "")</f>
        <v>0</v>
      </c>
      <c r="C444" s="2">
        <f>IFERROR(INDEX(البيانات_الأساسية!B:B, MATCH(432, البيانات_الأساسية!$I:$I, 0)), "")</f>
        <v>0</v>
      </c>
      <c r="D444" s="2">
        <f>IFERROR(INDEX(البيانات_الأساسية!C:C, MATCH(432, البيانات_الأساسية!$I:$I, 0)), "")</f>
        <v>0</v>
      </c>
      <c r="E444" s="2">
        <f>IFERROR(INDEX(البيانات_الأساسية!D:D, MATCH(432, البيانات_الأساسية!$I:$I, 0)), "")</f>
        <v>0</v>
      </c>
      <c r="F444" s="2">
        <f>IFERROR(INDEX(البيانات_الأساسية!E:E, MATCH(432, البيانات_الأساسية!$I:$I, 0)), "")</f>
        <v>0</v>
      </c>
      <c r="G444" s="2">
        <f>IFERROR(INDEX(البيانات_الأساسية!F:F, MATCH(432, البيانات_الأساسية!$I:$I, 0)), "")</f>
        <v>0</v>
      </c>
      <c r="H444" s="2">
        <f>IFERROR(INDEX(البيانات_الأساسية!G:G, MATCH(432, البيانات_الأساسية!$I:$I, 0)), "")</f>
        <v>0</v>
      </c>
    </row>
    <row r="445" spans="2:8" s="3" customFormat="1" ht="20" customHeight="1">
      <c r="B445" s="2">
        <f>IFERROR(INDEX(البيانات_الأساسية!A:A, MATCH(433, البيانات_الأساسية!$I:$I, 0)), "")</f>
        <v>0</v>
      </c>
      <c r="C445" s="2">
        <f>IFERROR(INDEX(البيانات_الأساسية!B:B, MATCH(433, البيانات_الأساسية!$I:$I, 0)), "")</f>
        <v>0</v>
      </c>
      <c r="D445" s="2">
        <f>IFERROR(INDEX(البيانات_الأساسية!C:C, MATCH(433, البيانات_الأساسية!$I:$I, 0)), "")</f>
        <v>0</v>
      </c>
      <c r="E445" s="2">
        <f>IFERROR(INDEX(البيانات_الأساسية!D:D, MATCH(433, البيانات_الأساسية!$I:$I, 0)), "")</f>
        <v>0</v>
      </c>
      <c r="F445" s="2">
        <f>IFERROR(INDEX(البيانات_الأساسية!E:E, MATCH(433, البيانات_الأساسية!$I:$I, 0)), "")</f>
        <v>0</v>
      </c>
      <c r="G445" s="2">
        <f>IFERROR(INDEX(البيانات_الأساسية!F:F, MATCH(433, البيانات_الأساسية!$I:$I, 0)), "")</f>
        <v>0</v>
      </c>
      <c r="H445" s="2">
        <f>IFERROR(INDEX(البيانات_الأساسية!G:G, MATCH(433, البيانات_الأساسية!$I:$I, 0)), "")</f>
        <v>0</v>
      </c>
    </row>
    <row r="446" spans="2:8" s="3" customFormat="1" ht="20" customHeight="1">
      <c r="B446" s="2">
        <f>IFERROR(INDEX(البيانات_الأساسية!A:A, MATCH(434, البيانات_الأساسية!$I:$I, 0)), "")</f>
        <v>0</v>
      </c>
      <c r="C446" s="2">
        <f>IFERROR(INDEX(البيانات_الأساسية!B:B, MATCH(434, البيانات_الأساسية!$I:$I, 0)), "")</f>
        <v>0</v>
      </c>
      <c r="D446" s="2">
        <f>IFERROR(INDEX(البيانات_الأساسية!C:C, MATCH(434, البيانات_الأساسية!$I:$I, 0)), "")</f>
        <v>0</v>
      </c>
      <c r="E446" s="2">
        <f>IFERROR(INDEX(البيانات_الأساسية!D:D, MATCH(434, البيانات_الأساسية!$I:$I, 0)), "")</f>
        <v>0</v>
      </c>
      <c r="F446" s="2">
        <f>IFERROR(INDEX(البيانات_الأساسية!E:E, MATCH(434, البيانات_الأساسية!$I:$I, 0)), "")</f>
        <v>0</v>
      </c>
      <c r="G446" s="2">
        <f>IFERROR(INDEX(البيانات_الأساسية!F:F, MATCH(434, البيانات_الأساسية!$I:$I, 0)), "")</f>
        <v>0</v>
      </c>
      <c r="H446" s="2">
        <f>IFERROR(INDEX(البيانات_الأساسية!G:G, MATCH(434, البيانات_الأساسية!$I:$I, 0)), "")</f>
        <v>0</v>
      </c>
    </row>
    <row r="447" spans="2:8" s="3" customFormat="1" ht="20" customHeight="1">
      <c r="B447" s="2">
        <f>IFERROR(INDEX(البيانات_الأساسية!A:A, MATCH(435, البيانات_الأساسية!$I:$I, 0)), "")</f>
        <v>0</v>
      </c>
      <c r="C447" s="2">
        <f>IFERROR(INDEX(البيانات_الأساسية!B:B, MATCH(435, البيانات_الأساسية!$I:$I, 0)), "")</f>
        <v>0</v>
      </c>
      <c r="D447" s="2">
        <f>IFERROR(INDEX(البيانات_الأساسية!C:C, MATCH(435, البيانات_الأساسية!$I:$I, 0)), "")</f>
        <v>0</v>
      </c>
      <c r="E447" s="2">
        <f>IFERROR(INDEX(البيانات_الأساسية!D:D, MATCH(435, البيانات_الأساسية!$I:$I, 0)), "")</f>
        <v>0</v>
      </c>
      <c r="F447" s="2">
        <f>IFERROR(INDEX(البيانات_الأساسية!E:E, MATCH(435, البيانات_الأساسية!$I:$I, 0)), "")</f>
        <v>0</v>
      </c>
      <c r="G447" s="2">
        <f>IFERROR(INDEX(البيانات_الأساسية!F:F, MATCH(435, البيانات_الأساسية!$I:$I, 0)), "")</f>
        <v>0</v>
      </c>
      <c r="H447" s="2">
        <f>IFERROR(INDEX(البيانات_الأساسية!G:G, MATCH(435, البيانات_الأساسية!$I:$I, 0)), "")</f>
        <v>0</v>
      </c>
    </row>
    <row r="448" spans="2:8" s="3" customFormat="1" ht="20" customHeight="1">
      <c r="B448" s="2">
        <f>IFERROR(INDEX(البيانات_الأساسية!A:A, MATCH(436, البيانات_الأساسية!$I:$I, 0)), "")</f>
        <v>0</v>
      </c>
      <c r="C448" s="2">
        <f>IFERROR(INDEX(البيانات_الأساسية!B:B, MATCH(436, البيانات_الأساسية!$I:$I, 0)), "")</f>
        <v>0</v>
      </c>
      <c r="D448" s="2">
        <f>IFERROR(INDEX(البيانات_الأساسية!C:C, MATCH(436, البيانات_الأساسية!$I:$I, 0)), "")</f>
        <v>0</v>
      </c>
      <c r="E448" s="2">
        <f>IFERROR(INDEX(البيانات_الأساسية!D:D, MATCH(436, البيانات_الأساسية!$I:$I, 0)), "")</f>
        <v>0</v>
      </c>
      <c r="F448" s="2">
        <f>IFERROR(INDEX(البيانات_الأساسية!E:E, MATCH(436, البيانات_الأساسية!$I:$I, 0)), "")</f>
        <v>0</v>
      </c>
      <c r="G448" s="2">
        <f>IFERROR(INDEX(البيانات_الأساسية!F:F, MATCH(436, البيانات_الأساسية!$I:$I, 0)), "")</f>
        <v>0</v>
      </c>
      <c r="H448" s="2">
        <f>IFERROR(INDEX(البيانات_الأساسية!G:G, MATCH(436, البيانات_الأساسية!$I:$I, 0)), "")</f>
        <v>0</v>
      </c>
    </row>
    <row r="449" spans="2:8" s="3" customFormat="1" ht="20" customHeight="1">
      <c r="B449" s="2">
        <f>IFERROR(INDEX(البيانات_الأساسية!A:A, MATCH(437, البيانات_الأساسية!$I:$I, 0)), "")</f>
        <v>0</v>
      </c>
      <c r="C449" s="2">
        <f>IFERROR(INDEX(البيانات_الأساسية!B:B, MATCH(437, البيانات_الأساسية!$I:$I, 0)), "")</f>
        <v>0</v>
      </c>
      <c r="D449" s="2">
        <f>IFERROR(INDEX(البيانات_الأساسية!C:C, MATCH(437, البيانات_الأساسية!$I:$I, 0)), "")</f>
        <v>0</v>
      </c>
      <c r="E449" s="2">
        <f>IFERROR(INDEX(البيانات_الأساسية!D:D, MATCH(437, البيانات_الأساسية!$I:$I, 0)), "")</f>
        <v>0</v>
      </c>
      <c r="F449" s="2">
        <f>IFERROR(INDEX(البيانات_الأساسية!E:E, MATCH(437, البيانات_الأساسية!$I:$I, 0)), "")</f>
        <v>0</v>
      </c>
      <c r="G449" s="2">
        <f>IFERROR(INDEX(البيانات_الأساسية!F:F, MATCH(437, البيانات_الأساسية!$I:$I, 0)), "")</f>
        <v>0</v>
      </c>
      <c r="H449" s="2">
        <f>IFERROR(INDEX(البيانات_الأساسية!G:G, MATCH(437, البيانات_الأساسية!$I:$I, 0)), "")</f>
        <v>0</v>
      </c>
    </row>
    <row r="450" spans="2:8" s="3" customFormat="1" ht="20" customHeight="1">
      <c r="B450" s="2">
        <f>IFERROR(INDEX(البيانات_الأساسية!A:A, MATCH(438, البيانات_الأساسية!$I:$I, 0)), "")</f>
        <v>0</v>
      </c>
      <c r="C450" s="2">
        <f>IFERROR(INDEX(البيانات_الأساسية!B:B, MATCH(438, البيانات_الأساسية!$I:$I, 0)), "")</f>
        <v>0</v>
      </c>
      <c r="D450" s="2">
        <f>IFERROR(INDEX(البيانات_الأساسية!C:C, MATCH(438, البيانات_الأساسية!$I:$I, 0)), "")</f>
        <v>0</v>
      </c>
      <c r="E450" s="2">
        <f>IFERROR(INDEX(البيانات_الأساسية!D:D, MATCH(438, البيانات_الأساسية!$I:$I, 0)), "")</f>
        <v>0</v>
      </c>
      <c r="F450" s="2">
        <f>IFERROR(INDEX(البيانات_الأساسية!E:E, MATCH(438, البيانات_الأساسية!$I:$I, 0)), "")</f>
        <v>0</v>
      </c>
      <c r="G450" s="2">
        <f>IFERROR(INDEX(البيانات_الأساسية!F:F, MATCH(438, البيانات_الأساسية!$I:$I, 0)), "")</f>
        <v>0</v>
      </c>
      <c r="H450" s="2">
        <f>IFERROR(INDEX(البيانات_الأساسية!G:G, MATCH(438, البيانات_الأساسية!$I:$I, 0)), "")</f>
        <v>0</v>
      </c>
    </row>
    <row r="451" spans="2:8" s="3" customFormat="1" ht="20" customHeight="1">
      <c r="B451" s="2">
        <f>IFERROR(INDEX(البيانات_الأساسية!A:A, MATCH(439, البيانات_الأساسية!$I:$I, 0)), "")</f>
        <v>0</v>
      </c>
      <c r="C451" s="2">
        <f>IFERROR(INDEX(البيانات_الأساسية!B:B, MATCH(439, البيانات_الأساسية!$I:$I, 0)), "")</f>
        <v>0</v>
      </c>
      <c r="D451" s="2">
        <f>IFERROR(INDEX(البيانات_الأساسية!C:C, MATCH(439, البيانات_الأساسية!$I:$I, 0)), "")</f>
        <v>0</v>
      </c>
      <c r="E451" s="2">
        <f>IFERROR(INDEX(البيانات_الأساسية!D:D, MATCH(439, البيانات_الأساسية!$I:$I, 0)), "")</f>
        <v>0</v>
      </c>
      <c r="F451" s="2">
        <f>IFERROR(INDEX(البيانات_الأساسية!E:E, MATCH(439, البيانات_الأساسية!$I:$I, 0)), "")</f>
        <v>0</v>
      </c>
      <c r="G451" s="2">
        <f>IFERROR(INDEX(البيانات_الأساسية!F:F, MATCH(439, البيانات_الأساسية!$I:$I, 0)), "")</f>
        <v>0</v>
      </c>
      <c r="H451" s="2">
        <f>IFERROR(INDEX(البيانات_الأساسية!G:G, MATCH(439, البيانات_الأساسية!$I:$I, 0)), "")</f>
        <v>0</v>
      </c>
    </row>
    <row r="452" spans="2:8" s="3" customFormat="1" ht="20" customHeight="1">
      <c r="B452" s="2">
        <f>IFERROR(INDEX(البيانات_الأساسية!A:A, MATCH(440, البيانات_الأساسية!$I:$I, 0)), "")</f>
        <v>0</v>
      </c>
      <c r="C452" s="2">
        <f>IFERROR(INDEX(البيانات_الأساسية!B:B, MATCH(440, البيانات_الأساسية!$I:$I, 0)), "")</f>
        <v>0</v>
      </c>
      <c r="D452" s="2">
        <f>IFERROR(INDEX(البيانات_الأساسية!C:C, MATCH(440, البيانات_الأساسية!$I:$I, 0)), "")</f>
        <v>0</v>
      </c>
      <c r="E452" s="2">
        <f>IFERROR(INDEX(البيانات_الأساسية!D:D, MATCH(440, البيانات_الأساسية!$I:$I, 0)), "")</f>
        <v>0</v>
      </c>
      <c r="F452" s="2">
        <f>IFERROR(INDEX(البيانات_الأساسية!E:E, MATCH(440, البيانات_الأساسية!$I:$I, 0)), "")</f>
        <v>0</v>
      </c>
      <c r="G452" s="2">
        <f>IFERROR(INDEX(البيانات_الأساسية!F:F, MATCH(440, البيانات_الأساسية!$I:$I, 0)), "")</f>
        <v>0</v>
      </c>
      <c r="H452" s="2">
        <f>IFERROR(INDEX(البيانات_الأساسية!G:G, MATCH(440, البيانات_الأساسية!$I:$I, 0)), "")</f>
        <v>0</v>
      </c>
    </row>
    <row r="453" spans="2:8" s="3" customFormat="1" ht="20" customHeight="1">
      <c r="B453" s="2">
        <f>IFERROR(INDEX(البيانات_الأساسية!A:A, MATCH(441, البيانات_الأساسية!$I:$I, 0)), "")</f>
        <v>0</v>
      </c>
      <c r="C453" s="2">
        <f>IFERROR(INDEX(البيانات_الأساسية!B:B, MATCH(441, البيانات_الأساسية!$I:$I, 0)), "")</f>
        <v>0</v>
      </c>
      <c r="D453" s="2">
        <f>IFERROR(INDEX(البيانات_الأساسية!C:C, MATCH(441, البيانات_الأساسية!$I:$I, 0)), "")</f>
        <v>0</v>
      </c>
      <c r="E453" s="2">
        <f>IFERROR(INDEX(البيانات_الأساسية!D:D, MATCH(441, البيانات_الأساسية!$I:$I, 0)), "")</f>
        <v>0</v>
      </c>
      <c r="F453" s="2">
        <f>IFERROR(INDEX(البيانات_الأساسية!E:E, MATCH(441, البيانات_الأساسية!$I:$I, 0)), "")</f>
        <v>0</v>
      </c>
      <c r="G453" s="2">
        <f>IFERROR(INDEX(البيانات_الأساسية!F:F, MATCH(441, البيانات_الأساسية!$I:$I, 0)), "")</f>
        <v>0</v>
      </c>
      <c r="H453" s="2">
        <f>IFERROR(INDEX(البيانات_الأساسية!G:G, MATCH(441, البيانات_الأساسية!$I:$I, 0)), "")</f>
        <v>0</v>
      </c>
    </row>
    <row r="454" spans="2:8" s="3" customFormat="1" ht="20" customHeight="1">
      <c r="B454" s="2">
        <f>IFERROR(INDEX(البيانات_الأساسية!A:A, MATCH(442, البيانات_الأساسية!$I:$I, 0)), "")</f>
        <v>0</v>
      </c>
      <c r="C454" s="2">
        <f>IFERROR(INDEX(البيانات_الأساسية!B:B, MATCH(442, البيانات_الأساسية!$I:$I, 0)), "")</f>
        <v>0</v>
      </c>
      <c r="D454" s="2">
        <f>IFERROR(INDEX(البيانات_الأساسية!C:C, MATCH(442, البيانات_الأساسية!$I:$I, 0)), "")</f>
        <v>0</v>
      </c>
      <c r="E454" s="2">
        <f>IFERROR(INDEX(البيانات_الأساسية!D:D, MATCH(442, البيانات_الأساسية!$I:$I, 0)), "")</f>
        <v>0</v>
      </c>
      <c r="F454" s="2">
        <f>IFERROR(INDEX(البيانات_الأساسية!E:E, MATCH(442, البيانات_الأساسية!$I:$I, 0)), "")</f>
        <v>0</v>
      </c>
      <c r="G454" s="2">
        <f>IFERROR(INDEX(البيانات_الأساسية!F:F, MATCH(442, البيانات_الأساسية!$I:$I, 0)), "")</f>
        <v>0</v>
      </c>
      <c r="H454" s="2">
        <f>IFERROR(INDEX(البيانات_الأساسية!G:G, MATCH(442, البيانات_الأساسية!$I:$I, 0)), "")</f>
        <v>0</v>
      </c>
    </row>
    <row r="455" spans="2:8" s="3" customFormat="1" ht="20" customHeight="1">
      <c r="B455" s="2">
        <f>IFERROR(INDEX(البيانات_الأساسية!A:A, MATCH(443, البيانات_الأساسية!$I:$I, 0)), "")</f>
        <v>0</v>
      </c>
      <c r="C455" s="2">
        <f>IFERROR(INDEX(البيانات_الأساسية!B:B, MATCH(443, البيانات_الأساسية!$I:$I, 0)), "")</f>
        <v>0</v>
      </c>
      <c r="D455" s="2">
        <f>IFERROR(INDEX(البيانات_الأساسية!C:C, MATCH(443, البيانات_الأساسية!$I:$I, 0)), "")</f>
        <v>0</v>
      </c>
      <c r="E455" s="2">
        <f>IFERROR(INDEX(البيانات_الأساسية!D:D, MATCH(443, البيانات_الأساسية!$I:$I, 0)), "")</f>
        <v>0</v>
      </c>
      <c r="F455" s="2">
        <f>IFERROR(INDEX(البيانات_الأساسية!E:E, MATCH(443, البيانات_الأساسية!$I:$I, 0)), "")</f>
        <v>0</v>
      </c>
      <c r="G455" s="2">
        <f>IFERROR(INDEX(البيانات_الأساسية!F:F, MATCH(443, البيانات_الأساسية!$I:$I, 0)), "")</f>
        <v>0</v>
      </c>
      <c r="H455" s="2">
        <f>IFERROR(INDEX(البيانات_الأساسية!G:G, MATCH(443, البيانات_الأساسية!$I:$I, 0)), "")</f>
        <v>0</v>
      </c>
    </row>
    <row r="456" spans="2:8" s="3" customFormat="1" ht="20" customHeight="1">
      <c r="B456" s="2">
        <f>IFERROR(INDEX(البيانات_الأساسية!A:A, MATCH(444, البيانات_الأساسية!$I:$I, 0)), "")</f>
        <v>0</v>
      </c>
      <c r="C456" s="2">
        <f>IFERROR(INDEX(البيانات_الأساسية!B:B, MATCH(444, البيانات_الأساسية!$I:$I, 0)), "")</f>
        <v>0</v>
      </c>
      <c r="D456" s="2">
        <f>IFERROR(INDEX(البيانات_الأساسية!C:C, MATCH(444, البيانات_الأساسية!$I:$I, 0)), "")</f>
        <v>0</v>
      </c>
      <c r="E456" s="2">
        <f>IFERROR(INDEX(البيانات_الأساسية!D:D, MATCH(444, البيانات_الأساسية!$I:$I, 0)), "")</f>
        <v>0</v>
      </c>
      <c r="F456" s="2">
        <f>IFERROR(INDEX(البيانات_الأساسية!E:E, MATCH(444, البيانات_الأساسية!$I:$I, 0)), "")</f>
        <v>0</v>
      </c>
      <c r="G456" s="2">
        <f>IFERROR(INDEX(البيانات_الأساسية!F:F, MATCH(444, البيانات_الأساسية!$I:$I, 0)), "")</f>
        <v>0</v>
      </c>
      <c r="H456" s="2">
        <f>IFERROR(INDEX(البيانات_الأساسية!G:G, MATCH(444, البيانات_الأساسية!$I:$I, 0)), "")</f>
        <v>0</v>
      </c>
    </row>
    <row r="457" spans="2:8" s="3" customFormat="1" ht="20" customHeight="1">
      <c r="B457" s="2">
        <f>IFERROR(INDEX(البيانات_الأساسية!A:A, MATCH(445, البيانات_الأساسية!$I:$I, 0)), "")</f>
        <v>0</v>
      </c>
      <c r="C457" s="2">
        <f>IFERROR(INDEX(البيانات_الأساسية!B:B, MATCH(445, البيانات_الأساسية!$I:$I, 0)), "")</f>
        <v>0</v>
      </c>
      <c r="D457" s="2">
        <f>IFERROR(INDEX(البيانات_الأساسية!C:C, MATCH(445, البيانات_الأساسية!$I:$I, 0)), "")</f>
        <v>0</v>
      </c>
      <c r="E457" s="2">
        <f>IFERROR(INDEX(البيانات_الأساسية!D:D, MATCH(445, البيانات_الأساسية!$I:$I, 0)), "")</f>
        <v>0</v>
      </c>
      <c r="F457" s="2">
        <f>IFERROR(INDEX(البيانات_الأساسية!E:E, MATCH(445, البيانات_الأساسية!$I:$I, 0)), "")</f>
        <v>0</v>
      </c>
      <c r="G457" s="2">
        <f>IFERROR(INDEX(البيانات_الأساسية!F:F, MATCH(445, البيانات_الأساسية!$I:$I, 0)), "")</f>
        <v>0</v>
      </c>
      <c r="H457" s="2">
        <f>IFERROR(INDEX(البيانات_الأساسية!G:G, MATCH(445, البيانات_الأساسية!$I:$I, 0)), "")</f>
        <v>0</v>
      </c>
    </row>
    <row r="458" spans="2:8" s="3" customFormat="1" ht="20" customHeight="1">
      <c r="B458" s="2">
        <f>IFERROR(INDEX(البيانات_الأساسية!A:A, MATCH(446, البيانات_الأساسية!$I:$I, 0)), "")</f>
        <v>0</v>
      </c>
      <c r="C458" s="2">
        <f>IFERROR(INDEX(البيانات_الأساسية!B:B, MATCH(446, البيانات_الأساسية!$I:$I, 0)), "")</f>
        <v>0</v>
      </c>
      <c r="D458" s="2">
        <f>IFERROR(INDEX(البيانات_الأساسية!C:C, MATCH(446, البيانات_الأساسية!$I:$I, 0)), "")</f>
        <v>0</v>
      </c>
      <c r="E458" s="2">
        <f>IFERROR(INDEX(البيانات_الأساسية!D:D, MATCH(446, البيانات_الأساسية!$I:$I, 0)), "")</f>
        <v>0</v>
      </c>
      <c r="F458" s="2">
        <f>IFERROR(INDEX(البيانات_الأساسية!E:E, MATCH(446, البيانات_الأساسية!$I:$I, 0)), "")</f>
        <v>0</v>
      </c>
      <c r="G458" s="2">
        <f>IFERROR(INDEX(البيانات_الأساسية!F:F, MATCH(446, البيانات_الأساسية!$I:$I, 0)), "")</f>
        <v>0</v>
      </c>
      <c r="H458" s="2">
        <f>IFERROR(INDEX(البيانات_الأساسية!G:G, MATCH(446, البيانات_الأساسية!$I:$I, 0)), "")</f>
        <v>0</v>
      </c>
    </row>
    <row r="459" spans="2:8" s="3" customFormat="1" ht="20" customHeight="1">
      <c r="B459" s="2">
        <f>IFERROR(INDEX(البيانات_الأساسية!A:A, MATCH(447, البيانات_الأساسية!$I:$I, 0)), "")</f>
        <v>0</v>
      </c>
      <c r="C459" s="2">
        <f>IFERROR(INDEX(البيانات_الأساسية!B:B, MATCH(447, البيانات_الأساسية!$I:$I, 0)), "")</f>
        <v>0</v>
      </c>
      <c r="D459" s="2">
        <f>IFERROR(INDEX(البيانات_الأساسية!C:C, MATCH(447, البيانات_الأساسية!$I:$I, 0)), "")</f>
        <v>0</v>
      </c>
      <c r="E459" s="2">
        <f>IFERROR(INDEX(البيانات_الأساسية!D:D, MATCH(447, البيانات_الأساسية!$I:$I, 0)), "")</f>
        <v>0</v>
      </c>
      <c r="F459" s="2">
        <f>IFERROR(INDEX(البيانات_الأساسية!E:E, MATCH(447, البيانات_الأساسية!$I:$I, 0)), "")</f>
        <v>0</v>
      </c>
      <c r="G459" s="2">
        <f>IFERROR(INDEX(البيانات_الأساسية!F:F, MATCH(447, البيانات_الأساسية!$I:$I, 0)), "")</f>
        <v>0</v>
      </c>
      <c r="H459" s="2">
        <f>IFERROR(INDEX(البيانات_الأساسية!G:G, MATCH(447, البيانات_الأساسية!$I:$I, 0)), "")</f>
        <v>0</v>
      </c>
    </row>
    <row r="460" spans="2:8" s="3" customFormat="1" ht="20" customHeight="1">
      <c r="B460" s="2">
        <f>IFERROR(INDEX(البيانات_الأساسية!A:A, MATCH(448, البيانات_الأساسية!$I:$I, 0)), "")</f>
        <v>0</v>
      </c>
      <c r="C460" s="2">
        <f>IFERROR(INDEX(البيانات_الأساسية!B:B, MATCH(448, البيانات_الأساسية!$I:$I, 0)), "")</f>
        <v>0</v>
      </c>
      <c r="D460" s="2">
        <f>IFERROR(INDEX(البيانات_الأساسية!C:C, MATCH(448, البيانات_الأساسية!$I:$I, 0)), "")</f>
        <v>0</v>
      </c>
      <c r="E460" s="2">
        <f>IFERROR(INDEX(البيانات_الأساسية!D:D, MATCH(448, البيانات_الأساسية!$I:$I, 0)), "")</f>
        <v>0</v>
      </c>
      <c r="F460" s="2">
        <f>IFERROR(INDEX(البيانات_الأساسية!E:E, MATCH(448, البيانات_الأساسية!$I:$I, 0)), "")</f>
        <v>0</v>
      </c>
      <c r="G460" s="2">
        <f>IFERROR(INDEX(البيانات_الأساسية!F:F, MATCH(448, البيانات_الأساسية!$I:$I, 0)), "")</f>
        <v>0</v>
      </c>
      <c r="H460" s="2">
        <f>IFERROR(INDEX(البيانات_الأساسية!G:G, MATCH(448, البيانات_الأساسية!$I:$I, 0)), "")</f>
        <v>0</v>
      </c>
    </row>
    <row r="461" spans="2:8" s="3" customFormat="1" ht="20" customHeight="1">
      <c r="B461" s="2">
        <f>IFERROR(INDEX(البيانات_الأساسية!A:A, MATCH(449, البيانات_الأساسية!$I:$I, 0)), "")</f>
        <v>0</v>
      </c>
      <c r="C461" s="2">
        <f>IFERROR(INDEX(البيانات_الأساسية!B:B, MATCH(449, البيانات_الأساسية!$I:$I, 0)), "")</f>
        <v>0</v>
      </c>
      <c r="D461" s="2">
        <f>IFERROR(INDEX(البيانات_الأساسية!C:C, MATCH(449, البيانات_الأساسية!$I:$I, 0)), "")</f>
        <v>0</v>
      </c>
      <c r="E461" s="2">
        <f>IFERROR(INDEX(البيانات_الأساسية!D:D, MATCH(449, البيانات_الأساسية!$I:$I, 0)), "")</f>
        <v>0</v>
      </c>
      <c r="F461" s="2">
        <f>IFERROR(INDEX(البيانات_الأساسية!E:E, MATCH(449, البيانات_الأساسية!$I:$I, 0)), "")</f>
        <v>0</v>
      </c>
      <c r="G461" s="2">
        <f>IFERROR(INDEX(البيانات_الأساسية!F:F, MATCH(449, البيانات_الأساسية!$I:$I, 0)), "")</f>
        <v>0</v>
      </c>
      <c r="H461" s="2">
        <f>IFERROR(INDEX(البيانات_الأساسية!G:G, MATCH(449, البيانات_الأساسية!$I:$I, 0)), "")</f>
        <v>0</v>
      </c>
    </row>
    <row r="462" spans="2:8" s="3" customFormat="1" ht="20" customHeight="1">
      <c r="B462" s="2">
        <f>IFERROR(INDEX(البيانات_الأساسية!A:A, MATCH(450, البيانات_الأساسية!$I:$I, 0)), "")</f>
        <v>0</v>
      </c>
      <c r="C462" s="2">
        <f>IFERROR(INDEX(البيانات_الأساسية!B:B, MATCH(450, البيانات_الأساسية!$I:$I, 0)), "")</f>
        <v>0</v>
      </c>
      <c r="D462" s="2">
        <f>IFERROR(INDEX(البيانات_الأساسية!C:C, MATCH(450, البيانات_الأساسية!$I:$I, 0)), "")</f>
        <v>0</v>
      </c>
      <c r="E462" s="2">
        <f>IFERROR(INDEX(البيانات_الأساسية!D:D, MATCH(450, البيانات_الأساسية!$I:$I, 0)), "")</f>
        <v>0</v>
      </c>
      <c r="F462" s="2">
        <f>IFERROR(INDEX(البيانات_الأساسية!E:E, MATCH(450, البيانات_الأساسية!$I:$I, 0)), "")</f>
        <v>0</v>
      </c>
      <c r="G462" s="2">
        <f>IFERROR(INDEX(البيانات_الأساسية!F:F, MATCH(450, البيانات_الأساسية!$I:$I, 0)), "")</f>
        <v>0</v>
      </c>
      <c r="H462" s="2">
        <f>IFERROR(INDEX(البيانات_الأساسية!G:G, MATCH(450, البيانات_الأساسية!$I:$I, 0)), "")</f>
        <v>0</v>
      </c>
    </row>
    <row r="463" spans="2:8" s="3" customFormat="1" ht="20" customHeight="1"/>
    <row r="464" spans="2:8" s="3" customFormat="1" ht="20" customHeight="1"/>
    <row r="465" s="3" customFormat="1" ht="20" customHeight="1"/>
    <row r="466" s="3" customFormat="1" ht="20" customHeight="1"/>
    <row r="467" s="3" customFormat="1" ht="20" customHeight="1"/>
    <row r="468" s="3" customFormat="1" ht="20" customHeight="1"/>
    <row r="469" s="3" customFormat="1" ht="20" customHeight="1"/>
    <row r="470" s="3" customFormat="1" ht="20" customHeight="1"/>
    <row r="471" s="3" customFormat="1" ht="20" customHeight="1"/>
    <row r="472" s="3" customFormat="1" ht="20" customHeight="1"/>
    <row r="473" s="3" customFormat="1" ht="20" customHeight="1"/>
    <row r="474" s="3" customFormat="1" ht="20" customHeight="1"/>
    <row r="475" s="3" customFormat="1" ht="20" customHeight="1"/>
    <row r="476" s="3" customFormat="1" ht="20" customHeight="1"/>
    <row r="477" s="3" customFormat="1" ht="20" customHeight="1"/>
    <row r="478" s="3" customFormat="1" ht="20" customHeight="1"/>
    <row r="479" s="3" customFormat="1" ht="20" customHeight="1"/>
    <row r="480" s="3" customFormat="1" ht="20" customHeight="1"/>
    <row r="481" s="3" customFormat="1" ht="20" customHeight="1"/>
    <row r="482" s="3" customFormat="1" ht="20" customHeight="1"/>
    <row r="483" s="3" customFormat="1" ht="20" customHeight="1"/>
    <row r="484" s="3" customFormat="1" ht="20" customHeight="1"/>
    <row r="485" s="3" customFormat="1" ht="20" customHeight="1"/>
    <row r="486" s="3" customFormat="1" ht="20" customHeight="1"/>
    <row r="487" s="3" customFormat="1" ht="20" customHeight="1"/>
    <row r="488" s="3" customFormat="1" ht="20" customHeight="1"/>
    <row r="489" s="3" customFormat="1" ht="20" customHeight="1"/>
    <row r="490" s="3" customFormat="1" ht="20" customHeight="1"/>
    <row r="491" s="3" customFormat="1" ht="20" customHeight="1"/>
    <row r="492" s="3" customFormat="1" ht="20" customHeight="1"/>
    <row r="493" s="3" customFormat="1" ht="20" customHeight="1"/>
    <row r="494" s="3" customFormat="1" ht="20" customHeight="1"/>
    <row r="495" s="3" customFormat="1" ht="20" customHeight="1"/>
    <row r="496" s="3" customFormat="1" ht="20" customHeight="1"/>
    <row r="497" s="3" customFormat="1" ht="20" customHeight="1"/>
    <row r="498" s="3" customFormat="1" ht="20" customHeight="1"/>
    <row r="499" s="3" customFormat="1" ht="20" customHeight="1"/>
    <row r="500" s="3" customFormat="1" ht="20" customHeight="1"/>
  </sheetData>
  <mergeCells count="2">
    <mergeCell ref="B2:H3"/>
    <mergeCell ref="B10:H10"/>
  </mergeCells>
  <dataValidations count="1">
    <dataValidation type="list" allowBlank="1" showInputMessage="1" showErrorMessage="1" sqref="C4">
      <formula1>قوائم_النظام!$A$1:$A$23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قوائم_النظام</vt:lpstr>
      <vt:lpstr>البيانات_الأساسية</vt:lpstr>
      <vt:lpstr>لوحة_القيادة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2026-07-13T21:25:36Z</dcterms:created>
  <dcterms:modified xsi:type="dcterms:W3CDTF">2026-07-13T21:25:36Z</dcterms:modified>
</cp:coreProperties>
</file>